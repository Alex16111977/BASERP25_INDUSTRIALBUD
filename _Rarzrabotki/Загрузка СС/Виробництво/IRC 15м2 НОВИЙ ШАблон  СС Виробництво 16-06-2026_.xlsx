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ublic\ВИРОБНИЦТВО\IRС\ССКП\2026\"/>
    </mc:Choice>
  </mc:AlternateContent>
  <xr:revisionPtr revIDLastSave="0" documentId="13_ncr:1_{1C47B35B-9695-4800-9C13-C75D553506BD}" xr6:coauthVersionLast="45" xr6:coauthVersionMax="45" xr10:uidLastSave="{00000000-0000-0000-0000-000000000000}"/>
  <bookViews>
    <workbookView xWindow="-120" yWindow="-120" windowWidth="29040" windowHeight="15990" tabRatio="684" xr2:uid="{280BA5F3-E22D-4300-A25B-E4ABFC969655}"/>
  </bookViews>
  <sheets>
    <sheet name="Бюджет_Проекта" sheetId="2" r:id="rId1"/>
    <sheet name="Анализ" sheetId="5" r:id="rId2"/>
    <sheet name="Проект СС" sheetId="4" r:id="rId3"/>
    <sheet name="30 м2" sheetId="11" state="hidden" r:id="rId4"/>
    <sheet name="IRC 30 m2" sheetId="6" state="hidden" r:id="rId5"/>
    <sheet name="IRC 15 m2" sheetId="8" state="hidden" r:id="rId6"/>
    <sheet name="Склади Стіл" sheetId="9" state="hidden" r:id="rId7"/>
    <sheet name="Матеріали по СС" sheetId="10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3" hidden="1">'30 м2'!$G$1:$G$319</definedName>
    <definedName name="_xlnm._FilterDatabase" localSheetId="7" hidden="1">'Матеріали по СС'!$A$1:$E$815</definedName>
    <definedName name="_xlnm._FilterDatabase" localSheetId="2" hidden="1">'Проект СС'!$A$1:$Q$303</definedName>
    <definedName name="_xlnm._FilterDatabase" localSheetId="6" hidden="1">'Склади Стіл'!$A$2:$I$2478</definedName>
    <definedName name="list" localSheetId="3">#REF!</definedName>
    <definedName name="list">#REF!</definedName>
    <definedName name="spec_values">[1]BOQ_Шаблон!$A$6:$A$275</definedName>
    <definedName name="МШП_СПИСОК">[2]НОРМИ_МК!$F$5:$R$5</definedName>
  </definedNames>
  <calcPr calcId="191029"/>
  <pivotCaches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B89" i="2"/>
  <c r="B88" i="2"/>
  <c r="B87" i="2"/>
  <c r="J158" i="4" l="1"/>
  <c r="J159" i="4"/>
  <c r="J160" i="4"/>
  <c r="J157" i="4"/>
  <c r="J61" i="4"/>
  <c r="J58" i="4"/>
  <c r="J57" i="4"/>
  <c r="J59" i="4"/>
  <c r="J60" i="4"/>
  <c r="J56" i="4"/>
  <c r="J55" i="4"/>
  <c r="J88" i="4"/>
  <c r="J87" i="4"/>
  <c r="J86" i="4"/>
  <c r="J107" i="4"/>
  <c r="J105" i="4"/>
  <c r="J104" i="4"/>
  <c r="J11" i="4" l="1"/>
  <c r="J10" i="4"/>
  <c r="J9" i="4"/>
  <c r="J8" i="4"/>
  <c r="J7" i="4"/>
  <c r="J6" i="4"/>
  <c r="J5" i="4"/>
  <c r="O318" i="11" l="1"/>
  <c r="O317" i="11"/>
  <c r="O316" i="11"/>
  <c r="O315" i="11"/>
  <c r="O314" i="11"/>
  <c r="O313" i="11"/>
  <c r="O312" i="11"/>
  <c r="M305" i="11"/>
  <c r="O305" i="11" s="1"/>
  <c r="M304" i="11"/>
  <c r="O304" i="11" s="1"/>
  <c r="M303" i="11"/>
  <c r="O303" i="11" s="1"/>
  <c r="M302" i="11"/>
  <c r="O302" i="11" s="1"/>
  <c r="M301" i="11"/>
  <c r="O301" i="11" s="1"/>
  <c r="K300" i="11"/>
  <c r="M300" i="11" s="1"/>
  <c r="O300" i="11" s="1"/>
  <c r="M299" i="11"/>
  <c r="O299" i="11" s="1"/>
  <c r="M298" i="11"/>
  <c r="O298" i="11" s="1"/>
  <c r="M297" i="11"/>
  <c r="O297" i="11" s="1"/>
  <c r="M296" i="11"/>
  <c r="O296" i="11" s="1"/>
  <c r="M295" i="11"/>
  <c r="O295" i="11" s="1"/>
  <c r="M294" i="11"/>
  <c r="O294" i="11" s="1"/>
  <c r="M293" i="11"/>
  <c r="O293" i="11" s="1"/>
  <c r="M292" i="11"/>
  <c r="O292" i="11" s="1"/>
  <c r="M291" i="11"/>
  <c r="O291" i="11" s="1"/>
  <c r="M290" i="11"/>
  <c r="O290" i="11" s="1"/>
  <c r="M289" i="11"/>
  <c r="O289" i="11" s="1"/>
  <c r="M288" i="11"/>
  <c r="O288" i="11" s="1"/>
  <c r="M287" i="11"/>
  <c r="O287" i="11" s="1"/>
  <c r="M286" i="11"/>
  <c r="O286" i="11" s="1"/>
  <c r="M285" i="11"/>
  <c r="O285" i="11" s="1"/>
  <c r="M284" i="11"/>
  <c r="O284" i="11" s="1"/>
  <c r="M283" i="11"/>
  <c r="O283" i="11" s="1"/>
  <c r="M282" i="11"/>
  <c r="O282" i="11" s="1"/>
  <c r="M281" i="11"/>
  <c r="O281" i="11" s="1"/>
  <c r="M280" i="11"/>
  <c r="N279" i="11"/>
  <c r="M279" i="11"/>
  <c r="N278" i="11"/>
  <c r="M278" i="11"/>
  <c r="N277" i="11"/>
  <c r="M277" i="11"/>
  <c r="N276" i="11"/>
  <c r="M276" i="11"/>
  <c r="N275" i="11"/>
  <c r="M275" i="11"/>
  <c r="N274" i="11"/>
  <c r="M274" i="11"/>
  <c r="N273" i="11"/>
  <c r="M273" i="11"/>
  <c r="N272" i="11"/>
  <c r="M272" i="11"/>
  <c r="N271" i="11"/>
  <c r="M271" i="11"/>
  <c r="N270" i="11"/>
  <c r="M270" i="11"/>
  <c r="N269" i="11"/>
  <c r="M269" i="11"/>
  <c r="N268" i="11"/>
  <c r="M268" i="11"/>
  <c r="N267" i="11"/>
  <c r="M267" i="11"/>
  <c r="N266" i="11"/>
  <c r="M266" i="11"/>
  <c r="N265" i="11"/>
  <c r="M265" i="11"/>
  <c r="N264" i="11"/>
  <c r="M264" i="11"/>
  <c r="N263" i="11"/>
  <c r="M263" i="11"/>
  <c r="N262" i="11"/>
  <c r="M262" i="11"/>
  <c r="N261" i="11"/>
  <c r="M261" i="11"/>
  <c r="N260" i="11"/>
  <c r="M260" i="11"/>
  <c r="N259" i="11"/>
  <c r="M259" i="11"/>
  <c r="N258" i="11"/>
  <c r="M258" i="11"/>
  <c r="N257" i="11"/>
  <c r="M257" i="11"/>
  <c r="N256" i="11"/>
  <c r="M256" i="11"/>
  <c r="N255" i="11"/>
  <c r="M255" i="11"/>
  <c r="N254" i="11"/>
  <c r="M254" i="11"/>
  <c r="N253" i="11"/>
  <c r="M253" i="11"/>
  <c r="N252" i="11"/>
  <c r="M252" i="11"/>
  <c r="N251" i="11"/>
  <c r="M251" i="11"/>
  <c r="N250" i="11"/>
  <c r="M250" i="11"/>
  <c r="N249" i="11"/>
  <c r="M249" i="11"/>
  <c r="N248" i="11"/>
  <c r="M248" i="11"/>
  <c r="N247" i="11"/>
  <c r="M247" i="11"/>
  <c r="N246" i="11"/>
  <c r="M246" i="11"/>
  <c r="N245" i="11"/>
  <c r="M245" i="11"/>
  <c r="N244" i="11"/>
  <c r="M244" i="11"/>
  <c r="N243" i="11"/>
  <c r="M243" i="11"/>
  <c r="N242" i="11"/>
  <c r="M242" i="11"/>
  <c r="N241" i="11"/>
  <c r="M241" i="11"/>
  <c r="N240" i="11"/>
  <c r="M240" i="11"/>
  <c r="N239" i="11"/>
  <c r="M239" i="11"/>
  <c r="N238" i="11"/>
  <c r="M238" i="11"/>
  <c r="N237" i="11"/>
  <c r="M237" i="11"/>
  <c r="N236" i="11"/>
  <c r="M236" i="11"/>
  <c r="N235" i="11"/>
  <c r="M235" i="11"/>
  <c r="N234" i="11"/>
  <c r="M234" i="11"/>
  <c r="N233" i="11"/>
  <c r="M233" i="11"/>
  <c r="N232" i="11"/>
  <c r="M232" i="11"/>
  <c r="N231" i="11"/>
  <c r="M231" i="11"/>
  <c r="N230" i="11"/>
  <c r="M230" i="11"/>
  <c r="N229" i="11"/>
  <c r="M229" i="11"/>
  <c r="N228" i="11"/>
  <c r="M228" i="11"/>
  <c r="N227" i="11"/>
  <c r="M227" i="11"/>
  <c r="N226" i="11"/>
  <c r="M226" i="11"/>
  <c r="N225" i="11"/>
  <c r="M225" i="11"/>
  <c r="N224" i="11"/>
  <c r="M224" i="11"/>
  <c r="N223" i="11"/>
  <c r="M223" i="11"/>
  <c r="N222" i="11"/>
  <c r="M222" i="11"/>
  <c r="N221" i="11"/>
  <c r="M221" i="11"/>
  <c r="N220" i="11"/>
  <c r="M220" i="11"/>
  <c r="N219" i="11"/>
  <c r="M219" i="11"/>
  <c r="N218" i="11"/>
  <c r="M218" i="11"/>
  <c r="N217" i="11"/>
  <c r="M217" i="11"/>
  <c r="N216" i="11"/>
  <c r="M216" i="11"/>
  <c r="N215" i="11"/>
  <c r="M215" i="11"/>
  <c r="N214" i="11"/>
  <c r="M214" i="11"/>
  <c r="N213" i="11"/>
  <c r="M213" i="11"/>
  <c r="N212" i="11"/>
  <c r="M212" i="11"/>
  <c r="N211" i="11"/>
  <c r="M211" i="11"/>
  <c r="N210" i="11"/>
  <c r="M210" i="11"/>
  <c r="N209" i="11"/>
  <c r="M209" i="11"/>
  <c r="N208" i="11"/>
  <c r="M208" i="11"/>
  <c r="N207" i="11"/>
  <c r="M207" i="11"/>
  <c r="N206" i="11"/>
  <c r="M206" i="11"/>
  <c r="N205" i="11"/>
  <c r="M205" i="11"/>
  <c r="N204" i="11"/>
  <c r="M204" i="11"/>
  <c r="N203" i="11"/>
  <c r="M203" i="11"/>
  <c r="N202" i="11"/>
  <c r="M202" i="11"/>
  <c r="N201" i="11"/>
  <c r="M201" i="11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O100" i="11" s="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O74" i="11" s="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4" i="11"/>
  <c r="M4" i="11"/>
  <c r="L3" i="11"/>
  <c r="J2" i="11" s="1"/>
  <c r="O138" i="11" l="1"/>
  <c r="O27" i="11"/>
  <c r="O190" i="11"/>
  <c r="O23" i="11"/>
  <c r="O36" i="11"/>
  <c r="O49" i="11"/>
  <c r="O206" i="11"/>
  <c r="O219" i="11"/>
  <c r="O228" i="11"/>
  <c r="O319" i="11"/>
  <c r="O47" i="11"/>
  <c r="O10" i="11"/>
  <c r="O59" i="11"/>
  <c r="O170" i="11"/>
  <c r="O99" i="11"/>
  <c r="O112" i="11"/>
  <c r="O19" i="11"/>
  <c r="O18" i="11"/>
  <c r="O44" i="11"/>
  <c r="O151" i="11"/>
  <c r="O222" i="11"/>
  <c r="O204" i="11"/>
  <c r="O158" i="11"/>
  <c r="O171" i="11"/>
  <c r="O136" i="11"/>
  <c r="O203" i="11"/>
  <c r="O7" i="11"/>
  <c r="O73" i="11"/>
  <c r="O164" i="11"/>
  <c r="O207" i="11"/>
  <c r="O210" i="11"/>
  <c r="O223" i="11"/>
  <c r="O199" i="11"/>
  <c r="O226" i="11"/>
  <c r="O16" i="11"/>
  <c r="O45" i="11"/>
  <c r="O149" i="11"/>
  <c r="O175" i="11"/>
  <c r="O6" i="11"/>
  <c r="O60" i="11"/>
  <c r="O177" i="11"/>
  <c r="O232" i="11"/>
  <c r="O245" i="11"/>
  <c r="O258" i="11"/>
  <c r="O271" i="11"/>
  <c r="O91" i="11"/>
  <c r="O37" i="11"/>
  <c r="O66" i="11"/>
  <c r="O93" i="11"/>
  <c r="O211" i="11"/>
  <c r="O224" i="11"/>
  <c r="O237" i="11"/>
  <c r="O250" i="11"/>
  <c r="O263" i="11"/>
  <c r="O276" i="11"/>
  <c r="O24" i="11"/>
  <c r="O120" i="11"/>
  <c r="O133" i="11"/>
  <c r="O146" i="11"/>
  <c r="O159" i="11"/>
  <c r="O172" i="11"/>
  <c r="O185" i="11"/>
  <c r="O95" i="11"/>
  <c r="O53" i="11"/>
  <c r="O13" i="11"/>
  <c r="O67" i="11"/>
  <c r="O4" i="11"/>
  <c r="O31" i="11"/>
  <c r="O174" i="11"/>
  <c r="O214" i="11"/>
  <c r="O5" i="11"/>
  <c r="O110" i="11"/>
  <c r="O80" i="11"/>
  <c r="O188" i="11"/>
  <c r="O30" i="11"/>
  <c r="O33" i="11"/>
  <c r="O216" i="11"/>
  <c r="O17" i="11"/>
  <c r="O8" i="11"/>
  <c r="O11" i="11"/>
  <c r="O63" i="11"/>
  <c r="O76" i="11"/>
  <c r="O89" i="11"/>
  <c r="O102" i="11"/>
  <c r="O25" i="11"/>
  <c r="O38" i="11"/>
  <c r="O39" i="11"/>
  <c r="O194" i="11"/>
  <c r="O220" i="11"/>
  <c r="O14" i="11"/>
  <c r="O15" i="11"/>
  <c r="O40" i="11"/>
  <c r="O208" i="11"/>
  <c r="O234" i="11"/>
  <c r="O247" i="11"/>
  <c r="O52" i="11"/>
  <c r="O79" i="11"/>
  <c r="O104" i="11"/>
  <c r="O28" i="11"/>
  <c r="O41" i="11"/>
  <c r="O106" i="11"/>
  <c r="O235" i="11"/>
  <c r="O248" i="11"/>
  <c r="O261" i="11"/>
  <c r="O274" i="11"/>
  <c r="O29" i="11"/>
  <c r="O108" i="11"/>
  <c r="O212" i="11"/>
  <c r="O109" i="11"/>
  <c r="O32" i="11"/>
  <c r="O213" i="11"/>
  <c r="O58" i="11"/>
  <c r="O71" i="11"/>
  <c r="O84" i="11"/>
  <c r="O97" i="11"/>
  <c r="O20" i="11"/>
  <c r="P228" i="11"/>
  <c r="O240" i="11"/>
  <c r="O253" i="11"/>
  <c r="O266" i="11"/>
  <c r="O279" i="11"/>
  <c r="O111" i="11"/>
  <c r="O21" i="11"/>
  <c r="O137" i="11"/>
  <c r="O176" i="11"/>
  <c r="O215" i="11"/>
  <c r="O241" i="11"/>
  <c r="O254" i="11"/>
  <c r="O267" i="11"/>
  <c r="O86" i="11"/>
  <c r="O125" i="11"/>
  <c r="O48" i="11"/>
  <c r="O61" i="11"/>
  <c r="O114" i="11"/>
  <c r="O166" i="11"/>
  <c r="O62" i="11"/>
  <c r="O88" i="11"/>
  <c r="O101" i="11"/>
  <c r="O236" i="11"/>
  <c r="O249" i="11"/>
  <c r="O262" i="11"/>
  <c r="O275" i="11"/>
  <c r="O51" i="11"/>
  <c r="O113" i="11"/>
  <c r="O126" i="11"/>
  <c r="O139" i="11"/>
  <c r="O152" i="11"/>
  <c r="O165" i="11"/>
  <c r="O178" i="11"/>
  <c r="O191" i="11"/>
  <c r="O225" i="11"/>
  <c r="O90" i="11"/>
  <c r="O115" i="11"/>
  <c r="O128" i="11"/>
  <c r="O141" i="11"/>
  <c r="O154" i="11"/>
  <c r="O167" i="11"/>
  <c r="O180" i="11"/>
  <c r="O193" i="11"/>
  <c r="O65" i="11"/>
  <c r="O227" i="11"/>
  <c r="O239" i="11"/>
  <c r="O252" i="11"/>
  <c r="O265" i="11"/>
  <c r="O278" i="11"/>
  <c r="O153" i="11"/>
  <c r="O43" i="11"/>
  <c r="O116" i="11"/>
  <c r="O129" i="11"/>
  <c r="O142" i="11"/>
  <c r="O155" i="11"/>
  <c r="O168" i="11"/>
  <c r="O181" i="11"/>
  <c r="O217" i="11"/>
  <c r="O127" i="11"/>
  <c r="O92" i="11"/>
  <c r="O75" i="11"/>
  <c r="O103" i="11"/>
  <c r="O78" i="11"/>
  <c r="O105" i="11"/>
  <c r="O117" i="11"/>
  <c r="O130" i="11"/>
  <c r="O143" i="11"/>
  <c r="O156" i="11"/>
  <c r="O169" i="11"/>
  <c r="O182" i="11"/>
  <c r="O195" i="11"/>
  <c r="O218" i="11"/>
  <c r="O277" i="11"/>
  <c r="O118" i="11"/>
  <c r="O131" i="11"/>
  <c r="O144" i="11"/>
  <c r="O157" i="11"/>
  <c r="O183" i="11"/>
  <c r="O196" i="11"/>
  <c r="O54" i="11"/>
  <c r="O34" i="11"/>
  <c r="O55" i="11"/>
  <c r="O68" i="11"/>
  <c r="O81" i="11"/>
  <c r="O94" i="11"/>
  <c r="O229" i="11"/>
  <c r="O242" i="11"/>
  <c r="O255" i="11"/>
  <c r="O268" i="11"/>
  <c r="O140" i="11"/>
  <c r="O35" i="11"/>
  <c r="O107" i="11"/>
  <c r="O119" i="11"/>
  <c r="O132" i="11"/>
  <c r="O145" i="11"/>
  <c r="O184" i="11"/>
  <c r="O197" i="11"/>
  <c r="O238" i="11"/>
  <c r="O56" i="11"/>
  <c r="O69" i="11"/>
  <c r="O82" i="11"/>
  <c r="O198" i="11"/>
  <c r="O209" i="11"/>
  <c r="O230" i="11"/>
  <c r="O243" i="11"/>
  <c r="O256" i="11"/>
  <c r="O269" i="11"/>
  <c r="O50" i="11"/>
  <c r="O9" i="11"/>
  <c r="O77" i="11"/>
  <c r="O205" i="11"/>
  <c r="O42" i="11"/>
  <c r="O46" i="11"/>
  <c r="O57" i="11"/>
  <c r="O70" i="11"/>
  <c r="O83" i="11"/>
  <c r="O96" i="11"/>
  <c r="O231" i="11"/>
  <c r="O244" i="11"/>
  <c r="O257" i="11"/>
  <c r="O270" i="11"/>
  <c r="O192" i="11"/>
  <c r="O121" i="11"/>
  <c r="O134" i="11"/>
  <c r="O147" i="11"/>
  <c r="O160" i="11"/>
  <c r="O173" i="11"/>
  <c r="O186" i="11"/>
  <c r="O221" i="11"/>
  <c r="O26" i="11"/>
  <c r="O122" i="11"/>
  <c r="O135" i="11"/>
  <c r="O148" i="11"/>
  <c r="O161" i="11"/>
  <c r="O187" i="11"/>
  <c r="O179" i="11"/>
  <c r="O264" i="11"/>
  <c r="O72" i="11"/>
  <c r="O85" i="11"/>
  <c r="O98" i="11"/>
  <c r="O162" i="11"/>
  <c r="O201" i="11"/>
  <c r="O233" i="11"/>
  <c r="O246" i="11"/>
  <c r="O259" i="11"/>
  <c r="O272" i="11"/>
  <c r="O123" i="11"/>
  <c r="O202" i="11"/>
  <c r="O260" i="11"/>
  <c r="O273" i="11"/>
  <c r="O251" i="11"/>
  <c r="O87" i="11"/>
  <c r="O124" i="11"/>
  <c r="O150" i="11"/>
  <c r="O163" i="11"/>
  <c r="O189" i="11"/>
  <c r="O64" i="11"/>
  <c r="O22" i="11"/>
  <c r="P53" i="11" l="1"/>
  <c r="P102" i="11"/>
  <c r="P114" i="11"/>
  <c r="P278" i="11"/>
  <c r="P84" i="11"/>
  <c r="P155" i="11"/>
  <c r="P198" i="11"/>
  <c r="N254" i="4"/>
  <c r="M254" i="4"/>
  <c r="N253" i="4"/>
  <c r="M253" i="4"/>
  <c r="N252" i="4"/>
  <c r="M252" i="4"/>
  <c r="N251" i="4"/>
  <c r="M251" i="4"/>
  <c r="N250" i="4"/>
  <c r="M250" i="4"/>
  <c r="N249" i="4"/>
  <c r="M249" i="4"/>
  <c r="N248" i="4"/>
  <c r="M248" i="4"/>
  <c r="N247" i="4"/>
  <c r="M247" i="4"/>
  <c r="N246" i="4"/>
  <c r="M246" i="4"/>
  <c r="N245" i="4"/>
  <c r="M245" i="4"/>
  <c r="N244" i="4"/>
  <c r="M244" i="4"/>
  <c r="N243" i="4"/>
  <c r="M243" i="4"/>
  <c r="N242" i="4"/>
  <c r="M242" i="4"/>
  <c r="N241" i="4"/>
  <c r="M241" i="4"/>
  <c r="N240" i="4"/>
  <c r="M240" i="4"/>
  <c r="N239" i="4"/>
  <c r="M239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3" i="4"/>
  <c r="M113" i="4"/>
  <c r="N112" i="4"/>
  <c r="M112" i="4"/>
  <c r="N111" i="4"/>
  <c r="M111" i="4"/>
  <c r="N110" i="4"/>
  <c r="M110" i="4"/>
  <c r="N109" i="4"/>
  <c r="M109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F192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0" i="8"/>
  <c r="F89" i="8"/>
  <c r="F88" i="8"/>
  <c r="F87" i="8"/>
  <c r="F86" i="8"/>
  <c r="F83" i="8"/>
  <c r="F82" i="8"/>
  <c r="F81" i="8"/>
  <c r="F80" i="8"/>
  <c r="F79" i="8"/>
  <c r="F78" i="8"/>
  <c r="F77" i="8"/>
  <c r="F76" i="8"/>
  <c r="F75" i="8"/>
  <c r="F74" i="8"/>
  <c r="F73" i="8"/>
  <c r="F72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G2" i="8"/>
  <c r="O225" i="4" l="1"/>
  <c r="O217" i="4"/>
  <c r="O242" i="4"/>
  <c r="O128" i="4"/>
  <c r="O174" i="4"/>
  <c r="O187" i="4"/>
  <c r="O83" i="4"/>
  <c r="O212" i="4"/>
  <c r="O250" i="4"/>
  <c r="O192" i="4"/>
  <c r="O253" i="4"/>
  <c r="O109" i="4"/>
  <c r="O141" i="4"/>
  <c r="O223" i="4"/>
  <c r="O34" i="4"/>
  <c r="O50" i="4"/>
  <c r="O163" i="4"/>
  <c r="O47" i="4"/>
  <c r="O120" i="4"/>
  <c r="O92" i="4"/>
  <c r="O90" i="4"/>
  <c r="O180" i="4"/>
  <c r="O23" i="4"/>
  <c r="O22" i="4"/>
  <c r="O239" i="4"/>
  <c r="O71" i="4"/>
  <c r="O39" i="4"/>
  <c r="O35" i="4"/>
  <c r="O248" i="4"/>
  <c r="O176" i="4"/>
  <c r="O240" i="4"/>
  <c r="O129" i="4"/>
  <c r="O175" i="4"/>
  <c r="O211" i="4"/>
  <c r="O224" i="4"/>
  <c r="O249" i="4"/>
  <c r="O144" i="4"/>
  <c r="O164" i="4"/>
  <c r="O226" i="4"/>
  <c r="O251" i="4"/>
  <c r="O241" i="4"/>
  <c r="O254" i="4"/>
  <c r="O49" i="4"/>
  <c r="O68" i="4"/>
  <c r="O152" i="4"/>
  <c r="O172" i="4"/>
  <c r="O208" i="4"/>
  <c r="O221" i="4"/>
  <c r="O246" i="4"/>
  <c r="O37" i="4"/>
  <c r="O132" i="4"/>
  <c r="O252" i="4"/>
  <c r="O21" i="4"/>
  <c r="O182" i="4"/>
  <c r="O243" i="4"/>
  <c r="O91" i="4"/>
  <c r="O29" i="4"/>
  <c r="O140" i="4"/>
  <c r="O153" i="4"/>
  <c r="O209" i="4"/>
  <c r="O247" i="4"/>
  <c r="O33" i="4"/>
  <c r="O46" i="4"/>
  <c r="O26" i="4"/>
  <c r="O65" i="4"/>
  <c r="O123" i="4"/>
  <c r="O194" i="4"/>
  <c r="O244" i="4"/>
  <c r="O31" i="4"/>
  <c r="O80" i="4"/>
  <c r="O171" i="4"/>
  <c r="O184" i="4"/>
  <c r="O207" i="4"/>
  <c r="O220" i="4"/>
  <c r="O245" i="4"/>
  <c r="F70" i="8"/>
  <c r="P254" i="4"/>
  <c r="O66" i="4"/>
  <c r="O98" i="4"/>
  <c r="O170" i="4"/>
  <c r="O183" i="4"/>
  <c r="O219" i="4"/>
  <c r="O14" i="4"/>
  <c r="O27" i="4"/>
  <c r="O63" i="4"/>
  <c r="O95" i="4"/>
  <c r="O147" i="4"/>
  <c r="O167" i="4"/>
  <c r="O215" i="4"/>
  <c r="O15" i="4"/>
  <c r="O41" i="4"/>
  <c r="O77" i="4"/>
  <c r="O96" i="4"/>
  <c r="O135" i="4"/>
  <c r="O168" i="4"/>
  <c r="O216" i="4"/>
  <c r="O78" i="4"/>
  <c r="O97" i="4"/>
  <c r="O181" i="4"/>
  <c r="O17" i="4"/>
  <c r="O218" i="4"/>
  <c r="O196" i="4"/>
  <c r="O185" i="4"/>
  <c r="F128" i="8"/>
  <c r="O173" i="4"/>
  <c r="F91" i="8"/>
  <c r="O186" i="4"/>
  <c r="O222" i="4"/>
  <c r="P196" i="4"/>
  <c r="O188" i="4"/>
  <c r="O210" i="4"/>
  <c r="O166" i="4"/>
  <c r="O72" i="4"/>
  <c r="O214" i="4"/>
  <c r="F188" i="8"/>
  <c r="F84" i="8"/>
  <c r="F166" i="8"/>
  <c r="F47" i="8"/>
  <c r="O25" i="4"/>
  <c r="O38" i="4"/>
  <c r="O74" i="4"/>
  <c r="O213" i="4"/>
  <c r="P226" i="4"/>
  <c r="O178" i="4"/>
  <c r="O177" i="4"/>
  <c r="O121" i="4"/>
  <c r="O127" i="4"/>
  <c r="O133" i="4"/>
  <c r="O139" i="4"/>
  <c r="O145" i="4"/>
  <c r="O151" i="4"/>
  <c r="O193" i="4"/>
  <c r="O169" i="4"/>
  <c r="O179" i="4"/>
  <c r="O162" i="4"/>
  <c r="O165" i="4"/>
  <c r="O189" i="4"/>
  <c r="O69" i="4"/>
  <c r="O75" i="4"/>
  <c r="O81" i="4"/>
  <c r="O93" i="4"/>
  <c r="O112" i="4"/>
  <c r="O136" i="4"/>
  <c r="O148" i="4"/>
  <c r="O154" i="4"/>
  <c r="O190" i="4"/>
  <c r="O195" i="4"/>
  <c r="O18" i="4"/>
  <c r="O30" i="4"/>
  <c r="O42" i="4"/>
  <c r="O64" i="4"/>
  <c r="O70" i="4"/>
  <c r="O76" i="4"/>
  <c r="O82" i="4"/>
  <c r="O94" i="4"/>
  <c r="O113" i="4"/>
  <c r="O125" i="4"/>
  <c r="O131" i="4"/>
  <c r="O137" i="4"/>
  <c r="O143" i="4"/>
  <c r="O149" i="4"/>
  <c r="O191" i="4"/>
  <c r="P154" i="4"/>
  <c r="O122" i="4"/>
  <c r="O134" i="4"/>
  <c r="O146" i="4"/>
  <c r="O150" i="4"/>
  <c r="O138" i="4"/>
  <c r="O124" i="4"/>
  <c r="O99" i="4"/>
  <c r="O130" i="4"/>
  <c r="O142" i="4"/>
  <c r="O126" i="4"/>
  <c r="O19" i="4"/>
  <c r="O100" i="4"/>
  <c r="O32" i="4"/>
  <c r="O45" i="4"/>
  <c r="O51" i="4"/>
  <c r="O67" i="4"/>
  <c r="O73" i="4"/>
  <c r="O79" i="4"/>
  <c r="O101" i="4"/>
  <c r="P101" i="4"/>
  <c r="O43" i="4"/>
  <c r="P52" i="4"/>
  <c r="O40" i="4"/>
  <c r="P113" i="4"/>
  <c r="O28" i="4"/>
  <c r="P83" i="4"/>
  <c r="O44" i="4"/>
  <c r="O52" i="4"/>
  <c r="O110" i="4"/>
  <c r="O20" i="4"/>
  <c r="O13" i="4"/>
  <c r="O24" i="4"/>
  <c r="O36" i="4"/>
  <c r="O48" i="4"/>
  <c r="O111" i="4"/>
  <c r="O16" i="4"/>
  <c r="F191" i="8"/>
  <c r="M283" i="4"/>
  <c r="O283" i="4" s="1"/>
  <c r="M284" i="4"/>
  <c r="O284" i="4" s="1"/>
  <c r="M285" i="4"/>
  <c r="O285" i="4" s="1"/>
  <c r="M286" i="4"/>
  <c r="O286" i="4" s="1"/>
  <c r="M287" i="4"/>
  <c r="O287" i="4" s="1"/>
  <c r="M288" i="4"/>
  <c r="O288" i="4" s="1"/>
  <c r="M289" i="4"/>
  <c r="O289" i="4" s="1"/>
  <c r="M290" i="4"/>
  <c r="O290" i="4" s="1"/>
  <c r="M291" i="4"/>
  <c r="O291" i="4" s="1"/>
  <c r="M292" i="4"/>
  <c r="O292" i="4" s="1"/>
  <c r="M293" i="4"/>
  <c r="O293" i="4" s="1"/>
  <c r="M294" i="4"/>
  <c r="O294" i="4" s="1"/>
  <c r="M295" i="4"/>
  <c r="O295" i="4" s="1"/>
  <c r="M296" i="4"/>
  <c r="O296" i="4" s="1"/>
  <c r="M297" i="4"/>
  <c r="O297" i="4" s="1"/>
  <c r="M299" i="4"/>
  <c r="O299" i="4" s="1"/>
  <c r="M278" i="4"/>
  <c r="M279" i="4"/>
  <c r="O279" i="4" s="1"/>
  <c r="M280" i="4"/>
  <c r="O280" i="4" s="1"/>
  <c r="M281" i="4"/>
  <c r="O281" i="4" s="1"/>
  <c r="M227" i="4"/>
  <c r="N227" i="4"/>
  <c r="M228" i="4"/>
  <c r="N228" i="4"/>
  <c r="M229" i="4"/>
  <c r="N229" i="4"/>
  <c r="M230" i="4"/>
  <c r="N230" i="4"/>
  <c r="M231" i="4"/>
  <c r="N231" i="4"/>
  <c r="M232" i="4"/>
  <c r="N232" i="4"/>
  <c r="M233" i="4"/>
  <c r="N233" i="4"/>
  <c r="M234" i="4"/>
  <c r="N234" i="4"/>
  <c r="M235" i="4"/>
  <c r="N235" i="4"/>
  <c r="M236" i="4"/>
  <c r="N236" i="4"/>
  <c r="M237" i="4"/>
  <c r="N237" i="4"/>
  <c r="M238" i="4"/>
  <c r="N238" i="4"/>
  <c r="M255" i="4"/>
  <c r="N255" i="4"/>
  <c r="M256" i="4"/>
  <c r="N256" i="4"/>
  <c r="M257" i="4"/>
  <c r="N257" i="4"/>
  <c r="M258" i="4"/>
  <c r="N258" i="4"/>
  <c r="M259" i="4"/>
  <c r="N259" i="4"/>
  <c r="M260" i="4"/>
  <c r="N260" i="4"/>
  <c r="M261" i="4"/>
  <c r="N261" i="4"/>
  <c r="M262" i="4"/>
  <c r="N262" i="4"/>
  <c r="M263" i="4"/>
  <c r="N263" i="4"/>
  <c r="M264" i="4"/>
  <c r="N264" i="4"/>
  <c r="M265" i="4"/>
  <c r="N265" i="4"/>
  <c r="M266" i="4"/>
  <c r="N266" i="4"/>
  <c r="M267" i="4"/>
  <c r="N267" i="4"/>
  <c r="M268" i="4"/>
  <c r="N268" i="4"/>
  <c r="M269" i="4"/>
  <c r="N269" i="4"/>
  <c r="M270" i="4"/>
  <c r="N270" i="4"/>
  <c r="M271" i="4"/>
  <c r="N271" i="4"/>
  <c r="M272" i="4"/>
  <c r="N272" i="4"/>
  <c r="M273" i="4"/>
  <c r="N273" i="4"/>
  <c r="M274" i="4"/>
  <c r="N274" i="4"/>
  <c r="M275" i="4"/>
  <c r="N275" i="4"/>
  <c r="M276" i="4"/>
  <c r="N276" i="4"/>
  <c r="M277" i="4"/>
  <c r="N277" i="4"/>
  <c r="M282" i="4"/>
  <c r="O282" i="4" s="1"/>
  <c r="M300" i="4"/>
  <c r="O300" i="4" s="1"/>
  <c r="M301" i="4"/>
  <c r="O301" i="4" s="1"/>
  <c r="M302" i="4"/>
  <c r="O302" i="4" s="1"/>
  <c r="M303" i="4"/>
  <c r="O303" i="4" s="1"/>
  <c r="O310" i="4"/>
  <c r="O311" i="4"/>
  <c r="O312" i="4"/>
  <c r="O313" i="4"/>
  <c r="O314" i="4"/>
  <c r="O315" i="4"/>
  <c r="O316" i="4"/>
  <c r="F193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0" i="6"/>
  <c r="F89" i="6"/>
  <c r="F88" i="6"/>
  <c r="F87" i="6"/>
  <c r="F86" i="6"/>
  <c r="F83" i="6"/>
  <c r="F82" i="6"/>
  <c r="F81" i="6"/>
  <c r="F80" i="6"/>
  <c r="F79" i="6"/>
  <c r="F78" i="6"/>
  <c r="F77" i="6"/>
  <c r="F76" i="6"/>
  <c r="F75" i="6"/>
  <c r="F74" i="6"/>
  <c r="F73" i="6"/>
  <c r="F72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D7" i="6"/>
  <c r="F7" i="6" s="1"/>
  <c r="D6" i="6"/>
  <c r="F6" i="6" s="1"/>
  <c r="G2" i="6"/>
  <c r="F92" i="6" l="1"/>
  <c r="F84" i="6"/>
  <c r="O257" i="4"/>
  <c r="O228" i="4"/>
  <c r="O263" i="4"/>
  <c r="F189" i="8"/>
  <c r="F190" i="8" s="1"/>
  <c r="F193" i="8" s="1"/>
  <c r="F196" i="8" s="1"/>
  <c r="F70" i="6"/>
  <c r="F189" i="6"/>
  <c r="O265" i="4"/>
  <c r="F47" i="6"/>
  <c r="F167" i="6"/>
  <c r="F129" i="6"/>
  <c r="O229" i="4"/>
  <c r="O272" i="4"/>
  <c r="O231" i="4"/>
  <c r="O236" i="4"/>
  <c r="O230" i="4"/>
  <c r="O233" i="4"/>
  <c r="O227" i="4"/>
  <c r="O273" i="4"/>
  <c r="O259" i="4"/>
  <c r="O270" i="4"/>
  <c r="O262" i="4"/>
  <c r="O277" i="4"/>
  <c r="O267" i="4"/>
  <c r="O238" i="4"/>
  <c r="O255" i="4"/>
  <c r="O258" i="4"/>
  <c r="O268" i="4"/>
  <c r="O235" i="4"/>
  <c r="M298" i="4"/>
  <c r="O298" i="4" s="1"/>
  <c r="O234" i="4"/>
  <c r="O266" i="4"/>
  <c r="O261" i="4"/>
  <c r="O276" i="4"/>
  <c r="O260" i="4"/>
  <c r="O237" i="4"/>
  <c r="O232" i="4"/>
  <c r="O271" i="4"/>
  <c r="O274" i="4"/>
  <c r="O269" i="4"/>
  <c r="O264" i="4"/>
  <c r="O317" i="4"/>
  <c r="O275" i="4"/>
  <c r="O256" i="4"/>
  <c r="F192" i="6"/>
  <c r="H193" i="6"/>
  <c r="J193" i="6" s="1"/>
  <c r="F190" i="6" l="1"/>
  <c r="F191" i="6" s="1"/>
  <c r="H191" i="6" s="1"/>
  <c r="J191" i="6" s="1"/>
  <c r="F194" i="8"/>
  <c r="P276" i="4"/>
  <c r="I4" i="2"/>
  <c r="I3" i="2" s="1"/>
  <c r="F195" i="6" l="1"/>
  <c r="F194" i="6"/>
  <c r="F197" i="6" s="1"/>
  <c r="N4" i="4"/>
  <c r="N8" i="4" l="1"/>
  <c r="N9" i="4"/>
  <c r="N10" i="4"/>
  <c r="N11" i="4"/>
  <c r="B148" i="2"/>
  <c r="B147" i="2"/>
  <c r="B146" i="2"/>
  <c r="B144" i="2"/>
  <c r="B143" i="2"/>
  <c r="B142" i="2"/>
  <c r="B131" i="2"/>
  <c r="B130" i="2"/>
  <c r="B127" i="2"/>
  <c r="B126" i="2"/>
  <c r="B125" i="2"/>
  <c r="B124" i="2"/>
  <c r="B123" i="2"/>
  <c r="B122" i="2"/>
  <c r="B121" i="2"/>
  <c r="B120" i="2"/>
  <c r="B119" i="2"/>
  <c r="B116" i="2"/>
  <c r="B115" i="2"/>
  <c r="B114" i="2"/>
  <c r="B112" i="2"/>
  <c r="B111" i="2"/>
  <c r="B110" i="2"/>
  <c r="B109" i="2"/>
  <c r="B108" i="2"/>
  <c r="B107" i="2"/>
  <c r="B106" i="2"/>
  <c r="B99" i="2"/>
  <c r="B102" i="2"/>
  <c r="B103" i="2"/>
  <c r="B104" i="2"/>
  <c r="B97" i="2"/>
  <c r="B96" i="2"/>
  <c r="B95" i="2"/>
  <c r="B92" i="2"/>
  <c r="B91" i="2"/>
  <c r="B84" i="2"/>
  <c r="B82" i="2"/>
  <c r="B81" i="2"/>
  <c r="B77" i="2"/>
  <c r="B75" i="2"/>
  <c r="B74" i="2"/>
  <c r="B73" i="2"/>
  <c r="B69" i="2"/>
  <c r="B68" i="2"/>
  <c r="B65" i="2"/>
  <c r="B64" i="2"/>
  <c r="B63" i="2"/>
  <c r="B62" i="2"/>
  <c r="B60" i="2"/>
  <c r="B59" i="2"/>
  <c r="B57" i="2"/>
  <c r="B56" i="2"/>
  <c r="B55" i="2"/>
  <c r="B54" i="2"/>
  <c r="B53" i="2"/>
  <c r="B51" i="2"/>
  <c r="B50" i="2"/>
  <c r="B48" i="2"/>
  <c r="B47" i="2"/>
  <c r="B46" i="2"/>
  <c r="B44" i="2"/>
  <c r="B43" i="2"/>
  <c r="B42" i="2"/>
  <c r="B40" i="2"/>
  <c r="B39" i="2"/>
  <c r="B38" i="2"/>
  <c r="B37" i="2"/>
  <c r="B36" i="2"/>
  <c r="B35" i="2"/>
  <c r="C34" i="2"/>
  <c r="B32" i="2"/>
  <c r="B31" i="2"/>
  <c r="B30" i="2"/>
  <c r="B28" i="2"/>
  <c r="B27" i="2"/>
  <c r="B26" i="2"/>
  <c r="B25" i="2"/>
  <c r="B23" i="2"/>
  <c r="B22" i="2"/>
  <c r="B19" i="2"/>
  <c r="B20" i="2"/>
  <c r="B18" i="2"/>
  <c r="M203" i="4"/>
  <c r="N203" i="4"/>
  <c r="M204" i="4"/>
  <c r="N204" i="4"/>
  <c r="M205" i="4"/>
  <c r="N205" i="4"/>
  <c r="M58" i="4"/>
  <c r="N58" i="4"/>
  <c r="M59" i="4"/>
  <c r="N59" i="4"/>
  <c r="M60" i="4"/>
  <c r="N60" i="4"/>
  <c r="M61" i="4"/>
  <c r="N61" i="4"/>
  <c r="M9" i="4"/>
  <c r="O203" i="4" l="1"/>
  <c r="O9" i="4"/>
  <c r="O205" i="4"/>
  <c r="O58" i="4"/>
  <c r="O204" i="4"/>
  <c r="O60" i="4"/>
  <c r="O59" i="4"/>
  <c r="O61" i="4"/>
  <c r="F6" i="5" l="1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5" i="5"/>
  <c r="G5" i="5" s="1"/>
  <c r="E6" i="5"/>
  <c r="E7" i="5"/>
  <c r="E8" i="5"/>
  <c r="E9" i="5"/>
  <c r="E10" i="5"/>
  <c r="E11" i="5"/>
  <c r="E12" i="5"/>
  <c r="E5" i="5"/>
  <c r="E13" i="5" l="1"/>
  <c r="F13" i="5"/>
  <c r="B100" i="2"/>
  <c r="B79" i="2"/>
  <c r="B80" i="2"/>
  <c r="B72" i="2"/>
  <c r="B85" i="2"/>
  <c r="B78" i="2"/>
  <c r="N206" i="4"/>
  <c r="M206" i="4"/>
  <c r="N202" i="4"/>
  <c r="M202" i="4"/>
  <c r="N201" i="4"/>
  <c r="M201" i="4"/>
  <c r="N200" i="4"/>
  <c r="M200" i="4"/>
  <c r="N199" i="4"/>
  <c r="M199" i="4"/>
  <c r="N197" i="4"/>
  <c r="M197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19" i="4"/>
  <c r="M119" i="4"/>
  <c r="N118" i="4"/>
  <c r="M118" i="4"/>
  <c r="N117" i="4"/>
  <c r="M117" i="4"/>
  <c r="N116" i="4"/>
  <c r="M116" i="4"/>
  <c r="N115" i="4"/>
  <c r="M115" i="4"/>
  <c r="N114" i="4"/>
  <c r="M114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102" i="4"/>
  <c r="M102" i="4"/>
  <c r="N89" i="4"/>
  <c r="M89" i="4"/>
  <c r="N88" i="4"/>
  <c r="M88" i="4"/>
  <c r="N87" i="4"/>
  <c r="M87" i="4"/>
  <c r="N86" i="4"/>
  <c r="M86" i="4"/>
  <c r="N85" i="4"/>
  <c r="M85" i="4"/>
  <c r="N84" i="4"/>
  <c r="M84" i="4"/>
  <c r="N62" i="4"/>
  <c r="M62" i="4"/>
  <c r="N57" i="4"/>
  <c r="M57" i="4"/>
  <c r="N56" i="4"/>
  <c r="M56" i="4"/>
  <c r="N55" i="4"/>
  <c r="M55" i="4"/>
  <c r="N54" i="4"/>
  <c r="M54" i="4"/>
  <c r="N53" i="4"/>
  <c r="M53" i="4"/>
  <c r="M11" i="4"/>
  <c r="O11" i="4" s="1"/>
  <c r="M10" i="4"/>
  <c r="O10" i="4" s="1"/>
  <c r="M8" i="4"/>
  <c r="O8" i="4" s="1"/>
  <c r="N6" i="4"/>
  <c r="M6" i="4"/>
  <c r="N5" i="4"/>
  <c r="M5" i="4"/>
  <c r="M4" i="4"/>
  <c r="O4" i="4" s="1"/>
  <c r="L3" i="4"/>
  <c r="J2" i="4" s="1"/>
  <c r="O5" i="4" l="1"/>
  <c r="M7" i="4"/>
  <c r="N7" i="4"/>
  <c r="O158" i="4"/>
  <c r="O85" i="4"/>
  <c r="O56" i="4"/>
  <c r="O117" i="4"/>
  <c r="O62" i="4"/>
  <c r="O104" i="4"/>
  <c r="O160" i="4"/>
  <c r="O155" i="4"/>
  <c r="O84" i="4"/>
  <c r="O161" i="4"/>
  <c r="O201" i="4"/>
  <c r="O54" i="4"/>
  <c r="O106" i="4"/>
  <c r="O114" i="4"/>
  <c r="O107" i="4"/>
  <c r="O115" i="4"/>
  <c r="O53" i="4"/>
  <c r="O57" i="4"/>
  <c r="O108" i="4"/>
  <c r="O197" i="4"/>
  <c r="O55" i="4"/>
  <c r="O200" i="4"/>
  <c r="O6" i="4"/>
  <c r="O87" i="4"/>
  <c r="O88" i="4"/>
  <c r="O105" i="4"/>
  <c r="O159" i="4"/>
  <c r="O202" i="4"/>
  <c r="O103" i="4"/>
  <c r="O199" i="4"/>
  <c r="O89" i="4"/>
  <c r="O206" i="4"/>
  <c r="O86" i="4"/>
  <c r="O156" i="4"/>
  <c r="O116" i="4"/>
  <c r="O118" i="4"/>
  <c r="O157" i="4"/>
  <c r="O119" i="4"/>
  <c r="O102" i="4"/>
  <c r="O7" i="4" l="1"/>
  <c r="C118" i="2" s="1"/>
  <c r="D118" i="2" s="1"/>
  <c r="B101" i="2"/>
  <c r="D101" i="2" s="1"/>
  <c r="B98" i="2"/>
  <c r="D98" i="2" s="1"/>
  <c r="D148" i="2"/>
  <c r="D147" i="2"/>
  <c r="D146" i="2"/>
  <c r="C145" i="2"/>
  <c r="C141" i="2" s="1"/>
  <c r="B145" i="2"/>
  <c r="D144" i="2"/>
  <c r="D143" i="2"/>
  <c r="D142" i="2"/>
  <c r="D136" i="2"/>
  <c r="D135" i="2"/>
  <c r="C134" i="2"/>
  <c r="B134" i="2"/>
  <c r="D131" i="2"/>
  <c r="D130" i="2"/>
  <c r="C129" i="2"/>
  <c r="C128" i="2" s="1"/>
  <c r="D127" i="2"/>
  <c r="D126" i="2"/>
  <c r="D125" i="2"/>
  <c r="D124" i="2"/>
  <c r="D123" i="2"/>
  <c r="D120" i="2"/>
  <c r="D119" i="2"/>
  <c r="D116" i="2"/>
  <c r="D115" i="2"/>
  <c r="D114" i="2"/>
  <c r="C113" i="2"/>
  <c r="B113" i="2"/>
  <c r="D112" i="2"/>
  <c r="D111" i="2"/>
  <c r="D110" i="2"/>
  <c r="D109" i="2"/>
  <c r="D108" i="2"/>
  <c r="D107" i="2"/>
  <c r="D106" i="2"/>
  <c r="C105" i="2"/>
  <c r="B105" i="2"/>
  <c r="C94" i="2"/>
  <c r="D104" i="2"/>
  <c r="D103" i="2"/>
  <c r="D102" i="2"/>
  <c r="D100" i="2"/>
  <c r="D99" i="2"/>
  <c r="D97" i="2"/>
  <c r="D96" i="2"/>
  <c r="D95" i="2"/>
  <c r="D92" i="2"/>
  <c r="D91" i="2"/>
  <c r="C90" i="2"/>
  <c r="B90" i="2"/>
  <c r="D89" i="2"/>
  <c r="D88" i="2"/>
  <c r="D87" i="2"/>
  <c r="C86" i="2"/>
  <c r="D85" i="2"/>
  <c r="D84" i="2"/>
  <c r="B83" i="2"/>
  <c r="D82" i="2"/>
  <c r="D81" i="2"/>
  <c r="D80" i="2"/>
  <c r="D79" i="2"/>
  <c r="D77" i="2"/>
  <c r="C76" i="2"/>
  <c r="D75" i="2"/>
  <c r="D74" i="2"/>
  <c r="D73" i="2"/>
  <c r="D72" i="2"/>
  <c r="B71" i="2"/>
  <c r="D69" i="2"/>
  <c r="D68" i="2"/>
  <c r="C67" i="2"/>
  <c r="C66" i="2" s="1"/>
  <c r="B67" i="2"/>
  <c r="D65" i="2"/>
  <c r="D64" i="2"/>
  <c r="D63" i="2"/>
  <c r="D62" i="2"/>
  <c r="C61" i="2"/>
  <c r="B61" i="2"/>
  <c r="D60" i="2"/>
  <c r="D59" i="2"/>
  <c r="C58" i="2"/>
  <c r="B58" i="2"/>
  <c r="D57" i="2"/>
  <c r="D56" i="2"/>
  <c r="D55" i="2"/>
  <c r="D54" i="2"/>
  <c r="D53" i="2"/>
  <c r="C52" i="2"/>
  <c r="B52" i="2"/>
  <c r="D51" i="2"/>
  <c r="D50" i="2"/>
  <c r="C49" i="2"/>
  <c r="D48" i="2"/>
  <c r="D47" i="2"/>
  <c r="D46" i="2"/>
  <c r="C45" i="2"/>
  <c r="B45" i="2"/>
  <c r="D43" i="2"/>
  <c r="D42" i="2"/>
  <c r="C41" i="2"/>
  <c r="D40" i="2"/>
  <c r="D39" i="2"/>
  <c r="D38" i="2"/>
  <c r="D37" i="2"/>
  <c r="D36" i="2"/>
  <c r="D35" i="2"/>
  <c r="B33" i="2"/>
  <c r="D32" i="2"/>
  <c r="D31" i="2"/>
  <c r="D28" i="2"/>
  <c r="D27" i="2"/>
  <c r="D26" i="2"/>
  <c r="D25" i="2"/>
  <c r="C24" i="2"/>
  <c r="B24" i="2"/>
  <c r="D23" i="2"/>
  <c r="D20" i="2"/>
  <c r="D19" i="2"/>
  <c r="D18" i="2"/>
  <c r="C17" i="2"/>
  <c r="B17" i="2"/>
  <c r="D13" i="2"/>
  <c r="D11" i="2"/>
  <c r="B10" i="2"/>
  <c r="D9" i="2"/>
  <c r="D8" i="2"/>
  <c r="D7" i="2"/>
  <c r="D6" i="2"/>
  <c r="D5" i="2"/>
  <c r="C3" i="2"/>
  <c r="I1" i="2" l="1"/>
  <c r="D145" i="2"/>
  <c r="D24" i="2"/>
  <c r="B141" i="2"/>
  <c r="D52" i="2"/>
  <c r="D113" i="2"/>
  <c r="D58" i="2"/>
  <c r="C21" i="2"/>
  <c r="B86" i="2"/>
  <c r="D141" i="2"/>
  <c r="D22" i="2"/>
  <c r="B76" i="2"/>
  <c r="B70" i="2" s="1"/>
  <c r="C71" i="2"/>
  <c r="D71" i="2" s="1"/>
  <c r="D61" i="2"/>
  <c r="C83" i="2"/>
  <c r="D67" i="2"/>
  <c r="D134" i="2"/>
  <c r="D90" i="2"/>
  <c r="B3" i="2"/>
  <c r="D3" i="2" s="1"/>
  <c r="C29" i="2"/>
  <c r="B94" i="2"/>
  <c r="D94" i="2" s="1"/>
  <c r="D86" i="2"/>
  <c r="D45" i="2"/>
  <c r="D121" i="2"/>
  <c r="B117" i="2"/>
  <c r="D105" i="2"/>
  <c r="D34" i="2"/>
  <c r="D44" i="2"/>
  <c r="B41" i="2"/>
  <c r="D41" i="2" s="1"/>
  <c r="D4" i="2"/>
  <c r="C33" i="2"/>
  <c r="B49" i="2"/>
  <c r="D49" i="2" s="1"/>
  <c r="B66" i="2"/>
  <c r="D66" i="2" s="1"/>
  <c r="B21" i="2"/>
  <c r="D78" i="2"/>
  <c r="D122" i="2"/>
  <c r="C117" i="2"/>
  <c r="C93" i="2" s="1"/>
  <c r="D17" i="2"/>
  <c r="B29" i="2"/>
  <c r="C70" i="2" l="1"/>
  <c r="D70" i="2" s="1"/>
  <c r="B2" i="2"/>
  <c r="D76" i="2"/>
  <c r="D83" i="2"/>
  <c r="D21" i="2"/>
  <c r="C16" i="2"/>
  <c r="D29" i="2"/>
  <c r="B93" i="2"/>
  <c r="D93" i="2" s="1"/>
  <c r="D33" i="2"/>
  <c r="B16" i="2"/>
  <c r="D117" i="2"/>
  <c r="C15" i="2" l="1"/>
  <c r="C14" i="2" s="1"/>
  <c r="B132" i="2" s="1"/>
  <c r="B15" i="2"/>
  <c r="D16" i="2"/>
  <c r="B133" i="2" l="1"/>
  <c r="D132" i="2"/>
  <c r="B129" i="2"/>
  <c r="D133" i="2"/>
  <c r="C12" i="2"/>
  <c r="D15" i="2"/>
  <c r="D12" i="2" l="1"/>
  <c r="C10" i="2"/>
  <c r="D129" i="2"/>
  <c r="B128" i="2"/>
  <c r="D10" i="2" l="1"/>
  <c r="C2" i="2"/>
  <c r="D128" i="2"/>
  <c r="B14" i="2"/>
  <c r="D14" i="2" l="1"/>
  <c r="D2" i="2"/>
  <c r="I5" i="2" l="1"/>
  <c r="I8" i="2" s="1"/>
  <c r="I6" i="2" l="1"/>
</calcChain>
</file>

<file path=xl/sharedStrings.xml><?xml version="1.0" encoding="utf-8"?>
<sst xmlns="http://schemas.openxmlformats.org/spreadsheetml/2006/main" count="24301" uniqueCount="5217">
  <si>
    <t>№
з/п</t>
  </si>
  <si>
    <t>Найменування робіт/витрат/матеріалів</t>
  </si>
  <si>
    <t>Од. вим.</t>
  </si>
  <si>
    <t>Кіль-
кість</t>
  </si>
  <si>
    <t>Вартість робіт за од.виміру, грн. з ПДВ</t>
  </si>
  <si>
    <t>Вартість матеріалів за од.виміру, грн. з ПДВ</t>
  </si>
  <si>
    <t>Вартість робіт за повний обсяг, грн. з ПДВ</t>
  </si>
  <si>
    <t>Вартість матеріалів  за повний обсяг, грн. з ПДВ</t>
  </si>
  <si>
    <t>Всього,   грн. з ПДВ</t>
  </si>
  <si>
    <t>І</t>
  </si>
  <si>
    <t>РОБОТА</t>
  </si>
  <si>
    <t>1.1</t>
  </si>
  <si>
    <t>м2</t>
  </si>
  <si>
    <t>1.2</t>
  </si>
  <si>
    <t>кг</t>
  </si>
  <si>
    <t>МАТЕРІАЛИ</t>
  </si>
  <si>
    <t>2.1</t>
  </si>
  <si>
    <t>2.2</t>
  </si>
  <si>
    <t>ІІ</t>
  </si>
  <si>
    <t>ІІІ</t>
  </si>
  <si>
    <t>шт</t>
  </si>
  <si>
    <t>МШП</t>
  </si>
  <si>
    <t>Аренда опалубки</t>
  </si>
  <si>
    <t>посл</t>
  </si>
  <si>
    <t>Загальновиробничі витрати</t>
  </si>
  <si>
    <t>Транспортні витрати дільниці</t>
  </si>
  <si>
    <t>міс</t>
  </si>
  <si>
    <t>Заходи з охорони праці</t>
  </si>
  <si>
    <t>Приїзд робітників</t>
  </si>
  <si>
    <t>Розробка ППРа, технолог карт</t>
  </si>
  <si>
    <t>Зарплата РМ (ф2)</t>
  </si>
  <si>
    <t>Зарплата РМ</t>
  </si>
  <si>
    <t>Начисления на зарплату PM</t>
  </si>
  <si>
    <t>Утримання зп РМ</t>
  </si>
  <si>
    <t>Відрядні ІТР</t>
  </si>
  <si>
    <t>днів</t>
  </si>
  <si>
    <t>Оренда житла ІТР</t>
  </si>
  <si>
    <t>Оренда житла робітників</t>
  </si>
  <si>
    <t>Зарплата підсобників</t>
  </si>
  <si>
    <t>Податки від суми надходжень</t>
  </si>
  <si>
    <t>Податки від Ф2</t>
  </si>
  <si>
    <t>Робота/матеріал/додаткові</t>
  </si>
  <si>
    <t xml:space="preserve">Найменування робіт/витрат/матеріалів узагальнена </t>
  </si>
  <si>
    <t>№</t>
  </si>
  <si>
    <t>Ст.затрат Упр отч</t>
  </si>
  <si>
    <t xml:space="preserve">Найменування роботи </t>
  </si>
  <si>
    <t>Од. виміру</t>
  </si>
  <si>
    <t>Об'єм</t>
  </si>
  <si>
    <t xml:space="preserve">Одинична розцінка або ціна, грн. з ПДВ
З КОЕФ </t>
  </si>
  <si>
    <t>Количество</t>
  </si>
  <si>
    <t>Коефіцієнт</t>
  </si>
  <si>
    <t>мес</t>
  </si>
  <si>
    <t>ф2</t>
  </si>
  <si>
    <t>Канцтовары</t>
  </si>
  <si>
    <t>ф1</t>
  </si>
  <si>
    <t>Другие хозтовары</t>
  </si>
  <si>
    <t>Чай, кофе</t>
  </si>
  <si>
    <t>Заправка картриджа</t>
  </si>
  <si>
    <t>Питьевая вода</t>
  </si>
  <si>
    <t>Курьерские и почтовые</t>
  </si>
  <si>
    <t>Ремонты</t>
  </si>
  <si>
    <t>Ремонты инструмента</t>
  </si>
  <si>
    <t>Разом по розділу</t>
  </si>
  <si>
    <t>Статья движения денежных средств</t>
  </si>
  <si>
    <t>Итого, грн</t>
  </si>
  <si>
    <t>Комментарии к бюджету объекта</t>
  </si>
  <si>
    <t>ПОСТУПЛЕНИЯ</t>
  </si>
  <si>
    <t xml:space="preserve">Операционная деятельность </t>
  </si>
  <si>
    <t>Поступление от Заказчика</t>
  </si>
  <si>
    <t>Прочие поступления</t>
  </si>
  <si>
    <t>Возврат залоговой суммы</t>
  </si>
  <si>
    <t>Поступление цех</t>
  </si>
  <si>
    <t>Поступление за технику</t>
  </si>
  <si>
    <t xml:space="preserve">Финансовая деятельность </t>
  </si>
  <si>
    <t>Финансовая помощь</t>
  </si>
  <si>
    <t>Поступление от Фин агента</t>
  </si>
  <si>
    <t>СПИСАНИЕ</t>
  </si>
  <si>
    <t>Административные затраты</t>
  </si>
  <si>
    <t>Аренда офиса</t>
  </si>
  <si>
    <t>Коммунальные платежи (офис)</t>
  </si>
  <si>
    <t>Охрана офиса и пожарная сигнализация</t>
  </si>
  <si>
    <t>Аренда квартиры</t>
  </si>
  <si>
    <t>Коммунальные платежи</t>
  </si>
  <si>
    <t>Затраты на персонал</t>
  </si>
  <si>
    <t>Затраты на обучение управленческого персонала</t>
  </si>
  <si>
    <t>Затраты по корпоративной культуре</t>
  </si>
  <si>
    <t>Материальная помощь</t>
  </si>
  <si>
    <t>Периодика</t>
  </si>
  <si>
    <t>Затраты на командировку</t>
  </si>
  <si>
    <t>Проезд</t>
  </si>
  <si>
    <t>Проживание</t>
  </si>
  <si>
    <t>Суточные</t>
  </si>
  <si>
    <t>Зарплата PM</t>
  </si>
  <si>
    <t>2 мес + 5 мес</t>
  </si>
  <si>
    <t>Удержание с зарплаты РМ</t>
  </si>
  <si>
    <t>Зарплата управленческого персонала</t>
  </si>
  <si>
    <t>Начисления на админ зарплату</t>
  </si>
  <si>
    <t>Премия админ персоналу</t>
  </si>
  <si>
    <t>Налоги и сборы</t>
  </si>
  <si>
    <t>Налог на прибыль</t>
  </si>
  <si>
    <t>НДС</t>
  </si>
  <si>
    <t>Прочие налоги</t>
  </si>
  <si>
    <t>Телекоммуникационные услуги</t>
  </si>
  <si>
    <t>Интернет</t>
  </si>
  <si>
    <t>Мобильная связь</t>
  </si>
  <si>
    <t>Стационарный телефон</t>
  </si>
  <si>
    <t>Транспортные затраты</t>
  </si>
  <si>
    <t>ГСМ (топливо)</t>
  </si>
  <si>
    <t>Такси</t>
  </si>
  <si>
    <t>Услуги</t>
  </si>
  <si>
    <t>Аутсорсинг</t>
  </si>
  <si>
    <t>Представительские затраты</t>
  </si>
  <si>
    <t>Лицензия Медок</t>
  </si>
  <si>
    <t>Уборка помещений</t>
  </si>
  <si>
    <t xml:space="preserve">Прочие затраты </t>
  </si>
  <si>
    <t>Услуги банков</t>
  </si>
  <si>
    <t>Комиссия банков и др.платежи по РКО</t>
  </si>
  <si>
    <t>Прочие услуги банка</t>
  </si>
  <si>
    <t>Юридические услуги</t>
  </si>
  <si>
    <t>Нотариальные действия</t>
  </si>
  <si>
    <t>Тендер</t>
  </si>
  <si>
    <t>Штраф</t>
  </si>
  <si>
    <t>Прочие юр.услуги</t>
  </si>
  <si>
    <t>Маркетинговые затраты</t>
  </si>
  <si>
    <t>Реклама</t>
  </si>
  <si>
    <t>Прочие маркетинговые затраты</t>
  </si>
  <si>
    <t>Общепроизводственные затраты</t>
  </si>
  <si>
    <t>ИТ расходы</t>
  </si>
  <si>
    <t>Обслуживание офисной техники</t>
  </si>
  <si>
    <t>ПО</t>
  </si>
  <si>
    <t>Расходный материал</t>
  </si>
  <si>
    <t>Благоустройство офиса</t>
  </si>
  <si>
    <t>Спецодежда</t>
  </si>
  <si>
    <t>Юридический адрес</t>
  </si>
  <si>
    <t>Хозтовары и материалы</t>
  </si>
  <si>
    <t>Бытовая химия</t>
  </si>
  <si>
    <t>чай, кофе</t>
  </si>
  <si>
    <t>Охрана труда</t>
  </si>
  <si>
    <t>Медосмотр</t>
  </si>
  <si>
    <t>Обучение производственного персонала</t>
  </si>
  <si>
    <t>Прочие затраты ОТ</t>
  </si>
  <si>
    <t>Разрешительная документация</t>
  </si>
  <si>
    <t>Страхование</t>
  </si>
  <si>
    <t>Производственные затраты</t>
  </si>
  <si>
    <t>Производственные затраты и услуги</t>
  </si>
  <si>
    <t>Вывоз мусора</t>
  </si>
  <si>
    <t>Залоговая сумма</t>
  </si>
  <si>
    <t>Запчасти для спецтехники</t>
  </si>
  <si>
    <t>Прочие производственные затраты</t>
  </si>
  <si>
    <t>Строительные материалы</t>
  </si>
  <si>
    <t>ТО (техническое обслуживание)</t>
  </si>
  <si>
    <t>Транспортные расходы</t>
  </si>
  <si>
    <t>Аренда производственного назначения</t>
  </si>
  <si>
    <t>Аренда техники</t>
  </si>
  <si>
    <t>Аренда сторонней техники</t>
  </si>
  <si>
    <t>Аренда вагончика</t>
  </si>
  <si>
    <t>Аренда строительного оборудования</t>
  </si>
  <si>
    <t>Аренда баллонов</t>
  </si>
  <si>
    <t>Аренда нежилых помещений</t>
  </si>
  <si>
    <t>Горючесмазочные материалы</t>
  </si>
  <si>
    <t>Топливо</t>
  </si>
  <si>
    <t>Смазка</t>
  </si>
  <si>
    <t>Масло</t>
  </si>
  <si>
    <t>Удержание с зарплаты производственного персонала</t>
  </si>
  <si>
    <t>Начисления на зарплату производственного персонала</t>
  </si>
  <si>
    <t>Зарплата ИТР</t>
  </si>
  <si>
    <t>Удержание с зарплаты ИТР</t>
  </si>
  <si>
    <t>Начисления на зарплату ИТР</t>
  </si>
  <si>
    <t>Оплата за выполненные работы</t>
  </si>
  <si>
    <t>Премия производств.персонал</t>
  </si>
  <si>
    <t>Финансовая деятельность</t>
  </si>
  <si>
    <t>Внутригрупповые затраты</t>
  </si>
  <si>
    <t>Затраты на пополнение уставного капитала</t>
  </si>
  <si>
    <t>15 %</t>
  </si>
  <si>
    <t>Оплата Фин агентам</t>
  </si>
  <si>
    <t>Дивиденды</t>
  </si>
  <si>
    <t>ФИЛ/ФИК/МИК</t>
  </si>
  <si>
    <t>Инвестиционная деятельность</t>
  </si>
  <si>
    <t>Покупка производственных ОС</t>
  </si>
  <si>
    <t>Капитальные инвестиции</t>
  </si>
  <si>
    <t>покупка крана Пионер - 120 тыс; покупка штабелеров - 2 шт * 50 тыс = 100 тыс</t>
  </si>
  <si>
    <t>Модернизация ОС</t>
  </si>
  <si>
    <t>Покупка ОС админ назначения</t>
  </si>
  <si>
    <t>Компьютерная техника</t>
  </si>
  <si>
    <t>Мебель</t>
  </si>
  <si>
    <t>Прочие ОС</t>
  </si>
  <si>
    <t>Поступление от возврата денежных средств</t>
  </si>
  <si>
    <t>Получение финансовой помощи</t>
  </si>
  <si>
    <t>Кредитная линия</t>
  </si>
  <si>
    <t>ЗП управленческого персонала с начислениями</t>
  </si>
  <si>
    <t>Удержание с админ зарплату</t>
  </si>
  <si>
    <t>Услуги сторонних организаций</t>
  </si>
  <si>
    <t>ЗП производственного персонала с начислениями</t>
  </si>
  <si>
    <t>Зарплата производственного персонала</t>
  </si>
  <si>
    <t>Зарплата подсобников</t>
  </si>
  <si>
    <t>Зарплата кладовщика</t>
  </si>
  <si>
    <t>Комиссия по Фин агенту</t>
  </si>
  <si>
    <t>Возврат кредитной линии</t>
  </si>
  <si>
    <t>Возврат Финансовой помощи</t>
  </si>
  <si>
    <t>Каркас</t>
  </si>
  <si>
    <t>Робота</t>
  </si>
  <si>
    <t>чол/год</t>
  </si>
  <si>
    <t>Виробництво/Будівництво</t>
  </si>
  <si>
    <t>Розчинник</t>
  </si>
  <si>
    <t>Матеріал</t>
  </si>
  <si>
    <t>Отделка</t>
  </si>
  <si>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</si>
  <si>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</si>
  <si>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</si>
  <si>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</si>
  <si>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</si>
  <si>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</si>
  <si>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</si>
  <si>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</si>
  <si>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</si>
  <si>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</si>
  <si>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</si>
  <si>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</si>
  <si>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</si>
  <si>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</si>
  <si>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</si>
  <si>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</si>
  <si>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</si>
  <si>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</si>
  <si>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</si>
  <si>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</si>
  <si>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</si>
  <si>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</si>
  <si>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</si>
  <si>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</si>
  <si>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</si>
  <si>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</si>
  <si>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</si>
  <si>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</si>
  <si>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</si>
  <si>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</si>
  <si>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</si>
  <si>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</si>
  <si>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</si>
  <si>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</si>
  <si>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</si>
  <si>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</si>
  <si>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</si>
  <si>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1.2.31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</si>
  <si>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</si>
  <si>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</si>
  <si>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</si>
  <si>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</si>
  <si>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</si>
  <si>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</si>
  <si>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</si>
  <si>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</si>
  <si>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</si>
  <si>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</si>
  <si>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</si>
  <si>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</si>
  <si>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</si>
  <si>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</si>
  <si>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</si>
  <si>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</si>
  <si>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</si>
  <si>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л</t>
  </si>
  <si>
    <t>м.п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</si>
  <si>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</si>
  <si>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</si>
  <si>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</si>
  <si>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</si>
  <si>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</si>
  <si>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</si>
  <si>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</si>
  <si>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</si>
  <si>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</si>
  <si>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</si>
  <si>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Фасад</t>
  </si>
  <si>
    <t>Стаття в ДДС</t>
  </si>
  <si>
    <t>3.1</t>
  </si>
  <si>
    <t>3.1.1</t>
  </si>
  <si>
    <t>3.1.2</t>
  </si>
  <si>
    <t>3.1.3</t>
  </si>
  <si>
    <t>3.1.4</t>
  </si>
  <si>
    <t>IV</t>
  </si>
  <si>
    <t>Окна/двери</t>
  </si>
  <si>
    <t>4.1</t>
  </si>
  <si>
    <t>4.1.1</t>
  </si>
  <si>
    <t>4.1.2</t>
  </si>
  <si>
    <t>4.1.3</t>
  </si>
  <si>
    <t>4.1.4</t>
  </si>
  <si>
    <t>4.2</t>
  </si>
  <si>
    <t>3.1.7</t>
  </si>
  <si>
    <t>Электрика/Подогрев</t>
  </si>
  <si>
    <t>V</t>
  </si>
  <si>
    <t>5.1</t>
  </si>
  <si>
    <t>5.1.1</t>
  </si>
  <si>
    <t>5.1.2</t>
  </si>
  <si>
    <t>5.1.3</t>
  </si>
  <si>
    <t>м</t>
  </si>
  <si>
    <t>5.2</t>
  </si>
  <si>
    <t>4.2.1</t>
  </si>
  <si>
    <t>4.2.2</t>
  </si>
  <si>
    <t>4.2.3</t>
  </si>
  <si>
    <t>4.2.4</t>
  </si>
  <si>
    <t>4.2.5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</si>
  <si>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</si>
  <si>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</si>
  <si>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</si>
  <si>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</si>
  <si>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</si>
  <si>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</si>
  <si>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</si>
  <si>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</si>
  <si>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</si>
  <si>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</si>
  <si>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</si>
  <si>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</si>
  <si>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</si>
  <si>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</si>
  <si>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</si>
  <si>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</si>
  <si>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</si>
  <si>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</si>
  <si>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</si>
  <si>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</si>
  <si>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</si>
  <si>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</si>
  <si>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</si>
  <si>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</si>
  <si>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</si>
  <si>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</si>
  <si>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</si>
  <si>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>5.2.28</t>
  </si>
  <si>
    <t>Сантехника</t>
  </si>
  <si>
    <t>VI</t>
  </si>
  <si>
    <t>6.1</t>
  </si>
  <si>
    <t>6.1.1</t>
  </si>
  <si>
    <t>6.1.2</t>
  </si>
  <si>
    <t>6.2</t>
  </si>
  <si>
    <t>6.2.1</t>
  </si>
  <si>
    <t>6.1.3</t>
  </si>
  <si>
    <t>6.1.4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</si>
  <si>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</si>
  <si>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</si>
  <si>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</si>
  <si>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</si>
  <si>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</si>
  <si>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</si>
  <si>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</si>
  <si>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</si>
  <si>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</si>
  <si>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</si>
  <si>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</si>
  <si>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</si>
  <si>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</si>
  <si>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</si>
  <si>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</si>
  <si>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</si>
  <si>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</si>
  <si>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</si>
  <si>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</si>
  <si>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</si>
  <si>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</si>
  <si>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</si>
  <si>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</si>
  <si>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</si>
  <si>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6.2.26</t>
  </si>
  <si>
    <t>6.2.27</t>
  </si>
  <si>
    <t>6.2.28</t>
  </si>
  <si>
    <t>6.2.29</t>
  </si>
  <si>
    <t>6.2.30</t>
  </si>
  <si>
    <t>6.2.31</t>
  </si>
  <si>
    <t>VII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</si>
  <si>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</si>
  <si>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</si>
  <si>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</si>
  <si>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</si>
  <si>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</si>
  <si>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</si>
  <si>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</si>
  <si>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</si>
  <si>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</si>
  <si>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</si>
  <si>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</si>
  <si>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</si>
  <si>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</si>
  <si>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</si>
  <si>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</si>
  <si>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VIII</t>
  </si>
  <si>
    <t>Монтаж будинку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</si>
  <si>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</si>
  <si>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</si>
  <si>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</si>
  <si>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</si>
  <si>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</si>
  <si>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</si>
  <si>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</si>
  <si>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</si>
  <si>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</si>
  <si>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</si>
  <si>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8.2</t>
  </si>
  <si>
    <t>8.2.1</t>
  </si>
  <si>
    <t>8.2.2</t>
  </si>
  <si>
    <t>8.2.3</t>
  </si>
  <si>
    <t>IX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</si>
  <si>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</si>
  <si>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</si>
  <si>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</si>
  <si>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</si>
  <si>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</si>
  <si>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</si>
  <si>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</si>
  <si>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</si>
  <si>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</si>
  <si>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</si>
  <si>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</si>
  <si>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</si>
  <si>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</si>
  <si>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</si>
  <si>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</si>
  <si>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</si>
  <si>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</si>
  <si>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</si>
  <si>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9.1.18</t>
  </si>
  <si>
    <t>9.1.19</t>
  </si>
  <si>
    <t>Зарплата ІТР ) (ф2)</t>
  </si>
  <si>
    <t xml:space="preserve">Зарплата ІТР </t>
  </si>
  <si>
    <t xml:space="preserve">Утримання зп ІТР </t>
  </si>
  <si>
    <t>Дополнительная Комплектация</t>
  </si>
  <si>
    <t>Тип робіт</t>
  </si>
  <si>
    <t>Названия строк</t>
  </si>
  <si>
    <t>Общий итог</t>
  </si>
  <si>
    <t>Сумма по полю Всього,   грн. з ПДВ</t>
  </si>
  <si>
    <t>Названия столбцов</t>
  </si>
  <si>
    <t xml:space="preserve">№
</t>
  </si>
  <si>
    <t xml:space="preserve">Курс </t>
  </si>
  <si>
    <t xml:space="preserve">Площадь </t>
  </si>
  <si>
    <t>Общий итог $</t>
  </si>
  <si>
    <t>Материал  $</t>
  </si>
  <si>
    <t>На 1 м2 $</t>
  </si>
  <si>
    <t>Нарізання деталей зігдно креслень</t>
  </si>
  <si>
    <t>Обробка матеріалу (дерево)</t>
  </si>
  <si>
    <t>Збирання деталей</t>
  </si>
  <si>
    <t>зварювання (дерево  зєдання)</t>
  </si>
  <si>
    <t>Грунтування металокаркасу</t>
  </si>
  <si>
    <t>Фарубування металокаркасу</t>
  </si>
  <si>
    <t>Приймання матеріалу</t>
  </si>
  <si>
    <t>Влаштування підшиви модуля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</si>
  <si>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</si>
  <si>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</si>
  <si>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</si>
  <si>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</si>
  <si>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Утеплення стеля та стіни</t>
  </si>
  <si>
    <t>Гідроізоляційна та пароізоляція стін та стелі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</si>
  <si>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</si>
  <si>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</si>
  <si>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</si>
  <si>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</si>
  <si>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</si>
  <si>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</si>
  <si>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</si>
  <si>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</si>
  <si>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електрокабеля</t>
  </si>
  <si>
    <t>монтаж електрофурнітури</t>
  </si>
  <si>
    <t>монтаж електроприборів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</si>
  <si>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</si>
  <si>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</si>
  <si>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</si>
  <si>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</si>
  <si>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>збираня меблів</t>
  </si>
  <si>
    <t>монтаж  меблів</t>
  </si>
  <si>
    <t>монжа кондиціонеру</t>
  </si>
  <si>
    <t>монтаж  відеонагляду</t>
  </si>
  <si>
    <t>монтаж  інтернету</t>
  </si>
  <si>
    <t>монжа пожежної  безпеки</t>
  </si>
  <si>
    <t>монтаж  заземелення</t>
  </si>
  <si>
    <t>Монтаж  фундаменту</t>
  </si>
  <si>
    <t>Монтаж  модульного  будинку</t>
  </si>
  <si>
    <t>Фіншнє  заверешення монтажу (ззовні та всередні)</t>
  </si>
  <si>
    <t>Підключення електрики</t>
  </si>
  <si>
    <t>Підключення води</t>
  </si>
  <si>
    <t>Підключення каналізації</t>
  </si>
  <si>
    <t>Монтаж  септику</t>
  </si>
  <si>
    <t>інші роботи</t>
  </si>
  <si>
    <t>1.1.8</t>
  </si>
  <si>
    <t>2.1.7</t>
  </si>
  <si>
    <t>7.1.5</t>
  </si>
  <si>
    <t>7.1.6</t>
  </si>
  <si>
    <t>7.1.7</t>
  </si>
  <si>
    <t>Лист 4мм</t>
  </si>
  <si>
    <t>Лист 8мм</t>
  </si>
  <si>
    <t>Лист 14мм</t>
  </si>
  <si>
    <t>м.кв.</t>
  </si>
  <si>
    <t>Вікна/двері</t>
  </si>
  <si>
    <t>Клема з'єднувальна WGn-2</t>
  </si>
  <si>
    <t>Клема з'єднувальна WGn-3</t>
  </si>
  <si>
    <t>Клема з'єднувальна WGn-5</t>
  </si>
  <si>
    <t>084-020-0002 Світильник аварійний</t>
  </si>
  <si>
    <t>Додаткова Комплектація</t>
  </si>
  <si>
    <t>Автокран</t>
  </si>
  <si>
    <t>послуга</t>
  </si>
  <si>
    <t>Непередбачувана робота</t>
  </si>
  <si>
    <t>Непередбачувані матеріали</t>
  </si>
  <si>
    <t>Оренда Екскаватора</t>
  </si>
  <si>
    <t>Траснпортны витрати</t>
  </si>
  <si>
    <t>Розробка креслень</t>
  </si>
  <si>
    <t>Загальна сс, грн</t>
  </si>
  <si>
    <t>Налоговая нагрузка, 3%:</t>
  </si>
  <si>
    <t>КП:</t>
  </si>
  <si>
    <t>Маржа, грн: за шт</t>
  </si>
  <si>
    <t>Маржа, %:</t>
  </si>
  <si>
    <t>Количество  в заказе, шт</t>
  </si>
  <si>
    <t>Итого  маржа по заказу,  грн</t>
  </si>
  <si>
    <t xml:space="preserve">Матеріали </t>
  </si>
  <si>
    <t>9.1.20</t>
  </si>
  <si>
    <t>9.1.21</t>
  </si>
  <si>
    <t>9.1.22</t>
  </si>
  <si>
    <t>9.1.23</t>
  </si>
  <si>
    <t>9.1.24</t>
  </si>
  <si>
    <t>9.1.25</t>
  </si>
  <si>
    <t>т</t>
  </si>
  <si>
    <t>м.п.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</si>
  <si>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</si>
  <si>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</si>
  <si>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</si>
  <si>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</si>
  <si>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</si>
  <si>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</si>
  <si>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</si>
  <si>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</si>
  <si>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</si>
  <si>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</si>
  <si>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</si>
  <si>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</si>
  <si>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</si>
  <si>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</si>
  <si>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</si>
  <si>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</si>
  <si>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Профільна труба</t>
  </si>
  <si>
    <t>Болт</t>
  </si>
  <si>
    <t>Гайка</t>
  </si>
  <si>
    <t>Шайба</t>
  </si>
  <si>
    <t>Гровер</t>
  </si>
  <si>
    <t>мінеральна вата</t>
  </si>
  <si>
    <t>Брус</t>
  </si>
  <si>
    <t>Дошка</t>
  </si>
  <si>
    <t>Герметик</t>
  </si>
  <si>
    <t>Плінтус</t>
  </si>
  <si>
    <t>Саморіз</t>
  </si>
  <si>
    <t>Профнастил</t>
  </si>
  <si>
    <t>Вікна</t>
  </si>
  <si>
    <t>Электрика</t>
  </si>
  <si>
    <t>Кабель</t>
  </si>
  <si>
    <t>Розетка</t>
  </si>
  <si>
    <t>Світильник</t>
  </si>
  <si>
    <t>Шина</t>
  </si>
  <si>
    <t>Клема</t>
  </si>
  <si>
    <t>Вилка</t>
  </si>
  <si>
    <t>Перехід</t>
  </si>
  <si>
    <t>Труба</t>
  </si>
  <si>
    <t>Трійник</t>
  </si>
  <si>
    <t>Кріплення</t>
  </si>
  <si>
    <t>Кран</t>
  </si>
  <si>
    <t>Муфта</t>
  </si>
  <si>
    <t>Шланг</t>
  </si>
  <si>
    <t>Шафа</t>
  </si>
  <si>
    <t>Вентилятор</t>
  </si>
  <si>
    <t>Монтаж</t>
  </si>
  <si>
    <t>Коліно</t>
  </si>
  <si>
    <t>Загальновиробничі</t>
  </si>
  <si>
    <t>Мембрана</t>
  </si>
  <si>
    <t>Вхідні двері металеві</t>
  </si>
  <si>
    <t>Внутрішні двері металопластикові</t>
  </si>
  <si>
    <t>Гладкий лист метал</t>
  </si>
  <si>
    <t>Вікно металопластикове</t>
  </si>
  <si>
    <t>Піна клей</t>
  </si>
  <si>
    <t>Труба каналізаційна</t>
  </si>
  <si>
    <t>Унітаз-Компакт</t>
  </si>
  <si>
    <t>Тумбочка</t>
  </si>
  <si>
    <t>Сифон</t>
  </si>
  <si>
    <t>Вимикач</t>
  </si>
  <si>
    <t>рамка</t>
  </si>
  <si>
    <t>Ізоляційна стрічка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</si>
  <si>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</si>
  <si>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</si>
  <si>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</si>
  <si>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</si>
  <si>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</si>
  <si>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</si>
  <si>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</si>
  <si>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</si>
  <si>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</si>
  <si>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</si>
  <si>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лист ГК</t>
  </si>
  <si>
    <t>Шпилька</t>
  </si>
  <si>
    <t>Труба 40*40*3</t>
  </si>
  <si>
    <t>кутик 32*32 *3</t>
  </si>
  <si>
    <t>Кутики сталеві</t>
  </si>
  <si>
    <t>пвл 406 1,25*2,5</t>
  </si>
  <si>
    <t>лист</t>
  </si>
  <si>
    <t>Труба 50*50*4</t>
  </si>
  <si>
    <t>Болт м12 (60мм)</t>
  </si>
  <si>
    <t>Болт м12 (90мм)</t>
  </si>
  <si>
    <t>шайба м12</t>
  </si>
  <si>
    <t>гровер м12</t>
  </si>
  <si>
    <t>Завіса 16мм</t>
  </si>
  <si>
    <t>Завіса</t>
  </si>
  <si>
    <t>Фарба 3 в 1 сіра</t>
  </si>
  <si>
    <t>Фарба</t>
  </si>
  <si>
    <t>Пінопласт</t>
  </si>
  <si>
    <t>Інформаційний банер</t>
  </si>
  <si>
    <t>Вітробарєр</t>
  </si>
  <si>
    <t>Плита ЦСП</t>
  </si>
  <si>
    <t>Лінолеум</t>
  </si>
  <si>
    <t>Клей для лінолеума</t>
  </si>
  <si>
    <t>Гвинт</t>
  </si>
  <si>
    <t>Страж (оброблення деревини)</t>
  </si>
  <si>
    <t>Вогнезахист</t>
  </si>
  <si>
    <t>Плита ОСБ</t>
  </si>
  <si>
    <t>Дверцята ревізійні</t>
  </si>
  <si>
    <t>Клей монтажнй білий</t>
  </si>
  <si>
    <t>Клей</t>
  </si>
  <si>
    <t>Теплий відкос</t>
  </si>
  <si>
    <t>Кутики пластикові</t>
  </si>
  <si>
    <t>ПВХ вагонка</t>
  </si>
  <si>
    <t>Лента</t>
  </si>
  <si>
    <t>3.1.5</t>
  </si>
  <si>
    <t>3.1.6</t>
  </si>
  <si>
    <t>Розподільчий щит</t>
  </si>
  <si>
    <t>ВВГнгд 3х4 кабель</t>
  </si>
  <si>
    <t>ВВГнгд 3х2,5 кабель</t>
  </si>
  <si>
    <t>ВВГнгд 3х1,5 кабель</t>
  </si>
  <si>
    <t>Труба гофра</t>
  </si>
  <si>
    <t>Реле напруги</t>
  </si>
  <si>
    <t>Диференційний автомат</t>
  </si>
  <si>
    <t>Розподільча коробка</t>
  </si>
  <si>
    <t>Розетка стаціонарна</t>
  </si>
  <si>
    <t>Тепла підлога</t>
  </si>
  <si>
    <t>KO100-1 Канал d100/1</t>
  </si>
  <si>
    <t>Канал вентиляційний</t>
  </si>
  <si>
    <t>Гратка вентиляційна</t>
  </si>
  <si>
    <t>Обігрівач</t>
  </si>
  <si>
    <t>Кондиционер</t>
  </si>
  <si>
    <t>5.2.29</t>
  </si>
  <si>
    <t>5.2.30</t>
  </si>
  <si>
    <t>5.2.31</t>
  </si>
  <si>
    <t>5.2.32</t>
  </si>
  <si>
    <t>5.2.33</t>
  </si>
  <si>
    <t>5.2.34</t>
  </si>
  <si>
    <t>5.2.35</t>
  </si>
  <si>
    <t>Гнучка труба</t>
  </si>
  <si>
    <t>Бойлер</t>
  </si>
  <si>
    <t>Ємність</t>
  </si>
  <si>
    <t>З'єднувач з американкою</t>
  </si>
  <si>
    <t>Клапан зворотній</t>
  </si>
  <si>
    <t>Насосна станція</t>
  </si>
  <si>
    <t>Ніпель</t>
  </si>
  <si>
    <t>Обвідне коліно</t>
  </si>
  <si>
    <t>Сигналізація виявлення диму</t>
  </si>
  <si>
    <t>Умивальник</t>
  </si>
  <si>
    <t>Хомут</t>
  </si>
  <si>
    <t>Перехід латунний 1,2"х3,4"</t>
  </si>
  <si>
    <t>Зворотній клапан 1,2" ВВ</t>
  </si>
  <si>
    <t>Хомут для труб PP-R д20</t>
  </si>
  <si>
    <t>Підключення</t>
  </si>
  <si>
    <t>Ринва</t>
  </si>
  <si>
    <t>труба</t>
  </si>
  <si>
    <t>Злив лівий</t>
  </si>
  <si>
    <t>Злив</t>
  </si>
  <si>
    <t>Злив правий</t>
  </si>
  <si>
    <t>Відвід</t>
  </si>
  <si>
    <t>кріплення труби</t>
  </si>
  <si>
    <t>З'єднувач</t>
  </si>
  <si>
    <t>Вогнегасник</t>
  </si>
  <si>
    <t>Протипожежна ковдра</t>
  </si>
  <si>
    <t>Килимок</t>
  </si>
  <si>
    <t>Стілець</t>
  </si>
  <si>
    <t>Дозатор</t>
  </si>
  <si>
    <t>Стіл</t>
  </si>
  <si>
    <t>Кушетка</t>
  </si>
  <si>
    <t>Вішалка</t>
  </si>
  <si>
    <t>Столик медичний</t>
  </si>
  <si>
    <t>Тумба офісна</t>
  </si>
  <si>
    <t>Крісло</t>
  </si>
  <si>
    <t>УФ лампа</t>
  </si>
  <si>
    <t>Поручень</t>
  </si>
  <si>
    <t>Генератор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</si>
  <si>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</si>
  <si>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</si>
  <si>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</si>
  <si>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</si>
  <si>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</si>
  <si>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</si>
  <si>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</si>
  <si>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</si>
  <si>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</si>
  <si>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8.2.29</t>
  </si>
  <si>
    <t>8.2.30</t>
  </si>
  <si>
    <t>8.2.31</t>
  </si>
  <si>
    <t>8.2.32</t>
  </si>
  <si>
    <t>8.2.33</t>
  </si>
  <si>
    <t>8.2.34</t>
  </si>
  <si>
    <t>8.2.35</t>
  </si>
  <si>
    <t>8.2.36</t>
  </si>
  <si>
    <t>8.2.37</t>
  </si>
  <si>
    <t>8.2.38</t>
  </si>
  <si>
    <t>+</t>
  </si>
  <si>
    <t>Найменування матеріалів</t>
  </si>
  <si>
    <t>Кількість</t>
  </si>
  <si>
    <t>Вартість матеріалів за од., грн. з ПДВ</t>
  </si>
  <si>
    <t>Разом вартість матеріалів, грн. з ПДВ</t>
  </si>
  <si>
    <t>Вартість  1 м.кв. грн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</si>
  <si>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</si>
  <si>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</si>
  <si>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</si>
  <si>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</si>
  <si>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Гайка М48</t>
  </si>
  <si>
    <t>Шпилька М48 довжина 1000 мм</t>
  </si>
  <si>
    <t>Гайка М24</t>
  </si>
  <si>
    <t>Болт М24х200</t>
  </si>
  <si>
    <t>Гайки м12</t>
  </si>
  <si>
    <t>Пінополістірол 100 мм (500*1000)</t>
  </si>
  <si>
    <t>Електроди 3 мм</t>
  </si>
  <si>
    <t>Електроди</t>
  </si>
  <si>
    <t>Проволка зварна 1,2 мм</t>
  </si>
  <si>
    <t>Зварювальна проволка</t>
  </si>
  <si>
    <t>Мікс балон</t>
  </si>
  <si>
    <t>Газ зварювальний</t>
  </si>
  <si>
    <t>балон</t>
  </si>
  <si>
    <t>Обрізний диск 230 мм</t>
  </si>
  <si>
    <t>Диск відрізний</t>
  </si>
  <si>
    <t>Брус 50*50 сосна стругана</t>
  </si>
  <si>
    <t>Дошка 20*100</t>
  </si>
  <si>
    <t>Замок навісний</t>
  </si>
  <si>
    <t>Замок</t>
  </si>
  <si>
    <t>Саморіз RAL 9003 5,5*32</t>
  </si>
  <si>
    <t>Шуруп універсальний 4,5*45</t>
  </si>
  <si>
    <t>Шуруп універсальний 5*70</t>
  </si>
  <si>
    <t>Саморіз 5,5*70</t>
  </si>
  <si>
    <t>Саморіз чорний 25 мм для гипсокартона</t>
  </si>
  <si>
    <t>Саморіз покрівельний 4,8*50</t>
  </si>
  <si>
    <t>Гвинт з прес-шайбою 4,2*19</t>
  </si>
  <si>
    <t>Гвинт з прес-шайбою 4,2*16</t>
  </si>
  <si>
    <t>Шуруп з пером 5,5*90</t>
  </si>
  <si>
    <t>Загальна сума</t>
  </si>
  <si>
    <t>Паро-гідро бар'єр</t>
  </si>
  <si>
    <t>Пінопласт товщина 50 мм</t>
  </si>
  <si>
    <t>Мінеральна вата (100 мм)</t>
  </si>
  <si>
    <t>Мінеральна вата (50 мм)</t>
  </si>
  <si>
    <t>ЦСП панель 20 мм</t>
  </si>
  <si>
    <t>Лінолеум комерційний на підлогу</t>
  </si>
  <si>
    <t>Лінолеум на стіни</t>
  </si>
  <si>
    <t>Плінтус 100</t>
  </si>
  <si>
    <t>ПВХ вагонка 8мм біла</t>
  </si>
  <si>
    <t>Меблевий кутик</t>
  </si>
  <si>
    <t>Дверцята ревізійні пластикові</t>
  </si>
  <si>
    <t>ОСБ плита 10 мм</t>
  </si>
  <si>
    <t>Грунт під клей</t>
  </si>
  <si>
    <t>Герметик акриловий</t>
  </si>
  <si>
    <t>Кутики білі 30*30 мм</t>
  </si>
  <si>
    <t>Кутики білі 50*50 мм</t>
  </si>
  <si>
    <t>Порфлист ПК 8</t>
  </si>
  <si>
    <t>Порфлист ПК 20 Покрівля</t>
  </si>
  <si>
    <t>Порфлист ПК 10 Стіни</t>
  </si>
  <si>
    <t>Гладкий лист білий</t>
  </si>
  <si>
    <t>Відвід 45</t>
  </si>
  <si>
    <t>кріплення ринви</t>
  </si>
  <si>
    <t>зєднувачі ринви</t>
  </si>
  <si>
    <t>Вікно металопластик 870*1140</t>
  </si>
  <si>
    <t>Двері внутрішні металопластикові</t>
  </si>
  <si>
    <t>Підвіконик ПВХ</t>
  </si>
  <si>
    <t>Підвіконик</t>
  </si>
  <si>
    <t>Піна монтажна</t>
  </si>
  <si>
    <t>Щиток пластиковий зовнішній</t>
  </si>
  <si>
    <t>Труба ПВХ гнучка гофр. 20мм</t>
  </si>
  <si>
    <t>Модульний автомат ... 10А</t>
  </si>
  <si>
    <t>Модульний автомат ... 16А</t>
  </si>
  <si>
    <t>Модульний автомат ... 25А</t>
  </si>
  <si>
    <t>Шина нульова</t>
  </si>
  <si>
    <t>Розподільча коробка 100*100*45</t>
  </si>
  <si>
    <t>MB002 Коробка монтажна 65х45</t>
  </si>
  <si>
    <t>Розетка стаціонарна 32А IP44</t>
  </si>
  <si>
    <t>Вилка переносна 32А IP44</t>
  </si>
  <si>
    <t>LED світильник LEBRON 12W</t>
  </si>
  <si>
    <t>Лед.св.офісний PANEL 43 36W</t>
  </si>
  <si>
    <t>Світлодіод.акс. Рамка накл.</t>
  </si>
  <si>
    <t>Світ-к стінний_MAGNUM 60W</t>
  </si>
  <si>
    <t>Світлодіод.лампа 15 Вт</t>
  </si>
  <si>
    <t>EPH0370121 Вимикач двоклавішний</t>
  </si>
  <si>
    <t>EPH5800121 Рамка 1-постова</t>
  </si>
  <si>
    <t>Вимикач 1-кл. 10A</t>
  </si>
  <si>
    <t>Розетка ... із заземленням</t>
  </si>
  <si>
    <t>Розетка з з/к IP44 кришка</t>
  </si>
  <si>
    <t>РОЗЕТКА ПОДВІЙНА З З/К</t>
  </si>
  <si>
    <t>Комплект теплої підлоги</t>
  </si>
  <si>
    <t>Вентилятор Домовент 100 СВ</t>
  </si>
  <si>
    <t>МВ 102 ВК АБС гратка</t>
  </si>
  <si>
    <t>АВР</t>
  </si>
  <si>
    <t>Обігрівач керамічний</t>
  </si>
  <si>
    <t>Труба ПВХ д32 (500мм)</t>
  </si>
  <si>
    <t>Труба ПВХ д32 (1000мм)</t>
  </si>
  <si>
    <t>Труба ПВХ д110 (500мм)</t>
  </si>
  <si>
    <t>Труба ПВХ д110 (3000мм)</t>
  </si>
  <si>
    <t>Відвід ПВХ д110 45</t>
  </si>
  <si>
    <t>Відвід ПВХ д32 87</t>
  </si>
  <si>
    <t>Сантехнічна редукція 50х32</t>
  </si>
  <si>
    <t>Перехід ексентричний 110х50</t>
  </si>
  <si>
    <t>Трійник д110 87</t>
  </si>
  <si>
    <t>Трійник д32 87</t>
  </si>
  <si>
    <t>Заглушка д110</t>
  </si>
  <si>
    <t>Заглушка</t>
  </si>
  <si>
    <t>Манжена для унітаза</t>
  </si>
  <si>
    <t>Манжета</t>
  </si>
  <si>
    <t>Сифон для раковини</t>
  </si>
  <si>
    <t>Сифон для душ. Піддону</t>
  </si>
  <si>
    <t>Комплект кріплень 104-112 мм</t>
  </si>
  <si>
    <t>Комплект кріплення труб 31-37мм</t>
  </si>
  <si>
    <t>Труба ППР д20</t>
  </si>
  <si>
    <t>Відвід ППР д20</t>
  </si>
  <si>
    <t>Обвід ППР д20</t>
  </si>
  <si>
    <t>Трійник ППР д20</t>
  </si>
  <si>
    <t>Трійник ППР д20х1,2" зов</t>
  </si>
  <si>
    <t>Перехід ППР д20х1,2" зов</t>
  </si>
  <si>
    <t>Кран "метелик" 1,2" ЗВ</t>
  </si>
  <si>
    <t>Шланг водяний 1,2" ВВ 300мм</t>
  </si>
  <si>
    <t>З'єднувач компресійний 25 мм x 1/2"</t>
  </si>
  <si>
    <t>Труба ПЕ д25</t>
  </si>
  <si>
    <t>Підключення емкості до труби ПЕ</t>
  </si>
  <si>
    <t>Бойлер на 82 л</t>
  </si>
  <si>
    <t>Раковина</t>
  </si>
  <si>
    <t>Унітаз, косий</t>
  </si>
  <si>
    <t>Бойлер на 30 л</t>
  </si>
  <si>
    <t>Кріплення умивальника</t>
  </si>
  <si>
    <t>Вогнегасник (порошок 3 кг)</t>
  </si>
  <si>
    <t>Килимок всередині</t>
  </si>
  <si>
    <t>Кондиціонер</t>
  </si>
  <si>
    <t>Стільці для відвідувачів і персоналу</t>
  </si>
  <si>
    <t>Дозатор рідкого мила</t>
  </si>
  <si>
    <t>Дозатор рушників</t>
  </si>
  <si>
    <t>Стіл офісний</t>
  </si>
  <si>
    <t>Кушетка медична</t>
  </si>
  <si>
    <t>Вішалка для одягу стояча</t>
  </si>
  <si>
    <t>Столик для огляду/ сповивання</t>
  </si>
  <si>
    <t>Шафа для зберігання ліків</t>
  </si>
  <si>
    <t>УФ лампа бактерицидна</t>
  </si>
  <si>
    <t>Диспенсер для туалетного паперу</t>
  </si>
  <si>
    <t>Генератор 7 (Квт.)</t>
  </si>
  <si>
    <t>Інформаційний банер зовнішній</t>
  </si>
  <si>
    <t>Ємність 1500 л. утеплена для води</t>
  </si>
  <si>
    <t>Копмлпект септика</t>
  </si>
  <si>
    <t>Септик</t>
  </si>
  <si>
    <t>Загальна вартість  матеріалів грн  з ПДВ</t>
  </si>
  <si>
    <t>Грн</t>
  </si>
  <si>
    <t>Дол.Сша</t>
  </si>
  <si>
    <t>Маржа, грн:</t>
  </si>
  <si>
    <t>Количество  в заказе, шт</t>
  </si>
  <si>
    <t>Итого  маржа по заказу,  грн</t>
  </si>
  <si>
    <t>Матеріали які є в списанні але відсутні в собівартості. Тому і не враховуавлись</t>
  </si>
  <si>
    <t>Найменування зі Списання</t>
  </si>
  <si>
    <t>Вартість за од., грн</t>
  </si>
  <si>
    <t>Разом вартість, грн</t>
  </si>
  <si>
    <t>МЕТАЛОПРОКАТ (Додатковий)</t>
  </si>
  <si>
    <t>Труба 40х20х2</t>
  </si>
  <si>
    <t>Труба 50х25х2</t>
  </si>
  <si>
    <t>Труба 76х3,5 мм</t>
  </si>
  <si>
    <t>Труба ду 40*4</t>
  </si>
  <si>
    <t>Кутник 160х160х10</t>
  </si>
  <si>
    <t>Кутник 35х35х3</t>
  </si>
  <si>
    <t>Кутник 50х50х5</t>
  </si>
  <si>
    <t>Лист 20 (г.к)</t>
  </si>
  <si>
    <t>Лист 10 (г.к)</t>
  </si>
  <si>
    <t>Лист 6 (г.к)</t>
  </si>
  <si>
    <t>Лист 3 (г.к)</t>
  </si>
  <si>
    <t>Арматура 12 мм</t>
  </si>
  <si>
    <t>Арматура</t>
  </si>
  <si>
    <t>ЗБВ ТА КОНСТРУКЦІЇ</t>
  </si>
  <si>
    <t>Плита перекриття ПП15-15</t>
  </si>
  <si>
    <t>Плита перекриття</t>
  </si>
  <si>
    <t>Плитка тротуарна</t>
  </si>
  <si>
    <t>Плитка</t>
  </si>
  <si>
    <t>Суміш бетонна 25 кг</t>
  </si>
  <si>
    <t>Суміш бетонна</t>
  </si>
  <si>
    <t>Сендвіч (Сендвіч-панель)</t>
  </si>
  <si>
    <t>Сендвіч-панель</t>
  </si>
  <si>
    <t>ЕЛЕКТРИКА (Специфічна)</t>
  </si>
  <si>
    <t>Вимикач диференц 16А С</t>
  </si>
  <si>
    <t>Захист від перенапруги D25</t>
  </si>
  <si>
    <t>Перемикач 3-х позиційний 25А</t>
  </si>
  <si>
    <t>Провід ПВЗ 1х6</t>
  </si>
  <si>
    <t>км</t>
  </si>
  <si>
    <t>Розетка з кришкою з заземл. IP44</t>
  </si>
  <si>
    <t>Розетка потрійна</t>
  </si>
  <si>
    <t>Вилка пряма 16 А / з заземл.</t>
  </si>
  <si>
    <t>~45.26</t>
  </si>
  <si>
    <t>САНТЕХНІКА (Специфічна)</t>
  </si>
  <si>
    <t>Змішувач для умивальника, хром</t>
  </si>
  <si>
    <t>Муфта ПЕ 25 затискна / внутрішня</t>
  </si>
  <si>
    <t>~49.00</t>
  </si>
  <si>
    <t>Ніпель 1/2 латунь</t>
  </si>
  <si>
    <t>Американка ППР 20х1,2 З</t>
  </si>
  <si>
    <t>Перехідник D=25мм*1/2 B</t>
  </si>
  <si>
    <t>Ролик душ. кабіни + Відбійник</t>
  </si>
  <si>
    <t>Ролик</t>
  </si>
  <si>
    <t>~30.00</t>
  </si>
  <si>
    <t>Гнучкі труби 110/50 / Шланги</t>
  </si>
  <si>
    <t>~128.00</t>
  </si>
  <si>
    <t>Коліно каналізаційне / Коліно ПЕ</t>
  </si>
  <si>
    <t>~105.00</t>
  </si>
  <si>
    <t>ОЗДОБЛЕННЯ ТА ІНШЕ</t>
  </si>
  <si>
    <t>Грунт 10кг + Грунт-емаль по іржі</t>
  </si>
  <si>
    <t>~1867.00</t>
  </si>
  <si>
    <t>Підпокрівельна плівка MASTERFOL</t>
  </si>
  <si>
    <t>Плівка пароізоляційна 75 м2</t>
  </si>
  <si>
    <t>рул</t>
  </si>
  <si>
    <t>Плити пінополістирольні 50мм</t>
  </si>
  <si>
    <t>м3</t>
  </si>
  <si>
    <t>Гідроізоляція 14 кг</t>
  </si>
  <si>
    <t>Гідроізоляція</t>
  </si>
  <si>
    <t>Люк 73*5</t>
  </si>
  <si>
    <t>Люк</t>
  </si>
  <si>
    <t>Олива моторна 5W30 1л</t>
  </si>
  <si>
    <t>Олива моторна</t>
  </si>
  <si>
    <t>Петля віконна 60 мм мідь</t>
  </si>
  <si>
    <t>Заклепка 4,0*10</t>
  </si>
  <si>
    <t>Заклепка</t>
  </si>
  <si>
    <t>МЕБЛІ ТА ДОДАТКОВЕ</t>
  </si>
  <si>
    <t>Поручні для МГН (настінні/пристінні)</t>
  </si>
  <si>
    <t>~2955.00</t>
  </si>
  <si>
    <t>Книжкова шафа КШ-26</t>
  </si>
  <si>
    <t>Крісло чорне</t>
  </si>
  <si>
    <t>ІНСТРУМЕНТИ ТА ВИТРАТНИКИ</t>
  </si>
  <si>
    <t>Свердла, пили, коронки, диски</t>
  </si>
  <si>
    <t>Інструмент</t>
  </si>
  <si>
    <t>~170.00</t>
  </si>
  <si>
    <t>Валики, пензлі, ванночки, шпателі</t>
  </si>
  <si>
    <t>Малярний інструмент</t>
  </si>
  <si>
    <t>~150.00</t>
  </si>
  <si>
    <t>Відра, правила, віники, фал, скотч</t>
  </si>
  <si>
    <t>Господарські товари</t>
  </si>
  <si>
    <t>~20</t>
  </si>
  <si>
    <t>~3 000.00</t>
  </si>
  <si>
    <t>Кернери, стамески, скрайбери</t>
  </si>
  <si>
    <t>~70.00</t>
  </si>
  <si>
    <t>Стрічки гідроізол., термозбіжні</t>
  </si>
  <si>
    <t>~68.00</t>
  </si>
  <si>
    <t>ЗАГАЛЬНА СУМА "НЕВРАХОВАНОГО"</t>
  </si>
  <si>
    <t>~ 71 855.51</t>
  </si>
  <si>
    <t>Саморіз чорний 25 мм</t>
  </si>
  <si>
    <t>Двері внутрішні</t>
  </si>
  <si>
    <t>Щиток пластиковий</t>
  </si>
  <si>
    <t>ВВГнгд 3х2,5</t>
  </si>
  <si>
    <t>ВВГнгд 3х1,5</t>
  </si>
  <si>
    <t>Труба ПВХ гнучка 20мм</t>
  </si>
  <si>
    <t>Модульний автомат 10А</t>
  </si>
  <si>
    <t>Модульний автомат 16А</t>
  </si>
  <si>
    <t>Модульний автомат 25А</t>
  </si>
  <si>
    <t>Клема WGn-2</t>
  </si>
  <si>
    <t>Клема WGn-3</t>
  </si>
  <si>
    <t>Клема WGn-5</t>
  </si>
  <si>
    <t>MB002 Коробка монтажна</t>
  </si>
  <si>
    <t>LED світильник 12W</t>
  </si>
  <si>
    <t>Світлодіод.акс. Рамка</t>
  </si>
  <si>
    <t>Світильник аварійний</t>
  </si>
  <si>
    <t>Вимикач двоклавішний</t>
  </si>
  <si>
    <t>Рамка 1-постова</t>
  </si>
  <si>
    <t>Розетка із заземленням</t>
  </si>
  <si>
    <t>Розетка з з/к IP44</t>
  </si>
  <si>
    <t>РОЗЕТКА ПОДВІЙНА</t>
  </si>
  <si>
    <t>МВ 102 ВК АБС</t>
  </si>
  <si>
    <t>З'єднувач компресійний 25 мм</t>
  </si>
  <si>
    <t>Підключення емкості</t>
  </si>
  <si>
    <t>Стільці для відвідувачів</t>
  </si>
  <si>
    <t>Ємність 1500 л.</t>
  </si>
  <si>
    <t>Кільце КЦ 15-9</t>
  </si>
  <si>
    <t>ЗБВ кільце</t>
  </si>
  <si>
    <t>Днище ПН 1,5 армоване</t>
  </si>
  <si>
    <t>Сендвіч</t>
  </si>
  <si>
    <t>Муфта ПЕ 25 затискна</t>
  </si>
  <si>
    <t>Муфта ПЕ 25*1/2 В</t>
  </si>
  <si>
    <t>Муфта ПЕ 25*1/2 З</t>
  </si>
  <si>
    <t>Футорка латунна 1,3х1/2</t>
  </si>
  <si>
    <t>Футорка</t>
  </si>
  <si>
    <t>Коліно затискне ф25 кут90</t>
  </si>
  <si>
    <t>Ролик душової кабіни</t>
  </si>
  <si>
    <t>Фурнітура душової кабіни</t>
  </si>
  <si>
    <t>Відбійник до ролика</t>
  </si>
  <si>
    <t>Поручень настінний 02.001-01</t>
  </si>
  <si>
    <t>Поручень пристінний 500мм</t>
  </si>
  <si>
    <t>ВИТРАТНІ ТА ІНСТРУМЕНТ</t>
  </si>
  <si>
    <t>Валик</t>
  </si>
  <si>
    <t>Шпахля французька 22 см</t>
  </si>
  <si>
    <t>Шпатель</t>
  </si>
  <si>
    <t>Круг відрізний по металу 350*3</t>
  </si>
  <si>
    <t>Клей "Рідкі цвяхи"</t>
  </si>
  <si>
    <t>Диск алмазний 125</t>
  </si>
  <si>
    <t>Ракля 150* 40</t>
  </si>
  <si>
    <t>Рідке мило 5л</t>
  </si>
  <si>
    <t>Пакети для сміття</t>
  </si>
  <si>
    <t>Стрічка бутилкаучукова 150мм</t>
  </si>
  <si>
    <t>Шпахля нерж.сталь 100</t>
  </si>
  <si>
    <t>Пила кільцева 64 мм</t>
  </si>
  <si>
    <t>Відро будівельне 12 л</t>
  </si>
  <si>
    <t>Віник</t>
  </si>
  <si>
    <t>Сверло по дереву 14*460 мм</t>
  </si>
  <si>
    <t>Добавка для фарби 1 л</t>
  </si>
  <si>
    <t>Свердло для дерева 12 х152</t>
  </si>
  <si>
    <t>Свердло конфірматне 4,5мм</t>
  </si>
  <si>
    <t>Шліфувальна губка</t>
  </si>
  <si>
    <t>Шпатель 200 мм</t>
  </si>
  <si>
    <t>3.1.8</t>
  </si>
  <si>
    <t>3.1.9</t>
  </si>
  <si>
    <t>3.1.10</t>
  </si>
  <si>
    <t>3.1.11</t>
  </si>
  <si>
    <t>3.1.12</t>
  </si>
  <si>
    <t>6.2.32</t>
  </si>
  <si>
    <t>6.2.33</t>
  </si>
  <si>
    <t>6.2.34</t>
  </si>
  <si>
    <t>6.2.35</t>
  </si>
  <si>
    <t>6.2.36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</si>
  <si>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</si>
  <si>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</si>
  <si>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</si>
  <si>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</si>
  <si>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</si>
  <si>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</si>
  <si>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</si>
  <si>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</si>
  <si>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</si>
  <si>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</si>
  <si>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7.2.20</t>
  </si>
  <si>
    <t>Уніфікації</t>
  </si>
  <si>
    <t>Лист ГК</t>
  </si>
  <si>
    <t>Кутик</t>
  </si>
  <si>
    <t>Пінополістірол</t>
  </si>
  <si>
    <t>Паробар'єр</t>
  </si>
  <si>
    <t>Мінеральна вата</t>
  </si>
  <si>
    <t>Кутик меблевий</t>
  </si>
  <si>
    <t>Грунт</t>
  </si>
  <si>
    <t>Клей монтажний</t>
  </si>
  <si>
    <t>Труба водостічна</t>
  </si>
  <si>
    <t>Кріплення ринви</t>
  </si>
  <si>
    <t>Кріплення труби</t>
  </si>
  <si>
    <t>З'єднувач ринви</t>
  </si>
  <si>
    <t>Труба гофрована</t>
  </si>
  <si>
    <t>Автоматичний вимикач</t>
  </si>
  <si>
    <t>Рамка</t>
  </si>
  <si>
    <t>Відвід каналізаційний</t>
  </si>
  <si>
    <t>Редукція</t>
  </si>
  <si>
    <t>Труба PPR</t>
  </si>
  <si>
    <t>Відвід PPR</t>
  </si>
  <si>
    <t>Обвідне коліно PPR</t>
  </si>
  <si>
    <t>Трійник PPR</t>
  </si>
  <si>
    <t>Перехід PPR</t>
  </si>
  <si>
    <t>Шланг водяний</t>
  </si>
  <si>
    <t>Перехід латунний</t>
  </si>
  <si>
    <t>З'єднувач компресійний</t>
  </si>
  <si>
    <t>Труба ПЕ</t>
  </si>
  <si>
    <t>Бойлер електричний</t>
  </si>
  <si>
    <t>Вішалка для одягу</t>
  </si>
  <si>
    <t>Комплект септика</t>
  </si>
  <si>
    <t>Склад</t>
  </si>
  <si>
    <t>Сумма</t>
  </si>
  <si>
    <t>Количество для списания</t>
  </si>
  <si>
    <t>Рахунок</t>
  </si>
  <si>
    <t>Номенклатура код</t>
  </si>
  <si>
    <t>Номенклатура</t>
  </si>
  <si>
    <t>Единица</t>
  </si>
  <si>
    <t>Узагальнена назва</t>
  </si>
  <si>
    <t>ТИП</t>
  </si>
  <si>
    <t>СТІЛ _Червоний хрест</t>
  </si>
  <si>
    <t>0221</t>
  </si>
  <si>
    <t>00-00016761</t>
  </si>
  <si>
    <t>Водонагрівач 80л</t>
  </si>
  <si>
    <t>Сантехніка</t>
  </si>
  <si>
    <t>00-00017550</t>
  </si>
  <si>
    <t>Двері вхідні 2050х860 металеві Л</t>
  </si>
  <si>
    <t>вікна та двері</t>
  </si>
  <si>
    <t>00-00017549</t>
  </si>
  <si>
    <t>Двері вхідні 2050х860 металеві П</t>
  </si>
  <si>
    <t>00-00005567</t>
  </si>
  <si>
    <t>Диспенсер туалетного папіру</t>
  </si>
  <si>
    <t>00000006816</t>
  </si>
  <si>
    <t>Дозатор для мила</t>
  </si>
  <si>
    <t>Диспенсер рідкого мила</t>
  </si>
  <si>
    <t>00-00005396</t>
  </si>
  <si>
    <t>Душова система</t>
  </si>
  <si>
    <t>Змішувач для душу</t>
  </si>
  <si>
    <t>00-00017539</t>
  </si>
  <si>
    <t>Емаль ЕП-140 сіра,  кг</t>
  </si>
  <si>
    <t>фарба</t>
  </si>
  <si>
    <t>Каркас та конструкції</t>
  </si>
  <si>
    <t>00000006819</t>
  </si>
  <si>
    <t>Йоршик</t>
  </si>
  <si>
    <t>00-00011895</t>
  </si>
  <si>
    <t>Кріплення для телевізора</t>
  </si>
  <si>
    <t>00-00017537</t>
  </si>
  <si>
    <t>Кронштейн для мікрохвильвої печі</t>
  </si>
  <si>
    <t>Кріплення для мікрохвильової печі</t>
  </si>
  <si>
    <t>00-00017255</t>
  </si>
  <si>
    <t>Кутник 200х200х14 L=6 ст 1-3 сп/пс 5</t>
  </si>
  <si>
    <t>00000012186</t>
  </si>
  <si>
    <t>Кутник 63х63х5  L=6000</t>
  </si>
  <si>
    <t>00-00017536</t>
  </si>
  <si>
    <t>Мережевий фільтр із заз.4гн</t>
  </si>
  <si>
    <t xml:space="preserve"> шт</t>
  </si>
  <si>
    <t>Мережевий фільтр</t>
  </si>
  <si>
    <t>00-00007955</t>
  </si>
  <si>
    <t>Профнастил ПК-18</t>
  </si>
  <si>
    <t>фасад</t>
  </si>
  <si>
    <t>00000011151</t>
  </si>
  <si>
    <t>Профнастил ПС-10</t>
  </si>
  <si>
    <t>00-00017540</t>
  </si>
  <si>
    <t>Розчинник Р-4 безпрекурсорний</t>
  </si>
  <si>
    <t>00-00011894</t>
  </si>
  <si>
    <t>Телевізор Samsung</t>
  </si>
  <si>
    <t>Телевізор</t>
  </si>
  <si>
    <t>00-00002525</t>
  </si>
  <si>
    <t>Труба 100*50*3</t>
  </si>
  <si>
    <t xml:space="preserve"> т</t>
  </si>
  <si>
    <t>00-00017256</t>
  </si>
  <si>
    <t>Труба 150х100х4</t>
  </si>
  <si>
    <t>00-00006858</t>
  </si>
  <si>
    <t>Труба 40х40х2</t>
  </si>
  <si>
    <t>00-00010141</t>
  </si>
  <si>
    <t>Труба 50х50х3</t>
  </si>
  <si>
    <t>00-00017514</t>
  </si>
  <si>
    <t>Шафа 19 600х500х373</t>
  </si>
  <si>
    <t>00-00012122</t>
  </si>
  <si>
    <t>Швелер 10 (UREAA 100) S235 JR, 6,05 м</t>
  </si>
  <si>
    <t>Швелер</t>
  </si>
  <si>
    <t>00-00015078</t>
  </si>
  <si>
    <t>Швелер 12 UPEAA</t>
  </si>
  <si>
    <t>СТІЛ Виробничий склад</t>
  </si>
  <si>
    <t>203</t>
  </si>
  <si>
    <t>00-00000320</t>
  </si>
  <si>
    <t>Бензин А-95</t>
  </si>
  <si>
    <t>201</t>
  </si>
  <si>
    <t>00-00003742</t>
  </si>
  <si>
    <t>Гіпсокартон KNAUF 12,5 мм х 1,2 х 2,5 м</t>
  </si>
  <si>
    <t>ГКЛ</t>
  </si>
  <si>
    <t>00-00006387</t>
  </si>
  <si>
    <t>Добавка для фарби  1 л</t>
  </si>
  <si>
    <t>00000010866</t>
  </si>
  <si>
    <t>Емаль алкідна ПФ-115 М чорна 0,9 л</t>
  </si>
  <si>
    <t>00000020666</t>
  </si>
  <si>
    <t>Емаль алкідна ПФ-115 червона 2,8 кг</t>
  </si>
  <si>
    <t>00000000102</t>
  </si>
  <si>
    <t>З'єднувач PP-R D=20 mm. х1\2 Н сірий</t>
  </si>
  <si>
    <t>З'єднувач PP-R</t>
  </si>
  <si>
    <t>00000003426</t>
  </si>
  <si>
    <t>мшп</t>
  </si>
  <si>
    <t>00000002631</t>
  </si>
  <si>
    <t>Кабель КГ 1х16</t>
  </si>
  <si>
    <t>00-00010543</t>
  </si>
  <si>
    <t>Кабель КГ 1х50</t>
  </si>
  <si>
    <t>221</t>
  </si>
  <si>
    <t>00-00012204</t>
  </si>
  <si>
    <t>Колесо до візка *160</t>
  </si>
  <si>
    <t>00000007159</t>
  </si>
  <si>
    <t>Круг алмазний відрізний 1A1RSS/C3-W 350х3,2/2,2*25,4 R160 Meteor Н15</t>
  </si>
  <si>
    <t>00000017499</t>
  </si>
  <si>
    <t>Круг відрізний по металу 125х1.6х22.2 мм прямий по металу</t>
  </si>
  <si>
    <t>Обрізні диски</t>
  </si>
  <si>
    <t>00000005687</t>
  </si>
  <si>
    <t>Лист сталевий  4*1500*6000  7208</t>
  </si>
  <si>
    <t>лист гк</t>
  </si>
  <si>
    <t>00-00001226</t>
  </si>
  <si>
    <t>Лійка ліва 90 коричнева</t>
  </si>
  <si>
    <t>лійка ліва</t>
  </si>
  <si>
    <t>00-00009039</t>
  </si>
  <si>
    <t>Накінечник DT-010</t>
  </si>
  <si>
    <t>00000002101</t>
  </si>
  <si>
    <t>Окуляри захисні</t>
  </si>
  <si>
    <t>00-00015312</t>
  </si>
  <si>
    <t>Олива для двохкратних двигунів</t>
  </si>
  <si>
    <t>00000020498</t>
  </si>
  <si>
    <t>ПВС 3х2,5 дріт</t>
  </si>
  <si>
    <t>кабель</t>
  </si>
  <si>
    <t>00-00010574</t>
  </si>
  <si>
    <t>Пісок (20кг)</t>
  </si>
  <si>
    <t>00000008993</t>
  </si>
  <si>
    <t>Пістолет для підкачки коліс вантаж.авто</t>
  </si>
  <si>
    <t>00000020793</t>
  </si>
  <si>
    <t>Прожектор світлодіодний LED 100 W FL12 чорний</t>
  </si>
  <si>
    <t>00000000335</t>
  </si>
  <si>
    <t>Профіль трапецієподібний ПП-20 матполіестр 7024*45</t>
  </si>
  <si>
    <t>00-00000467</t>
  </si>
  <si>
    <t>Профіль трапецієподібний ПП-45 РЕМА</t>
  </si>
  <si>
    <t>00000010479</t>
  </si>
  <si>
    <t>Рукавиці "Краги"зварювальні жовті</t>
  </si>
  <si>
    <t>пар</t>
  </si>
  <si>
    <t>00-00003584</t>
  </si>
  <si>
    <t>Труба 50х50х5 (6,05- 8940:2019 08кп/1-3пс)</t>
  </si>
  <si>
    <t>00-00012758</t>
  </si>
  <si>
    <t>Холодний асфальт</t>
  </si>
  <si>
    <t>00-00010573</t>
  </si>
  <si>
    <t>Цемент М-500 (25кг)</t>
  </si>
  <si>
    <t>00000000416</t>
  </si>
  <si>
    <t>Шайба збільшена  DIN9021  10х29 (1уп=100шт)</t>
  </si>
  <si>
    <t>100шт</t>
  </si>
  <si>
    <t>шайба</t>
  </si>
  <si>
    <t>СТІЛ Глобино</t>
  </si>
  <si>
    <t>00-00000165</t>
  </si>
  <si>
    <t>Грунт ГФ-021 червоно-коричневий</t>
  </si>
  <si>
    <t>00000014170</t>
  </si>
  <si>
    <t>Грунт ГФ-021C червон.-коричн</t>
  </si>
  <si>
    <t>00-00016511</t>
  </si>
  <si>
    <t>Дошка 50*70 4,5 м</t>
  </si>
  <si>
    <t>00-00000166</t>
  </si>
  <si>
    <t>Розчинник "White Spirit"</t>
  </si>
  <si>
    <t>00000007302</t>
  </si>
  <si>
    <t>Суміш зварювальна МІХ-1 (бал.40л)</t>
  </si>
  <si>
    <t>00-00000246</t>
  </si>
  <si>
    <t>Шпилька ТМ  оцинкована 20х1000 DIN975, (5шт)</t>
  </si>
  <si>
    <t>СТІЛ Глобино виробничий</t>
  </si>
  <si>
    <t>00000006540</t>
  </si>
  <si>
    <t>Абразивний порошок (фр.0,63-2,0 мм) код 2621900000</t>
  </si>
  <si>
    <t>00000003014</t>
  </si>
  <si>
    <t>Біта РН 2*50 мм</t>
  </si>
  <si>
    <t>00-00015046</t>
  </si>
  <si>
    <t>Брус 40*90*3</t>
  </si>
  <si>
    <t>00000000570</t>
  </si>
  <si>
    <t>Брус 50*50*300</t>
  </si>
  <si>
    <t>куб</t>
  </si>
  <si>
    <t>00-00014841</t>
  </si>
  <si>
    <t>Брус 50х70х2,25м</t>
  </si>
  <si>
    <t>00000021585</t>
  </si>
  <si>
    <t>Вилка 16А  каучук 2Р+Е чорна ІР44</t>
  </si>
  <si>
    <t>Вилка переносна</t>
  </si>
  <si>
    <t>00-00000071</t>
  </si>
  <si>
    <t>Відрізний диск Standard Inox 230x1,9мм арт.2608601514</t>
  </si>
  <si>
    <t>00000013492</t>
  </si>
  <si>
    <t>Вставка для масок 110*90, затемнення DIN12/C6</t>
  </si>
  <si>
    <t>00000000666</t>
  </si>
  <si>
    <t>Газовий дифузор керамічний</t>
  </si>
  <si>
    <t>00-00013078</t>
  </si>
  <si>
    <t>Диск пелюстковий 125*22,23 G60</t>
  </si>
  <si>
    <t>00-00015255</t>
  </si>
  <si>
    <t>Дріт 1,2 мм</t>
  </si>
  <si>
    <t>Дріт</t>
  </si>
  <si>
    <t>00000001670</t>
  </si>
  <si>
    <t>00-00000206</t>
  </si>
  <si>
    <t>Електроди Моноліт РЦ ф 3мм Уп/2.5кг (Тубус)</t>
  </si>
  <si>
    <t>00-00000091</t>
  </si>
  <si>
    <t>Завихрювач 105А</t>
  </si>
  <si>
    <t>00000022209</t>
  </si>
  <si>
    <t>Затискач маси 500А</t>
  </si>
  <si>
    <t>00000009541</t>
  </si>
  <si>
    <t>Захист машинний 105А (Ref.№ 220993-UR)</t>
  </si>
  <si>
    <t>00000007110</t>
  </si>
  <si>
    <t>Киянка гумова</t>
  </si>
  <si>
    <t>00000004206</t>
  </si>
  <si>
    <t>Кліщі зажимні</t>
  </si>
  <si>
    <t>00-00012755</t>
  </si>
  <si>
    <t>Ключ розвідний  300 мм</t>
  </si>
  <si>
    <t>00000013990</t>
  </si>
  <si>
    <t>Ковпак 105 А</t>
  </si>
  <si>
    <t>00000004038</t>
  </si>
  <si>
    <t>Колодка 3 гнізда з з/к</t>
  </si>
  <si>
    <t>00-00000466</t>
  </si>
  <si>
    <t>Крейда маркувальна воскова, біла 13х120 мм Virok 12 шт</t>
  </si>
  <si>
    <t>00-00000177</t>
  </si>
  <si>
    <t>Крейда маркувальна воскова, біла, 2 шт.</t>
  </si>
  <si>
    <t>00-00011031</t>
  </si>
  <si>
    <t>Круг абразів. відрізний по металу 230*2,5*22</t>
  </si>
  <si>
    <t>00000014214</t>
  </si>
  <si>
    <t>Круг відрізний по металу 400*4,0*32</t>
  </si>
  <si>
    <t>00000012484</t>
  </si>
  <si>
    <t>Круг відрізний Тітин абразив 230x2,0x22</t>
  </si>
  <si>
    <t>00000008937</t>
  </si>
  <si>
    <t>Круг зачисний по металу 125х6,0х22,23</t>
  </si>
  <si>
    <t>00-00000434</t>
  </si>
  <si>
    <t>Круг пелюстковий 125х22,2 Р100 Т27</t>
  </si>
  <si>
    <t>00000018265</t>
  </si>
  <si>
    <t>Кутник столярний 350мм</t>
  </si>
  <si>
    <t>00000006552</t>
  </si>
  <si>
    <t>Маркер</t>
  </si>
  <si>
    <t>00000009092</t>
  </si>
  <si>
    <t>Маска зварювальника W 411</t>
  </si>
  <si>
    <t>00000009231</t>
  </si>
  <si>
    <t>Накінечник E-Cu_М8_D 1,2/10,0/30 мм</t>
  </si>
  <si>
    <t>00000014267</t>
  </si>
  <si>
    <t>Пасатижі 160 мм</t>
  </si>
  <si>
    <t>00-00005880</t>
  </si>
  <si>
    <t>Прожектор світлодіодний PARDUS-30 W</t>
  </si>
  <si>
    <t>00-00000437</t>
  </si>
  <si>
    <t>Пульверизатор YATO з верх. бачком 0,6 л, сопло Ø=1,5 мм ,технологія HVLP</t>
  </si>
  <si>
    <t>00-00012935</t>
  </si>
  <si>
    <t>Регулятор витрати газу з підігрівачем та витратоміром</t>
  </si>
  <si>
    <t>00000013068</t>
  </si>
  <si>
    <t>Редуктор пропановий БПО-5ДМ</t>
  </si>
  <si>
    <t>00000002450</t>
  </si>
  <si>
    <t>Рукавиці, пар.</t>
  </si>
  <si>
    <t>00000000675</t>
  </si>
  <si>
    <t>Рулетка 10 м х 25 мм Profi з магнітом</t>
  </si>
  <si>
    <t>00000012440</t>
  </si>
  <si>
    <t>Скло захисне 90/110 мм полікорбонатне</t>
  </si>
  <si>
    <t>00000010316</t>
  </si>
  <si>
    <t>Сопло конічне 36KD d16</t>
  </si>
  <si>
    <t>00-00005527</t>
  </si>
  <si>
    <t>Тримач електродів для зварки</t>
  </si>
  <si>
    <t>00-00010238</t>
  </si>
  <si>
    <t>Чохол для зварювального шолома (20 шт)</t>
  </si>
  <si>
    <t>пач</t>
  </si>
  <si>
    <t>СТІЛ МД ООН</t>
  </si>
  <si>
    <t>0222</t>
  </si>
  <si>
    <t>00-00006990</t>
  </si>
  <si>
    <t>EKOBOARD 100*610*1250 мм 12.2 м2 1/36</t>
  </si>
  <si>
    <t>пак</t>
  </si>
  <si>
    <t xml:space="preserve">Мінеральна вата </t>
  </si>
  <si>
    <t>отделка</t>
  </si>
  <si>
    <t>00-00007837</t>
  </si>
  <si>
    <t>EKOBOARD 100*610*1250 мм 6,1 м2 1/36</t>
  </si>
  <si>
    <t>00-00006469</t>
  </si>
  <si>
    <t>EKOBOARD 50*610*1250 мм 12.2 м2 1/36</t>
  </si>
  <si>
    <t>00-00003443</t>
  </si>
  <si>
    <t>Soudal=Герметик акриловий  білий 280мм</t>
  </si>
  <si>
    <t>00-00003557</t>
  </si>
  <si>
    <t>Автоматичний вимикач  1 п 10А</t>
  </si>
  <si>
    <t>00-00003558</t>
  </si>
  <si>
    <t>Автоматичний вимикач  1 п 16А  С</t>
  </si>
  <si>
    <t>00-00000412</t>
  </si>
  <si>
    <t>Автоматичний вимикач  1 п 25А  C e mcb stand 45 1 c25 1p 25A C 4.5KA</t>
  </si>
  <si>
    <t>00-00015641</t>
  </si>
  <si>
    <t>Американка ППР 25х3/4 З</t>
  </si>
  <si>
    <t xml:space="preserve">З'єднувач з американкою </t>
  </si>
  <si>
    <t>00-00009316</t>
  </si>
  <si>
    <t>Бетон БСГ В20 Р4 F200 W6 М10</t>
  </si>
  <si>
    <t>00-00007909</t>
  </si>
  <si>
    <t>Бітумна черепиця</t>
  </si>
  <si>
    <t>00000022358</t>
  </si>
  <si>
    <t>Болт М 8*120 меблев кв оц</t>
  </si>
  <si>
    <t>00000014270</t>
  </si>
  <si>
    <t>Болт М 8*60 з шест.голівкою</t>
  </si>
  <si>
    <t>00-00005162</t>
  </si>
  <si>
    <t>Болт меблевий 8х120</t>
  </si>
  <si>
    <t>00-00005163</t>
  </si>
  <si>
    <t>Болт меблевий 8х160</t>
  </si>
  <si>
    <t>00-00007384</t>
  </si>
  <si>
    <t>Брус 50*30*3</t>
  </si>
  <si>
    <t>брус</t>
  </si>
  <si>
    <t>00-00000055</t>
  </si>
  <si>
    <t>Брус 50х100х6</t>
  </si>
  <si>
    <t>00000022295</t>
  </si>
  <si>
    <t>Брус обрізний 100*100мм  4,5м</t>
  </si>
  <si>
    <t>00000022135</t>
  </si>
  <si>
    <t>Брус обрізний 100*100мм  6м</t>
  </si>
  <si>
    <t>00-00005592</t>
  </si>
  <si>
    <t>Брус обрізний 100*200мм  6м</t>
  </si>
  <si>
    <t>00000022074</t>
  </si>
  <si>
    <t>Брус обрізний 100*200мм (4,5 м )</t>
  </si>
  <si>
    <t>00-00005593</t>
  </si>
  <si>
    <t>Брус обрізний 150*200мм  6м</t>
  </si>
  <si>
    <t>00-00005594</t>
  </si>
  <si>
    <t>Брус обрізний 40*200мм (4,5 м )</t>
  </si>
  <si>
    <t>00000022136</t>
  </si>
  <si>
    <t>Брус обрізний 50*100мм  6м</t>
  </si>
  <si>
    <t>00-00011526</t>
  </si>
  <si>
    <t>Будівельні матеріали</t>
  </si>
  <si>
    <t>00-00013186</t>
  </si>
  <si>
    <t>Вагонка ПВХ 0,25х6 м (8мм)</t>
  </si>
  <si>
    <t>Вагонка</t>
  </si>
  <si>
    <t>00-00000481</t>
  </si>
  <si>
    <t>Вагонка смерека АВ12*90*3000</t>
  </si>
  <si>
    <t>00-00000904</t>
  </si>
  <si>
    <t>Вагонка смерека безшовна АВ 12*90мм  2,5м</t>
  </si>
  <si>
    <t>00000018520</t>
  </si>
  <si>
    <t>ВВГнг 3х1,5 кабель</t>
  </si>
  <si>
    <t>00000018382</t>
  </si>
  <si>
    <t>ВВГнг 3х2,5 кабель</t>
  </si>
  <si>
    <t>00000018518</t>
  </si>
  <si>
    <t>ВВГнг 3х4 кабель</t>
  </si>
  <si>
    <t>00000000599</t>
  </si>
  <si>
    <t>Вентилятор Домовент 100С1 (14Вт, 94 м куб/год.)</t>
  </si>
  <si>
    <t>00000000616</t>
  </si>
  <si>
    <t>Вилка переносна 7023 32А 220В 2Р+Е ІР44</t>
  </si>
  <si>
    <t>00000021222</t>
  </si>
  <si>
    <t>Вилка пряма з з/к каучук Неомакс</t>
  </si>
  <si>
    <t>00-00005573</t>
  </si>
  <si>
    <t>Вимикач  диференц струму з захистом16А С 10мА</t>
  </si>
  <si>
    <t>00000000486</t>
  </si>
  <si>
    <t>Вимикач 2-клавішний</t>
  </si>
  <si>
    <t>00000019266</t>
  </si>
  <si>
    <t>Вимикач 3-кл білий Asfora, SCHNEIDER ELECTRIC</t>
  </si>
  <si>
    <t>00-00006167</t>
  </si>
  <si>
    <t>Витяжка купольна</t>
  </si>
  <si>
    <t>Витяжка</t>
  </si>
  <si>
    <t>00000017002</t>
  </si>
  <si>
    <t>Відвід d 110 мм 45"</t>
  </si>
  <si>
    <t>відвід</t>
  </si>
  <si>
    <t>00000000094</t>
  </si>
  <si>
    <t>Відвід D=50 mm 87 30</t>
  </si>
  <si>
    <t>00-00001774</t>
  </si>
  <si>
    <t>00000003947</t>
  </si>
  <si>
    <t>Вогнебіозахист</t>
  </si>
  <si>
    <t>00-00005818</t>
  </si>
  <si>
    <t>Водонагрівач Atlantic GC 1004424D B14 TBR, 100л</t>
  </si>
  <si>
    <t>00000000153</t>
  </si>
  <si>
    <t>Гайка DIN934 M8</t>
  </si>
  <si>
    <t>00000009187</t>
  </si>
  <si>
    <t>Гайка М10  DIN 934 6 цб</t>
  </si>
  <si>
    <t>00000005990</t>
  </si>
  <si>
    <t>Гайка М12  DIN 934  цб</t>
  </si>
  <si>
    <t>00000022005</t>
  </si>
  <si>
    <t>Гайка М8</t>
  </si>
  <si>
    <t>00000003897</t>
  </si>
  <si>
    <t>Герметик  акриловий 310 мл</t>
  </si>
  <si>
    <t>00-00005723</t>
  </si>
  <si>
    <t>гідроізоляція</t>
  </si>
  <si>
    <t>00000000089</t>
  </si>
  <si>
    <t>Гнучкий шланг 1\2 ВВ довжина 100 см</t>
  </si>
  <si>
    <t>00000019322</t>
  </si>
  <si>
    <t>Гнучкий шланг, 1 / 2 "ВВ, довжина 50 см 4009220000</t>
  </si>
  <si>
    <t>00000000341</t>
  </si>
  <si>
    <t>Гнучкий шланг, 1 / 2" ВВ, довжина 30 см</t>
  </si>
  <si>
    <t>00-00013623</t>
  </si>
  <si>
    <t>Гофра алюмінієва (100 шт)</t>
  </si>
  <si>
    <t>Гофра алюмінієва</t>
  </si>
  <si>
    <t>00-00013628</t>
  </si>
  <si>
    <t>Гратка вентиляційна МВ 122ВК пластик</t>
  </si>
  <si>
    <t>Гратка</t>
  </si>
  <si>
    <t>00-00005058</t>
  </si>
  <si>
    <t>Гратка вентиляційна пластик</t>
  </si>
  <si>
    <t>00-00013627</t>
  </si>
  <si>
    <t>Гратка ДВ 102 ВК</t>
  </si>
  <si>
    <t>00000008651</t>
  </si>
  <si>
    <t>Грунт-емаль по іржі 3 в 1 сіра  2,8кг</t>
  </si>
  <si>
    <t>00-00004260</t>
  </si>
  <si>
    <t>Грунт-емаль по іржі 3 в 1 чорна  2,8кг</t>
  </si>
  <si>
    <t>00-00000648</t>
  </si>
  <si>
    <t>Двері металеві 960х2050праві</t>
  </si>
  <si>
    <t>00000020263</t>
  </si>
  <si>
    <t>Дверне полотно</t>
  </si>
  <si>
    <t>Внутрішні двері дерев'яні</t>
  </si>
  <si>
    <t>00-00006681</t>
  </si>
  <si>
    <t>Дверне полотно 700*2000</t>
  </si>
  <si>
    <t>00-00006680</t>
  </si>
  <si>
    <t>Дверне полотно 800*2000</t>
  </si>
  <si>
    <t>00-00005176</t>
  </si>
  <si>
    <t>Дверцята 100*100 ревізійні пластик</t>
  </si>
  <si>
    <t xml:space="preserve">Дверцята ревізійні пластикові </t>
  </si>
  <si>
    <t>00-00000600</t>
  </si>
  <si>
    <t>Держак ринви ПВХ Profil 90 коричневий</t>
  </si>
  <si>
    <t>Держак ринви</t>
  </si>
  <si>
    <t>00000021903</t>
  </si>
  <si>
    <t>Держак труби  метал. L 160 90 коричн</t>
  </si>
  <si>
    <t>Держак труби металевий</t>
  </si>
  <si>
    <t>00-00012182</t>
  </si>
  <si>
    <t>Дзеркало 2450х700</t>
  </si>
  <si>
    <t>Дзеркало</t>
  </si>
  <si>
    <t>00-00006132</t>
  </si>
  <si>
    <t>Дзеркало 400х600</t>
  </si>
  <si>
    <t>00-00006133</t>
  </si>
  <si>
    <t>Дзеркало коло в рамі 600мм</t>
  </si>
  <si>
    <t>00000019134</t>
  </si>
  <si>
    <t>днище КЦД 10</t>
  </si>
  <si>
    <t xml:space="preserve">Кільце </t>
  </si>
  <si>
    <t>00-00013134</t>
  </si>
  <si>
    <t>Дошка 12*90*2500</t>
  </si>
  <si>
    <t>00-00013133</t>
  </si>
  <si>
    <t>Дошка 12*90*3000</t>
  </si>
  <si>
    <t>00-00007032</t>
  </si>
  <si>
    <t>Дошка 20*130*4000</t>
  </si>
  <si>
    <t>00-00000478</t>
  </si>
  <si>
    <t>Дошка 40х200х6000</t>
  </si>
  <si>
    <t>00-00003294</t>
  </si>
  <si>
    <t>Дошка добірна МДФ 100*10*2070 біла</t>
  </si>
  <si>
    <t>Комплектуючі дверей</t>
  </si>
  <si>
    <t>00-00013056</t>
  </si>
  <si>
    <t>Дошка обріз 20*130*4000</t>
  </si>
  <si>
    <t>00000022138</t>
  </si>
  <si>
    <t>Дошка обріз 40*200 4,5 м</t>
  </si>
  <si>
    <t>00000022073</t>
  </si>
  <si>
    <t>Дошка обрізна 25*100 (6 м)</t>
  </si>
  <si>
    <t>00000009858</t>
  </si>
  <si>
    <t>Дріт ПВЗ  1*6</t>
  </si>
  <si>
    <t>00-00005710</t>
  </si>
  <si>
    <t>Душовий бокс 90х90х215</t>
  </si>
  <si>
    <t>Душовий бокс</t>
  </si>
  <si>
    <t>00-00006165</t>
  </si>
  <si>
    <t>Електрична поверхня</t>
  </si>
  <si>
    <t>Плита електрична</t>
  </si>
  <si>
    <t>00-00006166</t>
  </si>
  <si>
    <t>Електрочайник</t>
  </si>
  <si>
    <t>00000010608</t>
  </si>
  <si>
    <t>Емаль аерозоль 400 мл</t>
  </si>
  <si>
    <t>00000021176</t>
  </si>
  <si>
    <t>Емаль ПФ-115 чорна</t>
  </si>
  <si>
    <t>00-00013060</t>
  </si>
  <si>
    <t>Євроруберойд  Будмонстр ХПП - 2,5 гр (15м.)</t>
  </si>
  <si>
    <t>00-00000623</t>
  </si>
  <si>
    <t>З'єднання</t>
  </si>
  <si>
    <t>з'єднувачі</t>
  </si>
  <si>
    <t>00-00005967</t>
  </si>
  <si>
    <t>З'єднувач  для плінтуса</t>
  </si>
  <si>
    <t>00000000200</t>
  </si>
  <si>
    <t>З'єднувач PP-R D=20 mm. х1\2  В  сірий</t>
  </si>
  <si>
    <t>00-00000747</t>
  </si>
  <si>
    <t>З'єднувач труби Profil 90коричневий</t>
  </si>
  <si>
    <t>З'єднувач труби</t>
  </si>
  <si>
    <t>00-00015705</t>
  </si>
  <si>
    <t>З’єднувач з пластиною для круглих каналів d100</t>
  </si>
  <si>
    <t xml:space="preserve">З’єднувач </t>
  </si>
  <si>
    <t>00000021688</t>
  </si>
  <si>
    <t>Заглушка D=110 мм 3917400090</t>
  </si>
  <si>
    <t>00-00006558</t>
  </si>
  <si>
    <t>Заглушка ліва</t>
  </si>
  <si>
    <t>00-00006559</t>
  </si>
  <si>
    <t>Заглушка права</t>
  </si>
  <si>
    <t>00-00005184</t>
  </si>
  <si>
    <t>Змішувач  для умивальника, хром</t>
  </si>
  <si>
    <t>Змішувач</t>
  </si>
  <si>
    <t>00-00010388</t>
  </si>
  <si>
    <t>Імітація бруса сосна АВ 20х120х4000</t>
  </si>
  <si>
    <t>Фальш-брус</t>
  </si>
  <si>
    <t>00-00013631</t>
  </si>
  <si>
    <t>Канал d125/1</t>
  </si>
  <si>
    <t xml:space="preserve">Канал вентеляційний </t>
  </si>
  <si>
    <t>00000000681</t>
  </si>
  <si>
    <t>Канал вентиляційний ПВХ круглий d100/1,0м (1010)</t>
  </si>
  <si>
    <t>00-00005554</t>
  </si>
  <si>
    <t>Канал кабельний 80х60 (24) 220тм</t>
  </si>
  <si>
    <t>пог.м</t>
  </si>
  <si>
    <t>Кабель канал</t>
  </si>
  <si>
    <t>00-00013639</t>
  </si>
  <si>
    <t>Кельма штукатурна 180*100мм нерж</t>
  </si>
  <si>
    <t>00-00006505</t>
  </si>
  <si>
    <t>Керамограніт (598х598х8)</t>
  </si>
  <si>
    <t>00-00006174</t>
  </si>
  <si>
    <t>Килим 0,80х1,50</t>
  </si>
  <si>
    <t>00-00006173</t>
  </si>
  <si>
    <t>Килимок для ванної кімнати</t>
  </si>
  <si>
    <t>00000019133</t>
  </si>
  <si>
    <t>кільце КЦ 15-9</t>
  </si>
  <si>
    <t xml:space="preserve">Залізо бетонне кільце Д 1500 мм </t>
  </si>
  <si>
    <t>00-00005610</t>
  </si>
  <si>
    <t>Кільця  залізобтоні КС 10,9</t>
  </si>
  <si>
    <t>00-00000594</t>
  </si>
  <si>
    <t>клей монтажний Lacrysil 280мл</t>
  </si>
  <si>
    <t>00-00001263</t>
  </si>
  <si>
    <t>Клей-піна, 800 мл</t>
  </si>
  <si>
    <t>00-00001861</t>
  </si>
  <si>
    <t>Клема 2-х провід.2,5 мм</t>
  </si>
  <si>
    <t>Клема з'єднувальна</t>
  </si>
  <si>
    <t>00-00005047</t>
  </si>
  <si>
    <t>00-00005048</t>
  </si>
  <si>
    <t>00-00005049</t>
  </si>
  <si>
    <t>00000000390</t>
  </si>
  <si>
    <t>Ковпак МВ102ВК з клапаном і круглим флянцем 154х110/d100  коричневий</t>
  </si>
  <si>
    <t>Вентиляційні решітки</t>
  </si>
  <si>
    <t>00-00000606</t>
  </si>
  <si>
    <t>Коліно 75/60* коричневе</t>
  </si>
  <si>
    <t>00-00007923</t>
  </si>
  <si>
    <t>Коліно дворастурбне 75 коричневе</t>
  </si>
  <si>
    <t>00-00005421</t>
  </si>
  <si>
    <t>Коліно ПЕ 25х90 затискне</t>
  </si>
  <si>
    <t>00000011142</t>
  </si>
  <si>
    <t>Коліно РPR 20*90</t>
  </si>
  <si>
    <t>коліно</t>
  </si>
  <si>
    <t>00-00006528</t>
  </si>
  <si>
    <t>Комплект влаштування димохода</t>
  </si>
  <si>
    <t>к-т</t>
  </si>
  <si>
    <t>00000021689</t>
  </si>
  <si>
    <t>Комплект для фіксації хомутів (шуруп, гайка, дюбель), M8x90 мм</t>
  </si>
  <si>
    <t>Шуруп</t>
  </si>
  <si>
    <t>00000000354</t>
  </si>
  <si>
    <t>Комплект для фіксації хомутів (шуруп, гайка, дюбель), М8х90 мм</t>
  </si>
  <si>
    <t>00-00005138</t>
  </si>
  <si>
    <t>Комплект кріплення труб 104-112 мм</t>
  </si>
  <si>
    <t>Комплект кріплення труб</t>
  </si>
  <si>
    <t>00-00013621</t>
  </si>
  <si>
    <t>Комплект роликів 8 шт(душ. каб)</t>
  </si>
  <si>
    <t>00-00003602</t>
  </si>
  <si>
    <t xml:space="preserve">Кондиционер </t>
  </si>
  <si>
    <t>00-00005050</t>
  </si>
  <si>
    <t>Коробка монтажна 65*45</t>
  </si>
  <si>
    <t xml:space="preserve">Коробка монтажна </t>
  </si>
  <si>
    <t>00-00005555</t>
  </si>
  <si>
    <t>Коробка під автомат накл.9 SU FAR(F88)(30)</t>
  </si>
  <si>
    <t>00-00005046</t>
  </si>
  <si>
    <t>Коробка розподільча 100х100х45</t>
  </si>
  <si>
    <t>00000001747</t>
  </si>
  <si>
    <t>Коробка розподільча 100х100х50</t>
  </si>
  <si>
    <t>00-00013622</t>
  </si>
  <si>
    <t>Коробка розподільча з клемою 7,5*7,5*35 Р1</t>
  </si>
  <si>
    <t>00000016022</t>
  </si>
  <si>
    <t>Коробка розподільча з кришкою 85*85*40 Р55</t>
  </si>
  <si>
    <t>00-00015933</t>
  </si>
  <si>
    <t>Корпус пласт.навісний 9-модульний</t>
  </si>
  <si>
    <t>щит навісний</t>
  </si>
  <si>
    <t>00000021939</t>
  </si>
  <si>
    <t>Кран кульовий 3В 1/2", "метелик" 8481808100</t>
  </si>
  <si>
    <t>кран</t>
  </si>
  <si>
    <t>00-00006669</t>
  </si>
  <si>
    <t>Кришка ПП 10-15 1,0 армована</t>
  </si>
  <si>
    <t>Копмлпект  септика</t>
  </si>
  <si>
    <t>00-00017426</t>
  </si>
  <si>
    <t>Кришка ПП 15-15 1,5 армована</t>
  </si>
  <si>
    <t>Залізо бетонна кришка  Д 1500 мм</t>
  </si>
  <si>
    <t>00-00000352</t>
  </si>
  <si>
    <t>Кріплення умивальника до стіни (з ексцентриками і болт.8х140мм )</t>
  </si>
  <si>
    <t>00-00006131</t>
  </si>
  <si>
    <t>Крісло дитяче</t>
  </si>
  <si>
    <t>00000011267</t>
  </si>
  <si>
    <t>Круг 16 мм ст.3 пс, 6 м</t>
  </si>
  <si>
    <t>круг металевий</t>
  </si>
  <si>
    <t>00-00005965</t>
  </si>
  <si>
    <t>Кут  для плінтуса вн</t>
  </si>
  <si>
    <t>з'єднувач</t>
  </si>
  <si>
    <t>00-00005966</t>
  </si>
  <si>
    <t>Кут  для плінтуса зов</t>
  </si>
  <si>
    <t>00-00004372</t>
  </si>
  <si>
    <t>Кутик 90*90 2мм</t>
  </si>
  <si>
    <t>00-00013059</t>
  </si>
  <si>
    <t>Кутник 20*20  3м дерев"ян внутришн</t>
  </si>
  <si>
    <t>00-00001547</t>
  </si>
  <si>
    <t>Куток 105*105*90*2,5 універс з ребром жорстк</t>
  </si>
  <si>
    <t>00-00005159</t>
  </si>
  <si>
    <t>Куток рівн.р.ж. 50х50х40х2,0</t>
  </si>
  <si>
    <t>00000000106</t>
  </si>
  <si>
    <t>Куточок 90 PP-R D=20 mm сірий</t>
  </si>
  <si>
    <t>Куточок</t>
  </si>
  <si>
    <t>00-00005702</t>
  </si>
  <si>
    <t>Куточок внутрішній гладенький 20*20*3000 смерека</t>
  </si>
  <si>
    <t>кутик</t>
  </si>
  <si>
    <t>00-00006464</t>
  </si>
  <si>
    <t>Кухня</t>
  </si>
  <si>
    <t>Кухонний гарнітур з навісними поличками</t>
  </si>
  <si>
    <t>00-00004808</t>
  </si>
  <si>
    <t>Лазурь лесуюча для дерева 1 л</t>
  </si>
  <si>
    <t>00-00006176</t>
  </si>
  <si>
    <t>Лампа настільна</t>
  </si>
  <si>
    <t>лавка</t>
  </si>
  <si>
    <t>00-00006471</t>
  </si>
  <si>
    <t>Лампа світлодіодна 7В(до бра)</t>
  </si>
  <si>
    <t>00-00006397</t>
  </si>
  <si>
    <t>Лампа світлодіодна А60 10W Е27 4500К</t>
  </si>
  <si>
    <t>00000021861</t>
  </si>
  <si>
    <t>Лист г/к 4.0*1500*6000, 3 сп 5 кат.</t>
  </si>
  <si>
    <t>00-00014862</t>
  </si>
  <si>
    <t>Лист н/ж 201 1,0 (1,0*2,0)</t>
  </si>
  <si>
    <t>лист НЖ</t>
  </si>
  <si>
    <t>00-00001556</t>
  </si>
  <si>
    <t>лист ПВЛ 406х1250х2500 мм</t>
  </si>
  <si>
    <t>Лист ПВЛ</t>
  </si>
  <si>
    <t>00-00006386</t>
  </si>
  <si>
    <t>Лист ПВХ Ондукллер 76/18 2,0Х0,9 м</t>
  </si>
  <si>
    <t>Поликарбонат</t>
  </si>
  <si>
    <t>00-00006172</t>
  </si>
  <si>
    <t>Лиштва плоска</t>
  </si>
  <si>
    <t>00-00006144</t>
  </si>
  <si>
    <t>Ліжко (800*1900 см) двух ярусне метал</t>
  </si>
  <si>
    <t>Ліжко дворівневе</t>
  </si>
  <si>
    <t>00-00006143</t>
  </si>
  <si>
    <t>Ліжко 1400х2000</t>
  </si>
  <si>
    <t>Ліжко двоспальне</t>
  </si>
  <si>
    <t>00-00001227</t>
  </si>
  <si>
    <t>Лійка права 90 коричнева</t>
  </si>
  <si>
    <t>лійка права</t>
  </si>
  <si>
    <t>00000000614</t>
  </si>
  <si>
    <t>00-00006019</t>
  </si>
  <si>
    <t>люк</t>
  </si>
  <si>
    <t>00-00008267</t>
  </si>
  <si>
    <t>Манжета для унітаза пряма</t>
  </si>
  <si>
    <t>Манжета для унітаза</t>
  </si>
  <si>
    <t>00000009683</t>
  </si>
  <si>
    <t>Мастика бітумно-каучукова 18 кг</t>
  </si>
  <si>
    <t>мастика</t>
  </si>
  <si>
    <t>00-00005368</t>
  </si>
  <si>
    <t>Мастика гідроізоляційна, 3 кг</t>
  </si>
  <si>
    <t>00-00006221</t>
  </si>
  <si>
    <t>Матрац 140*200</t>
  </si>
  <si>
    <t>Матрац</t>
  </si>
  <si>
    <t>00-00006220</t>
  </si>
  <si>
    <t>Матрац 80*190</t>
  </si>
  <si>
    <t>00-00004975</t>
  </si>
  <si>
    <t>Мембрана дахова</t>
  </si>
  <si>
    <t>00-00004315</t>
  </si>
  <si>
    <t>Мембрана ПВХ 1,5мм</t>
  </si>
  <si>
    <t>00000010106</t>
  </si>
  <si>
    <t>Механізм для дверей</t>
  </si>
  <si>
    <t>00-00005851</t>
  </si>
  <si>
    <t>Механізм замка дверей аналог</t>
  </si>
  <si>
    <t>00000000351</t>
  </si>
  <si>
    <t>Муфта D=110 мм</t>
  </si>
  <si>
    <t>00-00007659</t>
  </si>
  <si>
    <t>Муфта, D=20 мм*1/2 зовн різьба</t>
  </si>
  <si>
    <t>00000019338</t>
  </si>
  <si>
    <t>Муфта, PP-R, D=20 мм, сіра 3917400090</t>
  </si>
  <si>
    <t>00-00013629</t>
  </si>
  <si>
    <t>Набір серветок універс. АВТО з мікрофібри 30*30см, 6шт.</t>
  </si>
  <si>
    <t>00-00002735</t>
  </si>
  <si>
    <t>Накладка на циліндр</t>
  </si>
  <si>
    <t>00-00000628</t>
  </si>
  <si>
    <t>Наліпка 600*300*1,5мм самоклеюча домашня колір в асорт</t>
  </si>
  <si>
    <t>Профіль для дерева</t>
  </si>
  <si>
    <t>00-00008160</t>
  </si>
  <si>
    <t>Насос вихровий</t>
  </si>
  <si>
    <t>насос</t>
  </si>
  <si>
    <t>00000000345</t>
  </si>
  <si>
    <t>Ніпель латунний, 1\2"</t>
  </si>
  <si>
    <t>ніпель</t>
  </si>
  <si>
    <t>00000000107</t>
  </si>
  <si>
    <t>Обвідне коліно PP-R D=20 mm сірий</t>
  </si>
  <si>
    <t xml:space="preserve">Обвідне коліно </t>
  </si>
  <si>
    <t>00-00000516</t>
  </si>
  <si>
    <t>Обігрівач керамічний  TC395 (бежевий)</t>
  </si>
  <si>
    <t>00000017166</t>
  </si>
  <si>
    <t>Очищувач монтажної піни, 500 мл 12-499</t>
  </si>
  <si>
    <t>00-00000353</t>
  </si>
  <si>
    <t>П’ЄДЕСТАЛ DECO</t>
  </si>
  <si>
    <t>П’ЄДЕСТАЛ</t>
  </si>
  <si>
    <t>00-00006013</t>
  </si>
  <si>
    <t>Панель ПВХ 250ммх7ммх6000мм</t>
  </si>
  <si>
    <t>панель пвх</t>
  </si>
  <si>
    <t>00-00004769</t>
  </si>
  <si>
    <t>Панель ПВХ 250ммх8ммх6000мм</t>
  </si>
  <si>
    <t>00-00013681</t>
  </si>
  <si>
    <t>Панель ПВХ Біла (250ммх7ммх6000мм) білий глянець</t>
  </si>
  <si>
    <t>00-00000555</t>
  </si>
  <si>
    <t>Перехід ексцентричний D=110/50 мм</t>
  </si>
  <si>
    <t>перехід</t>
  </si>
  <si>
    <t>00-00005817</t>
  </si>
  <si>
    <t>Перехідник  D=20мм*1/2 H</t>
  </si>
  <si>
    <t>00000011153</t>
  </si>
  <si>
    <t>Петля 100*75 нікель</t>
  </si>
  <si>
    <t>00000009195</t>
  </si>
  <si>
    <t>Піна монтажна  800 мл</t>
  </si>
  <si>
    <t>00-00005946</t>
  </si>
  <si>
    <t>Піч чавунна мала тип Буржуйка</t>
  </si>
  <si>
    <t>Піч</t>
  </si>
  <si>
    <t>00-00010390</t>
  </si>
  <si>
    <t>Планка 30х7 мм хв/пор</t>
  </si>
  <si>
    <t>00000003935</t>
  </si>
  <si>
    <t>Плита OSB 2500*1250 15 мм (шт)</t>
  </si>
  <si>
    <t xml:space="preserve">Плита ОСБ </t>
  </si>
  <si>
    <t>00000003950</t>
  </si>
  <si>
    <t>Плита OSB 2500*1250 18 мм (шт)</t>
  </si>
  <si>
    <t>00000001508</t>
  </si>
  <si>
    <t>Плита OSB вологостійкий 2500*1250 22 мм(шт)</t>
  </si>
  <si>
    <t>00000003726</t>
  </si>
  <si>
    <t>Плита OSB-3 15х1250*2500 (шт)</t>
  </si>
  <si>
    <t>00-00013061</t>
  </si>
  <si>
    <t>Плита пінополістирольна екструзійна 1000х500х100</t>
  </si>
  <si>
    <t>00000007278</t>
  </si>
  <si>
    <t>Плита пінополістирольна екструзійна 1180х580х100-L(2*50)/(0,27376)</t>
  </si>
  <si>
    <t>00-00005730</t>
  </si>
  <si>
    <t>Плитка зовнішня 608*608*10</t>
  </si>
  <si>
    <t>плитка</t>
  </si>
  <si>
    <t>00000021537</t>
  </si>
  <si>
    <t>Плівка гідроізоляційна підпокрів 75кв м</t>
  </si>
  <si>
    <t>Гідробар'єр</t>
  </si>
  <si>
    <t>00-00013077</t>
  </si>
  <si>
    <t>Плівка п/е 200 мк, 50 м</t>
  </si>
  <si>
    <t>00000006683</t>
  </si>
  <si>
    <t>Плівка пароізоляційна срібна, 75 м2</t>
  </si>
  <si>
    <t>00000000672</t>
  </si>
  <si>
    <t>Плинтус</t>
  </si>
  <si>
    <t>00-00005183</t>
  </si>
  <si>
    <t>00-00008353</t>
  </si>
  <si>
    <t>Поворотник</t>
  </si>
  <si>
    <t>00-00005740</t>
  </si>
  <si>
    <t>Покриття з ПВХ</t>
  </si>
  <si>
    <t>ПВХ  покриття</t>
  </si>
  <si>
    <t>00-00006116</t>
  </si>
  <si>
    <t>Пральна машина</t>
  </si>
  <si>
    <t>00-00001473</t>
  </si>
  <si>
    <t>Провід ПВС 3*2,5  км</t>
  </si>
  <si>
    <t>00-00005137</t>
  </si>
  <si>
    <t>Прокладка для унітазу D=90/110мм</t>
  </si>
  <si>
    <t>00-00005954</t>
  </si>
  <si>
    <t>Профіль  для плитки НАП 10  2,7 м</t>
  </si>
  <si>
    <t>00-00001059</t>
  </si>
  <si>
    <t>Профіль АП 004 (дуб) 2,7 м</t>
  </si>
  <si>
    <t>00-00006021</t>
  </si>
  <si>
    <t>Профіль АП 015 (дуб) 1,8 м</t>
  </si>
  <si>
    <t>00-00008143</t>
  </si>
  <si>
    <t>Профіль з гумовой вставкой срібло</t>
  </si>
  <si>
    <t>00-00010473</t>
  </si>
  <si>
    <t>Профіль ЛП 29 (дуб)  1,8 м</t>
  </si>
  <si>
    <t>00-00011102</t>
  </si>
  <si>
    <t>Профіль ЛП 40 (дуб)  1,8 м</t>
  </si>
  <si>
    <t>00-00015742</t>
  </si>
  <si>
    <t>Профіль ЛП 60 (дуб)  1,8 м</t>
  </si>
  <si>
    <t>00-00004979</t>
  </si>
  <si>
    <t>Профіль стартовий 8мм (білий)</t>
  </si>
  <si>
    <t>00-00001032</t>
  </si>
  <si>
    <t>00-00007881</t>
  </si>
  <si>
    <t>Редукція каналізаційна 50х25</t>
  </si>
  <si>
    <t>Сантехнічна редукція</t>
  </si>
  <si>
    <t>00-00000037</t>
  </si>
  <si>
    <t>Рейка 20*40*3000</t>
  </si>
  <si>
    <t>Рейка</t>
  </si>
  <si>
    <t>00-00005701</t>
  </si>
  <si>
    <t>Рейка 30х50х3000</t>
  </si>
  <si>
    <t>00-00010348</t>
  </si>
  <si>
    <t>Рейка 40*50*3000</t>
  </si>
  <si>
    <t>00-00013057</t>
  </si>
  <si>
    <t>Рейка обрізна 20*40 мм (3м)</t>
  </si>
  <si>
    <t>рейка</t>
  </si>
  <si>
    <t>00-00000599</t>
  </si>
  <si>
    <t>Ринва (3м) Profil 90 коричнева</t>
  </si>
  <si>
    <t xml:space="preserve">Ринва водосточна </t>
  </si>
  <si>
    <t>00000019254</t>
  </si>
  <si>
    <t>Розетка з кришкою з заземл.конт. з шторк. ІР44, білий, Asfora, SCHNEIDER ELECTRIC</t>
  </si>
  <si>
    <t>00-00005055</t>
  </si>
  <si>
    <t>Розетка подвійна з з/к</t>
  </si>
  <si>
    <t>00000000615</t>
  </si>
  <si>
    <t>Розетка стаціонарна наружна 7123 32А 220В 2Р+Е ІР44</t>
  </si>
  <si>
    <t>00-00013633</t>
  </si>
  <si>
    <t>Ролики для скла висувні (комплект 2шт)</t>
  </si>
  <si>
    <t>00000011620</t>
  </si>
  <si>
    <t>Ручка дверна</t>
  </si>
  <si>
    <t>00000000146</t>
  </si>
  <si>
    <t>Самонаріз по металу з прес шайбою ЦБ 4,2*19</t>
  </si>
  <si>
    <t>00-00013136</t>
  </si>
  <si>
    <t>Саморіз 4,8х35</t>
  </si>
  <si>
    <t>00-00007891</t>
  </si>
  <si>
    <t>Саморіз покрівельний по дереву 4,8*35мм, (100 шт)</t>
  </si>
  <si>
    <t>00-00007883</t>
  </si>
  <si>
    <t>Саморіз покрівельний по металу 4,8x19 мм 100 шт RAL 7024</t>
  </si>
  <si>
    <t>00-00013626</t>
  </si>
  <si>
    <t>Саморіз універсальний 6*100</t>
  </si>
  <si>
    <t>00-00013625</t>
  </si>
  <si>
    <t>Саморіз універсальний 6*80</t>
  </si>
  <si>
    <t>00-00011740</t>
  </si>
  <si>
    <t>Світильник LED 12W  4100К з блоком живлення</t>
  </si>
  <si>
    <t>00000022350</t>
  </si>
  <si>
    <t>Світильник LED L-PRS-1265-18 12W 6500К .накл.</t>
  </si>
  <si>
    <t>00-00006470</t>
  </si>
  <si>
    <t>Світильник накладний з вимикачем(бра)</t>
  </si>
  <si>
    <t>00-00005556</t>
  </si>
  <si>
    <t>Світильник світлодіодний 18 Вт 6400К  600 мм</t>
  </si>
  <si>
    <t>00-00003551</t>
  </si>
  <si>
    <t>Силова розетка стаціонарна  380В 32А</t>
  </si>
  <si>
    <t>00-00005957</t>
  </si>
  <si>
    <t>Сифон для д/піддону</t>
  </si>
  <si>
    <t>00-00005144</t>
  </si>
  <si>
    <t>Сифон для умивальника,випуск 64 мм, гофра d40/50</t>
  </si>
  <si>
    <t>00-00005351</t>
  </si>
  <si>
    <t>Сповіщувач пожежний димовий СПД-3,4</t>
  </si>
  <si>
    <t xml:space="preserve">Сигналізація виявлення диму </t>
  </si>
  <si>
    <t>дополнительная Комплектация</t>
  </si>
  <si>
    <t>00-00004766</t>
  </si>
  <si>
    <t>Стартова смуга ПВХ біла 8мм</t>
  </si>
  <si>
    <t>стартова смуга</t>
  </si>
  <si>
    <t>00-00001594</t>
  </si>
  <si>
    <t>00-00006265</t>
  </si>
  <si>
    <t>Стіл нерозкладний 1180х750</t>
  </si>
  <si>
    <t>00-00006513</t>
  </si>
  <si>
    <t>Стіл письмовий</t>
  </si>
  <si>
    <t>00-00006175</t>
  </si>
  <si>
    <t>Стілець обідній</t>
  </si>
  <si>
    <t>Стул</t>
  </si>
  <si>
    <t>00-00005538</t>
  </si>
  <si>
    <t>Стрічка гідроізоляційна</t>
  </si>
  <si>
    <t>Ізоляційна стрічна</t>
  </si>
  <si>
    <t>00-00007738</t>
  </si>
  <si>
    <t>00-00005428</t>
  </si>
  <si>
    <t>Стрічка малярна , 38мм*50м</t>
  </si>
  <si>
    <t>00000004191</t>
  </si>
  <si>
    <t>Стрічка малярська, 48мм*50м</t>
  </si>
  <si>
    <t>00-00013634</t>
  </si>
  <si>
    <t>Стрічка тефлонова 1/2", 0,075мм</t>
  </si>
  <si>
    <t>00-00005440</t>
  </si>
  <si>
    <t>00-00011527</t>
  </si>
  <si>
    <t>Суміш цементно-пісчана 25 кг</t>
  </si>
  <si>
    <t>00000014095</t>
  </si>
  <si>
    <t>Талреп М14*140 гак-кільце</t>
  </si>
  <si>
    <t>талреп</t>
  </si>
  <si>
    <t>00-00013635</t>
  </si>
  <si>
    <t>Тримач для полиць (полицетримач) 2шт.(компл)</t>
  </si>
  <si>
    <t xml:space="preserve">Тримач для полиць </t>
  </si>
  <si>
    <t>00000000282</t>
  </si>
  <si>
    <t>Трійник D=50 mm 87* 30</t>
  </si>
  <si>
    <t>00000019328</t>
  </si>
  <si>
    <t>Трійник D=50 мм, 87"30' 3917400090</t>
  </si>
  <si>
    <t>00000000100</t>
  </si>
  <si>
    <t>Трійник PP-R D=20 mm. сірий</t>
  </si>
  <si>
    <t>00-00000563</t>
  </si>
  <si>
    <t>Трійник PP-R D=20 mm. х1\2 В сірий</t>
  </si>
  <si>
    <t>00000000101</t>
  </si>
  <si>
    <t>Трійник PP-R D=20 mm. х1\2 Н сірий</t>
  </si>
  <si>
    <t>00-00011538</t>
  </si>
  <si>
    <t>Труба 110/2м толщ. 3,2мм зн</t>
  </si>
  <si>
    <t>00000018679</t>
  </si>
  <si>
    <t>Труба 40х20х2 мм; ст. 1-3пс; 6 м</t>
  </si>
  <si>
    <t>00-00004806</t>
  </si>
  <si>
    <t>00-00013555</t>
  </si>
  <si>
    <t>Труба 50х501,8</t>
  </si>
  <si>
    <t>00000022300</t>
  </si>
  <si>
    <t>труба 50х50х2 мм; ст. 1-3пс/S235JR; 6 м</t>
  </si>
  <si>
    <t>00000019412</t>
  </si>
  <si>
    <t>труба 76х3,5 мм; ст. 1-3пс; 12 м</t>
  </si>
  <si>
    <t>00-00010793</t>
  </si>
  <si>
    <t>Труба 76х4,0</t>
  </si>
  <si>
    <t>00000021902</t>
  </si>
  <si>
    <t>Труба водостічна 75 мм L=3 м коричн</t>
  </si>
  <si>
    <t xml:space="preserve">Труба водостічна </t>
  </si>
  <si>
    <t>00-00006523</t>
  </si>
  <si>
    <t>Труба гнучка 1 1/2х40/50 40-85 мм</t>
  </si>
  <si>
    <t>00-00013067</t>
  </si>
  <si>
    <t>Труба каналіз 110/3000/2,2</t>
  </si>
  <si>
    <t>00000016065</t>
  </si>
  <si>
    <t>Труба каналізаційна ПВХ 110х2,7х3000</t>
  </si>
  <si>
    <t>00000019185</t>
  </si>
  <si>
    <t>Труба каналізаційна ПВХ 110х3,2х1000 хв</t>
  </si>
  <si>
    <t>00000009072</t>
  </si>
  <si>
    <t>Труба ПВХ гнучка гофр. д.16мм, Light (220 Н 5/см пог.), з протяжкою, сіра</t>
  </si>
  <si>
    <t>Труба ПВХ</t>
  </si>
  <si>
    <t>00-00005700</t>
  </si>
  <si>
    <t>Труба ПВХ гнучка гофр. д.20мм, 220Н 5/см пог. стандартна з протяжкою, сірий колір</t>
  </si>
  <si>
    <t>00000009068</t>
  </si>
  <si>
    <t>Труба ПВХ гнучка гофр. д.20мм, Light (220 Н 5/см пог.), з протяжкою, сіра</t>
  </si>
  <si>
    <t>00000001914</t>
  </si>
  <si>
    <t>Труба ПЕ ф25</t>
  </si>
  <si>
    <t>00000000091</t>
  </si>
  <si>
    <t>Труба поліпропіленова каналізаційна d=50  мм І=1000 мм</t>
  </si>
  <si>
    <t>00000000090</t>
  </si>
  <si>
    <t>Труба поліпропіленова каналізаційна d=50  мм І=500 мм</t>
  </si>
  <si>
    <t>00000000589</t>
  </si>
  <si>
    <t>Труба поліпропіленова, PP-R/F, RN 20бар, 20 мм сіра</t>
  </si>
  <si>
    <t>00000019324</t>
  </si>
  <si>
    <t>Труба поліпропіленова, каналізаційна, d=50 мм, l=1000 мм 3917221000</t>
  </si>
  <si>
    <t>00-00005350</t>
  </si>
  <si>
    <t>Труба поліпропіленова, каналізаційна, d=50 мм, l=500 мм</t>
  </si>
  <si>
    <t>00-00005145</t>
  </si>
  <si>
    <t>00000000396</t>
  </si>
  <si>
    <t>Універсальний шуруп 5,0х70 потай</t>
  </si>
  <si>
    <t>00000000395</t>
  </si>
  <si>
    <t>Універсальний шуруп 5,0х90 потай</t>
  </si>
  <si>
    <t>00-00000571</t>
  </si>
  <si>
    <t>Універсальний шуруп 6,0х160 потай</t>
  </si>
  <si>
    <t>00-00000960</t>
  </si>
  <si>
    <t>Унітаз-Компакт підлоговий</t>
  </si>
  <si>
    <t>Унітаз</t>
  </si>
  <si>
    <t>00-00000408</t>
  </si>
  <si>
    <t>Утеплювач Кнауф 1250*610*50  12,2м кв.36шт/уп</t>
  </si>
  <si>
    <t>00-00007846</t>
  </si>
  <si>
    <t>Ущільнювач 80х32х2070</t>
  </si>
  <si>
    <t>ущільнювач</t>
  </si>
  <si>
    <t>00-00000699</t>
  </si>
  <si>
    <t>Ущільнювач для Т40 коньок</t>
  </si>
  <si>
    <t>00-00011918</t>
  </si>
  <si>
    <t>Фарба жасмін 10л 32Color</t>
  </si>
  <si>
    <t>00000000357</t>
  </si>
  <si>
    <t>Фум стрічка "Стандартна", рулон 19 мм * 0,075 мм - 10 метров</t>
  </si>
  <si>
    <t>00-00005442</t>
  </si>
  <si>
    <t>Футорка латунна 1,3х1/2 Впоилен.</t>
  </si>
  <si>
    <t>футорка латунна</t>
  </si>
  <si>
    <t>00-00006164</t>
  </si>
  <si>
    <t>Холодильник</t>
  </si>
  <si>
    <t>00-00013624</t>
  </si>
  <si>
    <t>хомут 90х110 мм (10 шт)</t>
  </si>
  <si>
    <t>00000000104</t>
  </si>
  <si>
    <t>Хомут для труб  PP-R одинарний D=20 mm</t>
  </si>
  <si>
    <t>00000021718</t>
  </si>
  <si>
    <t>Хомут з гайкою, ЛИОН, М8 4" (109-121мм.) з віброгасителем 7326909890</t>
  </si>
  <si>
    <t>00-00015072</t>
  </si>
  <si>
    <t>Хомут з прокладкою М8 48-51мм</t>
  </si>
  <si>
    <t>00000021719</t>
  </si>
  <si>
    <t>Хомут з прокладкою, ЛІОН, M8, D = 1 1/2 "(47-53 мм) 7326909890¶</t>
  </si>
  <si>
    <t>00-00000562</t>
  </si>
  <si>
    <t>Хрестовина одноплощинна D=110мм 87 30'</t>
  </si>
  <si>
    <t>Хрестовина</t>
  </si>
  <si>
    <t>00-00010899</t>
  </si>
  <si>
    <t>Цвяхи покрівельні 25мм</t>
  </si>
  <si>
    <t>00000007964</t>
  </si>
  <si>
    <t>Цемент ПЦІ-500, 25 кг</t>
  </si>
  <si>
    <t>00-00013638</t>
  </si>
  <si>
    <t>Цемент ПЦІ-500, 25 кг (Кам'янець Подільський)</t>
  </si>
  <si>
    <t>00000020009</t>
  </si>
  <si>
    <t>Циліндровий механізм Avers DM-70-G</t>
  </si>
  <si>
    <t>00-00013137</t>
  </si>
  <si>
    <t>Циліндровий секрет</t>
  </si>
  <si>
    <t>00-00000795</t>
  </si>
  <si>
    <t>Шайба 10 збільш DIN9021</t>
  </si>
  <si>
    <t>00-00014085</t>
  </si>
  <si>
    <t>Шайба 12 збільш оц</t>
  </si>
  <si>
    <t>00000021910</t>
  </si>
  <si>
    <t>Шайба збільшена 8х23  1кг=169</t>
  </si>
  <si>
    <t>00-00010316</t>
  </si>
  <si>
    <t>Шайба М 8  DIN125</t>
  </si>
  <si>
    <t>00000001444</t>
  </si>
  <si>
    <t>Шайба М10</t>
  </si>
  <si>
    <t>00-00000285</t>
  </si>
  <si>
    <t>Шайба М12 оцинкована кузовна DIN440 (143W)</t>
  </si>
  <si>
    <t>00000021870</t>
  </si>
  <si>
    <t>Шайба М8 збільшена DIN9021</t>
  </si>
  <si>
    <t>00-00007720</t>
  </si>
  <si>
    <t>Шафа 1000х400х2200</t>
  </si>
  <si>
    <t>00-00007719</t>
  </si>
  <si>
    <t>Шафа 1000х520х2200</t>
  </si>
  <si>
    <t>00000015090</t>
  </si>
  <si>
    <t>Шина нульова 6*9</t>
  </si>
  <si>
    <t xml:space="preserve">Шина нульова на ізоляторі </t>
  </si>
  <si>
    <t>00-00008466</t>
  </si>
  <si>
    <t>00000021814</t>
  </si>
  <si>
    <t>Шпилька  М10х1000  975  оц.  25шт</t>
  </si>
  <si>
    <t>00000021815</t>
  </si>
  <si>
    <t>Шпилька  М12х1000  975  оц.  25шт</t>
  </si>
  <si>
    <t>00-00005456</t>
  </si>
  <si>
    <t>Шпилька ТМ  оцинкована 10х1000</t>
  </si>
  <si>
    <t>00000022355</t>
  </si>
  <si>
    <t>Шуруп 4,5*45 пот універс  5 тис шт</t>
  </si>
  <si>
    <t>00000004659</t>
  </si>
  <si>
    <t>Шуруп 4,5х45</t>
  </si>
  <si>
    <t>00-00003525</t>
  </si>
  <si>
    <t>Шуруп 4,5х70</t>
  </si>
  <si>
    <t>00000004453</t>
  </si>
  <si>
    <t>Шуруп 4х45</t>
  </si>
  <si>
    <t>00-00013050</t>
  </si>
  <si>
    <t>Шуруп універсальний 6,0х100, потайн.гол. ЦЖ (кг)</t>
  </si>
  <si>
    <t>Стіл МК Бориспільська</t>
  </si>
  <si>
    <t>00-00010387</t>
  </si>
  <si>
    <t>Грунт-емаль по іржі 3 в 1 сіра</t>
  </si>
  <si>
    <t>00-00002026</t>
  </si>
  <si>
    <t>Лист 14 (г.к.) (1,5х6) imp ((1,5*6,0) S235JR)</t>
  </si>
  <si>
    <t>00-00017040</t>
  </si>
  <si>
    <t>Лист 16 (г.к.) (l,5x6,0) imp ((1,5*6,0) S235JR</t>
  </si>
  <si>
    <t>СТІЛ МХП виробничій</t>
  </si>
  <si>
    <t>00-00010625</t>
  </si>
  <si>
    <t>Диск пелюстковий 125*22 Р80 Т27</t>
  </si>
  <si>
    <t>СТІЛ МХП Катеринопіль</t>
  </si>
  <si>
    <t>00-00004774</t>
  </si>
  <si>
    <t>Грунт ГФ-021 червоно-коричневий 2,5кг</t>
  </si>
  <si>
    <t>00-00010582</t>
  </si>
  <si>
    <t>Диск відрізний для сталі 125х1,0х22,23</t>
  </si>
  <si>
    <t>00-00008700</t>
  </si>
  <si>
    <t>Електрод  65/85/105А</t>
  </si>
  <si>
    <t>00-00000088</t>
  </si>
  <si>
    <t>Електрод 45-105А</t>
  </si>
  <si>
    <t>00000003040</t>
  </si>
  <si>
    <t>Лист г/к  2*1000*2000 1-3 сп/пс</t>
  </si>
  <si>
    <t>00000000693</t>
  </si>
  <si>
    <t>Свердло HSS-G Bosch 6 мм арт. 2608595066</t>
  </si>
  <si>
    <t>00-00000301</t>
  </si>
  <si>
    <t>Свердло для металу HSS 6,0 мм біле подовжене, DIN340 GRANITE</t>
  </si>
  <si>
    <t>00-00003929</t>
  </si>
  <si>
    <t>Свердло к/х 23,0мм</t>
  </si>
  <si>
    <t>00000010511</t>
  </si>
  <si>
    <t>Свердло по металу ц/х 16,0</t>
  </si>
  <si>
    <t>00000013178</t>
  </si>
  <si>
    <t>Свердло по металу ц/х 4,0</t>
  </si>
  <si>
    <t>00-00000089</t>
  </si>
  <si>
    <t>Сопло 105А</t>
  </si>
  <si>
    <t>00000000449</t>
  </si>
  <si>
    <t>Суміш зварювальна МІКС-1 бал.40л.</t>
  </si>
  <si>
    <t>00000006806</t>
  </si>
  <si>
    <t>Швелер 16 (пог.м)</t>
  </si>
  <si>
    <t>00000009923</t>
  </si>
  <si>
    <t>Щітка торцева з плет.провол. 125 мм, М14</t>
  </si>
  <si>
    <t>СТІЛ Основной склад</t>
  </si>
  <si>
    <t>00000000025</t>
  </si>
  <si>
    <t>///Вішак</t>
  </si>
  <si>
    <t xml:space="preserve">Вішалка для одягу </t>
  </si>
  <si>
    <t>00000000412</t>
  </si>
  <si>
    <t>//Гайка DIN934 M8/300шт.</t>
  </si>
  <si>
    <t>00000000027</t>
  </si>
  <si>
    <t>//Корпус шафи 1000*2000*450 мм</t>
  </si>
  <si>
    <t>00000000028</t>
  </si>
  <si>
    <t>//Кухня 1200 мм</t>
  </si>
  <si>
    <t>00000000026</t>
  </si>
  <si>
    <t>//Стіл (стільниця ДСП)</t>
  </si>
  <si>
    <t>00000000224</t>
  </si>
  <si>
    <t>Аерозоль Лідер (RAL 7024) темно сірий 400мл</t>
  </si>
  <si>
    <t>00-00000212</t>
  </si>
  <si>
    <t>Акумулятор Esperanza Ni-MN AA 200 мАг 2 шт (EZA103G)</t>
  </si>
  <si>
    <t>00000014888</t>
  </si>
  <si>
    <t>Акумуляторна батарея</t>
  </si>
  <si>
    <t>00-00002514</t>
  </si>
  <si>
    <t>Батарейка літієва</t>
  </si>
  <si>
    <t>00000007477</t>
  </si>
  <si>
    <t>Бокорізи</t>
  </si>
  <si>
    <t>00000002820</t>
  </si>
  <si>
    <t>Бокорізи шліфовані 160мм</t>
  </si>
  <si>
    <t>00-00008147</t>
  </si>
  <si>
    <t>Бокс внутрішній 12 авт. вимикачів</t>
  </si>
  <si>
    <t>Щит наружний</t>
  </si>
  <si>
    <t>00000000418</t>
  </si>
  <si>
    <t>Болт замковий з грибовидною головкою 8х120 (1уп=25шт) повна різьба</t>
  </si>
  <si>
    <t>00000000355</t>
  </si>
  <si>
    <t>Болт кріплення для бойлера, М10х100мм ( 2шт)</t>
  </si>
  <si>
    <t>00-00015045</t>
  </si>
  <si>
    <t>Брус 70*70 мм 2,25м</t>
  </si>
  <si>
    <t>204</t>
  </si>
  <si>
    <t>00000007732</t>
  </si>
  <si>
    <t>Бутиль тара 18,9 л</t>
  </si>
  <si>
    <t>00-00010290</t>
  </si>
  <si>
    <t>Вентилятор АИР112(пластик)</t>
  </si>
  <si>
    <t>00000003652</t>
  </si>
  <si>
    <t>Вилка каучук В16-004</t>
  </si>
  <si>
    <t>00-00017433</t>
  </si>
  <si>
    <t>Вимикач (S\BEV|UHEV....2)</t>
  </si>
  <si>
    <t>209</t>
  </si>
  <si>
    <t>00-00004263</t>
  </si>
  <si>
    <t>Вода бутильована</t>
  </si>
  <si>
    <t>00-00000496</t>
  </si>
  <si>
    <t>Газ скреплений</t>
  </si>
  <si>
    <t>00000000667</t>
  </si>
  <si>
    <t>Газ.сопло, конічне</t>
  </si>
  <si>
    <t>00000000154</t>
  </si>
  <si>
    <t>Гайка DIN934 M 16/50шт</t>
  </si>
  <si>
    <t>00-00000248</t>
  </si>
  <si>
    <t>Гайка DIN934 M 20/25шт</t>
  </si>
  <si>
    <t>00000010786</t>
  </si>
  <si>
    <t>Гачок для вязки дроту 300 мм</t>
  </si>
  <si>
    <t>00000000068</t>
  </si>
  <si>
    <t>Гвинт-шуруп 8*80</t>
  </si>
  <si>
    <t>281</t>
  </si>
  <si>
    <t>00-00000198</t>
  </si>
  <si>
    <t>Генератор Модель IMLEX IM-INV2000</t>
  </si>
  <si>
    <t>генератор</t>
  </si>
  <si>
    <t>00-00003618</t>
  </si>
  <si>
    <t>Гніздо центральне ZL-2 (апаратна частина)</t>
  </si>
  <si>
    <t>Гніздо центральне</t>
  </si>
  <si>
    <t>00-00000541</t>
  </si>
  <si>
    <t>Головка торцева ударна 3/4" 19мм КАВЕ1619 TOPTUL</t>
  </si>
  <si>
    <t>00000016915</t>
  </si>
  <si>
    <t>Грунт ГФ-021 сірий</t>
  </si>
  <si>
    <t>00-00000441</t>
  </si>
  <si>
    <t>Двері глухі гармошка 810х2030х6мм</t>
  </si>
  <si>
    <t>Вікна та двері</t>
  </si>
  <si>
    <t>00000003501</t>
  </si>
  <si>
    <t>Держак д/лопати</t>
  </si>
  <si>
    <t>00-00012357</t>
  </si>
  <si>
    <t>Диск для ручних плиткорізів 22мм</t>
  </si>
  <si>
    <t>00-00001484</t>
  </si>
  <si>
    <t>Дошка 30*100*4500 обріз</t>
  </si>
  <si>
    <t>00-00016922</t>
  </si>
  <si>
    <t>Дріт HORDA S2SI 4.00мм</t>
  </si>
  <si>
    <t>00000013988</t>
  </si>
  <si>
    <t>Дріт S2  4,0 мм К 415</t>
  </si>
  <si>
    <t>00-00000374</t>
  </si>
  <si>
    <t>Електричний водонагрівач Bilight Slim GCV 503520 B11 TSR, 50л</t>
  </si>
  <si>
    <t>00-00000094</t>
  </si>
  <si>
    <t>Електричний водонагрівач O`Pro Slim PC 30, 30л</t>
  </si>
  <si>
    <t>00-00009183</t>
  </si>
  <si>
    <t>00-00004558</t>
  </si>
  <si>
    <t>Електроди АНО-36 д. 4мм  (5 кг)</t>
  </si>
  <si>
    <t>00-00010544</t>
  </si>
  <si>
    <t>З’єднання кабельне тато  10-25мм</t>
  </si>
  <si>
    <t>З'єднувач кабеля</t>
  </si>
  <si>
    <t>00-00006118</t>
  </si>
  <si>
    <t>З’єднання кабельне тато  35-50мм(2 шт)</t>
  </si>
  <si>
    <t>00-00007511</t>
  </si>
  <si>
    <t>З’єднання різьбове із зовнішньою різьбою 1/4х1/4</t>
  </si>
  <si>
    <t>00-00007513</t>
  </si>
  <si>
    <t>З’єднання хрестове зі внутрішньою різьбою 1/4</t>
  </si>
  <si>
    <t>00-00005098</t>
  </si>
  <si>
    <t>З’єднання швидкознімне для шланга 10мм</t>
  </si>
  <si>
    <t>00-00006560</t>
  </si>
  <si>
    <t>З’єднання швидкознімне для шланга 8мм</t>
  </si>
  <si>
    <t>00-00003356</t>
  </si>
  <si>
    <t>Заглушка 60х60</t>
  </si>
  <si>
    <t>00-00006161</t>
  </si>
  <si>
    <t>Затискач для тросів</t>
  </si>
  <si>
    <t>00000008078</t>
  </si>
  <si>
    <t>Затискач маси прищіпка МК-300 А</t>
  </si>
  <si>
    <t>00-00009079</t>
  </si>
  <si>
    <t>Ізолятор до плазматрону 65/85А</t>
  </si>
  <si>
    <t>00-00002812</t>
  </si>
  <si>
    <t>Кабель FTP 4*2*0,51 зовн з тросом 1,2мм РЕ 100МГц бухта 500м</t>
  </si>
  <si>
    <t>Інтернет кабель</t>
  </si>
  <si>
    <t>00000016075</t>
  </si>
  <si>
    <t>Кава в зернах</t>
  </si>
  <si>
    <t>00-00014083</t>
  </si>
  <si>
    <t>Канат джгутовий кручений D 16 мм</t>
  </si>
  <si>
    <t>00-00000332</t>
  </si>
  <si>
    <t>Канат ДСТ 7668-80 (165 мм)</t>
  </si>
  <si>
    <t>00000005241</t>
  </si>
  <si>
    <t>Каністра  20 л</t>
  </si>
  <si>
    <t>00-00012099</t>
  </si>
  <si>
    <t>Картридж</t>
  </si>
  <si>
    <t>00-00000345</t>
  </si>
  <si>
    <t>Кисень газ технічний бал 40л/6,4 м3</t>
  </si>
  <si>
    <t>00000013658</t>
  </si>
  <si>
    <t>Клей-піна, 860 мл</t>
  </si>
  <si>
    <t>00-00004501</t>
  </si>
  <si>
    <t>Ключ POLAX трубний переставний 250мм</t>
  </si>
  <si>
    <t>00-00011097</t>
  </si>
  <si>
    <t>Ключі ріжково-накидні набір 14 шт</t>
  </si>
  <si>
    <t>00-00010229</t>
  </si>
  <si>
    <t>Колесо пінополіуретан 3,5-8 (20мм)</t>
  </si>
  <si>
    <t>00000013145</t>
  </si>
  <si>
    <t>Колодка 3 гнізда з/з, 16А каучук</t>
  </si>
  <si>
    <t>00-00009768</t>
  </si>
  <si>
    <t>Комплект штампування латинських літер</t>
  </si>
  <si>
    <t>00-00010422</t>
  </si>
  <si>
    <t>Комутатор 4 порти некерований  Dahua DH-PFS3006-4ET-36</t>
  </si>
  <si>
    <t>00-00010336</t>
  </si>
  <si>
    <t>Корпус різака 65/85/105А</t>
  </si>
  <si>
    <t>00000000590</t>
  </si>
  <si>
    <t>Котушка з тефлоном, для газових труб</t>
  </si>
  <si>
    <t>00000013463</t>
  </si>
  <si>
    <t>Круг абразів. відрізний по металу 230*2,5*22,23</t>
  </si>
  <si>
    <t>00-00001757</t>
  </si>
  <si>
    <t>Кутник 350 мм</t>
  </si>
  <si>
    <t>00-00000335</t>
  </si>
  <si>
    <t>КУТНИК СТОЛЯРНИЙ АЛЮМІНІЄВИЙ YATO 300 ММ</t>
  </si>
  <si>
    <t>00-00015651</t>
  </si>
  <si>
    <t>Л.Н. Клапан зворотній 3/8"</t>
  </si>
  <si>
    <t>00-00005684</t>
  </si>
  <si>
    <t>Ланцюг 40 см 1,1мм</t>
  </si>
  <si>
    <t>00-00008367</t>
  </si>
  <si>
    <t>Лійка ф160</t>
  </si>
  <si>
    <t xml:space="preserve">лійка  </t>
  </si>
  <si>
    <t>00-00003930</t>
  </si>
  <si>
    <t>Лінійка 500 мм, нержавіюча сталь</t>
  </si>
  <si>
    <t>00000002816</t>
  </si>
  <si>
    <t>Лопата совкова</t>
  </si>
  <si>
    <t>00-00007383</t>
  </si>
  <si>
    <t>Магнітний пускач ПМЛ 2100 380В</t>
  </si>
  <si>
    <t>00-00000189</t>
  </si>
  <si>
    <t>Маркер на основі рідкої фарби InkZAII MIL WAUKEE, білий</t>
  </si>
  <si>
    <t>00000003748</t>
  </si>
  <si>
    <t>Маска захисна з клапаном</t>
  </si>
  <si>
    <t>00000004182</t>
  </si>
  <si>
    <t>Маска зварювальника</t>
  </si>
  <si>
    <t>00000021883</t>
  </si>
  <si>
    <t>Мембрана вітро-гідробар 1300 супердиф 1,5*50</t>
  </si>
  <si>
    <t>00000002306</t>
  </si>
  <si>
    <t>Міксер насадка</t>
  </si>
  <si>
    <t>00000011837</t>
  </si>
  <si>
    <t>Мішалка унів.до дриль-міксеру 120*600 МД1-11Э</t>
  </si>
  <si>
    <t>00000003297</t>
  </si>
  <si>
    <t>Молоток  800 гр.</t>
  </si>
  <si>
    <t>00000014363</t>
  </si>
  <si>
    <t>Мундштук-наконечник SAW М14*185 мм для автомат.зварювання</t>
  </si>
  <si>
    <t>00000000098</t>
  </si>
  <si>
    <t>Муфта D=110</t>
  </si>
  <si>
    <t>00000009759</t>
  </si>
  <si>
    <t>Набір викруток CRV, 7 шт</t>
  </si>
  <si>
    <t>00-00011098</t>
  </si>
  <si>
    <t>Набір насадок торцевих</t>
  </si>
  <si>
    <t>00-00007519</t>
  </si>
  <si>
    <t>Набір перехідників</t>
  </si>
  <si>
    <t>00-00007754</t>
  </si>
  <si>
    <t>Напилок круглий 4,0*200мм</t>
  </si>
  <si>
    <t>00000000338</t>
  </si>
  <si>
    <t>Пакля "чесана", 100 гр.</t>
  </si>
  <si>
    <t>00-00017236</t>
  </si>
  <si>
    <t>Пальник для паяння</t>
  </si>
  <si>
    <t>00-00005534</t>
  </si>
  <si>
    <t>Пальник МВ EVO PRO 36_5,00 м_КZ-2</t>
  </si>
  <si>
    <t>00000007251</t>
  </si>
  <si>
    <t>Пасатижі 160 мм діелектричні, хром-ванадій</t>
  </si>
  <si>
    <t>00000006779</t>
  </si>
  <si>
    <t>Пасатижі 180 мм</t>
  </si>
  <si>
    <t>00000000339</t>
  </si>
  <si>
    <t>Паста для пакування GEBATOUT, 200 мл</t>
  </si>
  <si>
    <t>00-00010334</t>
  </si>
  <si>
    <t>Перемикач сенсорний для мех. різака</t>
  </si>
  <si>
    <t>00000002370</t>
  </si>
  <si>
    <t>пильне полотно</t>
  </si>
  <si>
    <t>00000006885</t>
  </si>
  <si>
    <t>Підігрівач вуглекислого газу Донмет проточний ПЕ-01 36Вольт 100Вт</t>
  </si>
  <si>
    <t>00-00001629</t>
  </si>
  <si>
    <t>Підігрівач ПУ-2 36В АІ</t>
  </si>
  <si>
    <t>00000010210</t>
  </si>
  <si>
    <t>00-00005754</t>
  </si>
  <si>
    <t>Пістолет гвоздозабивний, пневматичний для цвяхів t=3.05мм,h-22-45мм</t>
  </si>
  <si>
    <t>00000008994</t>
  </si>
  <si>
    <t>Пістолет продувний 15 мм з додат.наконечником 80 мм</t>
  </si>
  <si>
    <t>00-00007717</t>
  </si>
  <si>
    <t>Плиткоріз</t>
  </si>
  <si>
    <t>00-00003864</t>
  </si>
  <si>
    <t>Плівка 500х190,20мр</t>
  </si>
  <si>
    <t>00000004972</t>
  </si>
  <si>
    <t>Плівка чорна, 3 м (м/пог)</t>
  </si>
  <si>
    <t>00000002295</t>
  </si>
  <si>
    <t>Плоскогубці 180мм</t>
  </si>
  <si>
    <t>00000020911</t>
  </si>
  <si>
    <t>Пневмопістолет для підкачки подовж наконечн</t>
  </si>
  <si>
    <t>00-00008654</t>
  </si>
  <si>
    <t>Подложка 2мм (50) шир 1,0</t>
  </si>
  <si>
    <t>00-00000153</t>
  </si>
  <si>
    <t>Провітрювач кімнатний Вентс ПС102</t>
  </si>
  <si>
    <t>00-00009926</t>
  </si>
  <si>
    <t>Прожектор 20W 6400К</t>
  </si>
  <si>
    <t>00000015670</t>
  </si>
  <si>
    <t>Прожектор LFLT 50Вт 6400К IP65</t>
  </si>
  <si>
    <t>00-00006020</t>
  </si>
  <si>
    <t>Пульт для талі</t>
  </si>
  <si>
    <t>00-00009912</t>
  </si>
  <si>
    <t>Редуктор  АР-30/У-30-П-1Р з підігрівачем 220В</t>
  </si>
  <si>
    <t>00000017532</t>
  </si>
  <si>
    <t>Редуктор кисневий БКО-50ДМ-D9</t>
  </si>
  <si>
    <t>00-00013214</t>
  </si>
  <si>
    <t>Редуктор пропановий</t>
  </si>
  <si>
    <t>00-00010239</t>
  </si>
  <si>
    <t>Ремінь клиновий А-1500</t>
  </si>
  <si>
    <t>00-00010240</t>
  </si>
  <si>
    <t>Ремінь клиновий А-1600</t>
  </si>
  <si>
    <t>00000003611</t>
  </si>
  <si>
    <t>Рисувалка для скла</t>
  </si>
  <si>
    <t>00-00012271</t>
  </si>
  <si>
    <t>Рівень</t>
  </si>
  <si>
    <t>00-00002179</t>
  </si>
  <si>
    <t>Рівень лазерний ДЕКО</t>
  </si>
  <si>
    <t>00-00015649</t>
  </si>
  <si>
    <t>Різак 480/90</t>
  </si>
  <si>
    <t>00000013234</t>
  </si>
  <si>
    <t>Різак Р1П-100</t>
  </si>
  <si>
    <t>00000004024</t>
  </si>
  <si>
    <t>Розетка 3 гнізда з захисними кришками</t>
  </si>
  <si>
    <t>00000003057</t>
  </si>
  <si>
    <t>Розетка переносна</t>
  </si>
  <si>
    <t>00000016021</t>
  </si>
  <si>
    <t>Рукавиці  х/б з ПВХ</t>
  </si>
  <si>
    <t>00000008141</t>
  </si>
  <si>
    <t>Рукавиці , пар</t>
  </si>
  <si>
    <t>00-00010482</t>
  </si>
  <si>
    <t>Рулетка</t>
  </si>
  <si>
    <t>00000014432</t>
  </si>
  <si>
    <t>Ручка для напилку</t>
  </si>
  <si>
    <t>00-00010871</t>
  </si>
  <si>
    <t>Сандалі</t>
  </si>
  <si>
    <t>00000018055</t>
  </si>
  <si>
    <t>Свердло 14,0мм HSS-TiN (посадка 10мм)</t>
  </si>
  <si>
    <t>00-00007889</t>
  </si>
  <si>
    <t>Свердло по металу  12мм</t>
  </si>
  <si>
    <t>00000013180</t>
  </si>
  <si>
    <t>Свердло по металу ц/х 10,0</t>
  </si>
  <si>
    <t>00-00010954</t>
  </si>
  <si>
    <t>Світильник LED 12W  з датчиком</t>
  </si>
  <si>
    <t>00000000337</t>
  </si>
  <si>
    <t>Сифон для мийки Ани 1 1/2" литий , з гофрою 40/ 50 D70</t>
  </si>
  <si>
    <t>00000021892</t>
  </si>
  <si>
    <t>Скоба для степлера тимА10мм  1000шт/уп</t>
  </si>
  <si>
    <t>00-00007128</t>
  </si>
  <si>
    <t>Спіраль подаюча (червона) 2,0/4,5/540</t>
  </si>
  <si>
    <t>00000000663</t>
  </si>
  <si>
    <t>Спрей антипригарний</t>
  </si>
  <si>
    <t>00-00010345</t>
  </si>
  <si>
    <t>Сталева пакувальна стрічка</t>
  </si>
  <si>
    <t>00000001575</t>
  </si>
  <si>
    <t>Степлер 4-14 мм</t>
  </si>
  <si>
    <t>00-00006048</t>
  </si>
  <si>
    <t>Степлер 4-14 мм 3 в 1 під скобу, шпилька 14 мм</t>
  </si>
  <si>
    <t>00-00006047</t>
  </si>
  <si>
    <t>Степлер 6-14мм з регулятором ресора</t>
  </si>
  <si>
    <t>00000013430</t>
  </si>
  <si>
    <t>Степлер будівельний</t>
  </si>
  <si>
    <t>00-00007787</t>
  </si>
  <si>
    <t>Степлер для цвяхів</t>
  </si>
  <si>
    <t>00-00013834</t>
  </si>
  <si>
    <t>Стержень восковий для олівця</t>
  </si>
  <si>
    <t>00000008314</t>
  </si>
  <si>
    <t>Стрічка клейка 38*20</t>
  </si>
  <si>
    <t>00-00010449</t>
  </si>
  <si>
    <t>Стрічка холоднокатана 0,8х20</t>
  </si>
  <si>
    <t>00000006562</t>
  </si>
  <si>
    <t>Строп СТП-3,0/3000</t>
  </si>
  <si>
    <t>00000005178</t>
  </si>
  <si>
    <t>Строп СТП-5,0/3000</t>
  </si>
  <si>
    <t>00000002245</t>
  </si>
  <si>
    <t>Строп СТП-5,0/5000</t>
  </si>
  <si>
    <t>00000016003</t>
  </si>
  <si>
    <t>Струбцина G-подібна 300 мм</t>
  </si>
  <si>
    <t>00000000624</t>
  </si>
  <si>
    <t>Суміш зварювальна CORGON18 (МИКС-1)бал.40л/7м3</t>
  </si>
  <si>
    <t>00-00000430</t>
  </si>
  <si>
    <t>Табличка пластикова 15х20см</t>
  </si>
  <si>
    <t>00-00012275</t>
  </si>
  <si>
    <t>Тент поліпропіленовий</t>
  </si>
  <si>
    <t>00000013335</t>
  </si>
  <si>
    <t>Транспортир з лінійкою</t>
  </si>
  <si>
    <t>00000000283</t>
  </si>
  <si>
    <t>Трійник   редукційний D=110-50 мм ,87*30</t>
  </si>
  <si>
    <t>00000000199</t>
  </si>
  <si>
    <t>Трійник  латуний 1/2</t>
  </si>
  <si>
    <t>00000000095</t>
  </si>
  <si>
    <t>Трійник D=50 mm 45*</t>
  </si>
  <si>
    <t>00-00014412</t>
  </si>
  <si>
    <t>Трос сталевий 3мм</t>
  </si>
  <si>
    <t>00-00000002</t>
  </si>
  <si>
    <t>Труба гофрована 16мм</t>
  </si>
  <si>
    <t>00-00000255</t>
  </si>
  <si>
    <t>Труба поліпропіленова каналізаційна d=50  мм І=3000 мм</t>
  </si>
  <si>
    <t>00000000037</t>
  </si>
  <si>
    <t>Трубка K-FLEX 06x022-2 PE L=2</t>
  </si>
  <si>
    <t>ізоляція</t>
  </si>
  <si>
    <t>00-00003931</t>
  </si>
  <si>
    <t>Угольнік будівельний 600 мм</t>
  </si>
  <si>
    <t>00-00000548</t>
  </si>
  <si>
    <t>Універсальний шуруп 2,5х16мм</t>
  </si>
  <si>
    <t>00-00013849</t>
  </si>
  <si>
    <t>Фальш Брус 3000х35х180</t>
  </si>
  <si>
    <t>00-00013906</t>
  </si>
  <si>
    <t>Фанера  12мм   1250*2500</t>
  </si>
  <si>
    <t>фанера</t>
  </si>
  <si>
    <t>00000003294</t>
  </si>
  <si>
    <t>Фарборозпилювач AS702 HP</t>
  </si>
  <si>
    <t>00000003204</t>
  </si>
  <si>
    <t>Фарборозпилювач MTX</t>
  </si>
  <si>
    <t>00-00016876</t>
  </si>
  <si>
    <t>Флюс</t>
  </si>
  <si>
    <t>00-00008646</t>
  </si>
  <si>
    <t>Флюс агломерований GRADIENT SJ301</t>
  </si>
  <si>
    <t>00000000353</t>
  </si>
  <si>
    <t>Хомут з гайкою, ЛИОН, М8 4" (109-121мм.) з віброгасителем</t>
  </si>
  <si>
    <t>00000000352</t>
  </si>
  <si>
    <t>Хомут з прокладкою, ЛІОН, М8, D = 1 1/2"</t>
  </si>
  <si>
    <t>00-00003152</t>
  </si>
  <si>
    <t>Хомут затяжний оцинков.</t>
  </si>
  <si>
    <t>00-00009032</t>
  </si>
  <si>
    <t>Чертилка для скла</t>
  </si>
  <si>
    <t>00000000156</t>
  </si>
  <si>
    <t>Шайба вузка DIN125  8х16(1уп.=1000шт)</t>
  </si>
  <si>
    <t>00000000417</t>
  </si>
  <si>
    <t>Шайба збільшена  DIN9021  16х49 (1уп=30шт)</t>
  </si>
  <si>
    <t>00000006339</t>
  </si>
  <si>
    <t>Швидкороз'ємне з'єднання 1/4"внутрішнє різьблення"</t>
  </si>
  <si>
    <t>207</t>
  </si>
  <si>
    <t>00-00017254</t>
  </si>
  <si>
    <t>Шина 15,5/80-24  (400/80-24) HD16 сл 151А6 ТТ</t>
  </si>
  <si>
    <t>00000017216</t>
  </si>
  <si>
    <t>Шланг гумовий, 8Х15 мм., 20 метрів, АН-R8120</t>
  </si>
  <si>
    <t>00-00017070</t>
  </si>
  <si>
    <t>Шланг кисневий</t>
  </si>
  <si>
    <t>00-00005757</t>
  </si>
  <si>
    <t>Шланг пневматичний ПВХ із швидкоз’ємн. накінечниками</t>
  </si>
  <si>
    <t>00-00005761</t>
  </si>
  <si>
    <t>Шланг спіральний 20м</t>
  </si>
  <si>
    <t>00-00005548</t>
  </si>
  <si>
    <t>Шланг спіральний АН-PU 5815</t>
  </si>
  <si>
    <t>00000017915</t>
  </si>
  <si>
    <t>Шнур-жилка каменяра 0,8*100м</t>
  </si>
  <si>
    <t>00000004393</t>
  </si>
  <si>
    <t>Шпатель фасадний</t>
  </si>
  <si>
    <t>00-00000836</t>
  </si>
  <si>
    <t>Шпахля пластикова</t>
  </si>
  <si>
    <t>00000000411</t>
  </si>
  <si>
    <t>Шпилька ТМ  оцинкована 16х1000 DIN975, (10шт)</t>
  </si>
  <si>
    <t>00000001797</t>
  </si>
  <si>
    <t>Штангельциркуль</t>
  </si>
  <si>
    <t>00000006395</t>
  </si>
  <si>
    <t>Штангельциркуль 150мм</t>
  </si>
  <si>
    <t>00-00011896</t>
  </si>
  <si>
    <t>Штатив</t>
  </si>
  <si>
    <t>00000011700</t>
  </si>
  <si>
    <t>Штуцер</t>
  </si>
  <si>
    <t>00-00007400</t>
  </si>
  <si>
    <t>Щит обліково-розподільчий</t>
  </si>
  <si>
    <t>СТІЛ Склад металоконструкцій</t>
  </si>
  <si>
    <t>Стіл Укрнафта</t>
  </si>
  <si>
    <t>00000016433</t>
  </si>
  <si>
    <t>Брус 20*100*6000</t>
  </si>
  <si>
    <t>00000000576</t>
  </si>
  <si>
    <t>Брус 30х100х6000</t>
  </si>
  <si>
    <t>00-00016510</t>
  </si>
  <si>
    <t>Брус 50х130</t>
  </si>
  <si>
    <t>00000018513</t>
  </si>
  <si>
    <t>ВВГнг 5х6 кабель</t>
  </si>
  <si>
    <t>00-00017138</t>
  </si>
  <si>
    <t>Вентилятор шафовий з фільтром</t>
  </si>
  <si>
    <t>00000004060</t>
  </si>
  <si>
    <t>Вилка силова 32А, ІР44</t>
  </si>
  <si>
    <t>00-00000721</t>
  </si>
  <si>
    <t>Вимикач 1-клавішний</t>
  </si>
  <si>
    <t>00000001654</t>
  </si>
  <si>
    <t>Вимикач 2 кл</t>
  </si>
  <si>
    <t>00-00007163</t>
  </si>
  <si>
    <t>Гнучка труба 1 1/2х40/50</t>
  </si>
  <si>
    <t>00-00006569</t>
  </si>
  <si>
    <t>Гнучкий шланг 1\2 ВВ довжина 60 см</t>
  </si>
  <si>
    <t>00-00017136</t>
  </si>
  <si>
    <t>Диференційне реле (УЗО) 25 А</t>
  </si>
  <si>
    <t xml:space="preserve">Диференційний автомат </t>
  </si>
  <si>
    <t>00-00013568</t>
  </si>
  <si>
    <t>ДСП ламінована 18 мм 2800*2070</t>
  </si>
  <si>
    <t>Плита ЛДСП</t>
  </si>
  <si>
    <t>00-00016735</t>
  </si>
  <si>
    <t>Електроконвектор 2000Вт</t>
  </si>
  <si>
    <t xml:space="preserve">Електричний конвектор </t>
  </si>
  <si>
    <t>00-00010877</t>
  </si>
  <si>
    <t>Електросушарка для рук</t>
  </si>
  <si>
    <t>Сушарка</t>
  </si>
  <si>
    <t>00-00007466</t>
  </si>
  <si>
    <t>00-00012764</t>
  </si>
  <si>
    <t>Змішувач  для кухні</t>
  </si>
  <si>
    <t>00-00014082</t>
  </si>
  <si>
    <t>змішувач для душу</t>
  </si>
  <si>
    <t>00-00011775</t>
  </si>
  <si>
    <t>Кабель канал 25*25(80)</t>
  </si>
  <si>
    <t>00-00011777</t>
  </si>
  <si>
    <t>Кабель канал 40*40(40)</t>
  </si>
  <si>
    <t>00-00017141</t>
  </si>
  <si>
    <t>Кабель канал 80*40(24)</t>
  </si>
  <si>
    <t>00-00016308</t>
  </si>
  <si>
    <t>Коліно каналізаційне 50х87</t>
  </si>
  <si>
    <t>00-00010420</t>
  </si>
  <si>
    <t>Коробка розподільча 100х100х70</t>
  </si>
  <si>
    <t>00-00016902</t>
  </si>
  <si>
    <t>Крайка меблева ПВХ 42*2</t>
  </si>
  <si>
    <t>00-00002360</t>
  </si>
  <si>
    <t>Кран кульовий ЗВ, 1 ", Bianchi</t>
  </si>
  <si>
    <t>00-00002342</t>
  </si>
  <si>
    <t>Куточок 90 PP-R D=25 mm сірий</t>
  </si>
  <si>
    <t>00-00015954</t>
  </si>
  <si>
    <t>Лавка (1670х770х540)</t>
  </si>
  <si>
    <t>00000008719</t>
  </si>
  <si>
    <t>Лист  2</t>
  </si>
  <si>
    <t>00-00007186</t>
  </si>
  <si>
    <t>Лист рівний</t>
  </si>
  <si>
    <t>00-00016313</t>
  </si>
  <si>
    <t>Муфта PP-R D=25х1/2 З</t>
  </si>
  <si>
    <t>00-00015069</t>
  </si>
  <si>
    <t>Обвідне коліно PP-R D=25 mm сірий</t>
  </si>
  <si>
    <t>00-00005585</t>
  </si>
  <si>
    <t>Перехідник  D=25мм*1 B</t>
  </si>
  <si>
    <t>00000019081</t>
  </si>
  <si>
    <t>Піддон душовий сталевий, емальований квадратний 800х800х150</t>
  </si>
  <si>
    <t xml:space="preserve">Душовий піддон </t>
  </si>
  <si>
    <t>00-00016901</t>
  </si>
  <si>
    <t>Підставка</t>
  </si>
  <si>
    <t>00-00000705</t>
  </si>
  <si>
    <t>Плита OSB (1,25х2,5) 18 мм Кроно Україна</t>
  </si>
  <si>
    <t>00000013734</t>
  </si>
  <si>
    <t>Плита OSB 10 мм</t>
  </si>
  <si>
    <t>00-00007736</t>
  </si>
  <si>
    <t>Плівка пароізоляційна  75 м2</t>
  </si>
  <si>
    <t>00-00017069</t>
  </si>
  <si>
    <t>Профіль ПК-20</t>
  </si>
  <si>
    <t>Профіль стартовий</t>
  </si>
  <si>
    <t>00-00006016</t>
  </si>
  <si>
    <t>Раковина 50</t>
  </si>
  <si>
    <t>00-00017139</t>
  </si>
  <si>
    <t>Розетка з/з вологосахисна ІР 54</t>
  </si>
  <si>
    <t>00-00017137</t>
  </si>
  <si>
    <t>Розетка силова 32А, ІР44 стаціонарна</t>
  </si>
  <si>
    <t>00-00008489</t>
  </si>
  <si>
    <t>Саморіз 4,8*19</t>
  </si>
  <si>
    <t>00000021844</t>
  </si>
  <si>
    <t>Саморіз 4,8х35 по дереву</t>
  </si>
  <si>
    <t>00-00016900</t>
  </si>
  <si>
    <t>Сигналізатор диму пожежний  СПД-3.4</t>
  </si>
  <si>
    <t>00-00005955</t>
  </si>
  <si>
    <t>Сифон для раковини А-32019</t>
  </si>
  <si>
    <t>00-00011833</t>
  </si>
  <si>
    <t>Табличка з УФ друком 1000х300 мм</t>
  </si>
  <si>
    <t>табличка</t>
  </si>
  <si>
    <t>00-00011834</t>
  </si>
  <si>
    <t>Табличка з УФ друком 2000х600 мм</t>
  </si>
  <si>
    <t>00-00000556</t>
  </si>
  <si>
    <t>Трійник D=110 mm 87 30</t>
  </si>
  <si>
    <t>00-00006179</t>
  </si>
  <si>
    <t>Трійник D=25 mm</t>
  </si>
  <si>
    <t>00-00016314</t>
  </si>
  <si>
    <t>Трійник PP-R D=25 mm. х1\2 Н сірий</t>
  </si>
  <si>
    <t>00000017316</t>
  </si>
  <si>
    <t>Труба 40х40х3 (6,05-S235/S275)</t>
  </si>
  <si>
    <t>Труба профільна</t>
  </si>
  <si>
    <t>00-00011904</t>
  </si>
  <si>
    <t>Труба каналізаційна 50х1,8х1000 вн</t>
  </si>
  <si>
    <t>00-00016307</t>
  </si>
  <si>
    <t>Труба каналізаційна 50х1,8х500</t>
  </si>
  <si>
    <t>00-00015702</t>
  </si>
  <si>
    <t>Труба каналізаційна ПВХ 110х2,7х500</t>
  </si>
  <si>
    <t>00-00016315</t>
  </si>
  <si>
    <t>Труба ППР композит 25х4,2мм</t>
  </si>
  <si>
    <t>00-00015704</t>
  </si>
  <si>
    <t>Футорка латунна 3/4х1/2</t>
  </si>
  <si>
    <t>00-00017140</t>
  </si>
  <si>
    <t>Щиток освітлення ЩО-24НГ</t>
  </si>
  <si>
    <t>Стіл Укрнафта вагон</t>
  </si>
  <si>
    <t>00-00007970</t>
  </si>
  <si>
    <t>Швелер 24П міра 12,00 м</t>
  </si>
  <si>
    <t>Стіл Укрнафта виробничий</t>
  </si>
  <si>
    <t>00000012089</t>
  </si>
  <si>
    <t>Лист  2*1250*2500</t>
  </si>
  <si>
    <t>00000006599</t>
  </si>
  <si>
    <t>Лист 12*1500*6000</t>
  </si>
  <si>
    <t>00-00006849</t>
  </si>
  <si>
    <t>00-00006850</t>
  </si>
  <si>
    <t>Труба 80х40х3</t>
  </si>
  <si>
    <t>00000020237</t>
  </si>
  <si>
    <t>труба 80х80х3 мм; ст. 1-3 пс; 12 м</t>
  </si>
  <si>
    <t>00000009330</t>
  </si>
  <si>
    <t>Швелер 16</t>
  </si>
  <si>
    <t>00-00015953</t>
  </si>
  <si>
    <t>Швелер 24</t>
  </si>
  <si>
    <t>СТІЛ Цех ВООЗ(ЕМС)</t>
  </si>
  <si>
    <t>00-00009969</t>
  </si>
  <si>
    <t>Автомат введення резерву  2п 63A</t>
  </si>
  <si>
    <t>00-00007198</t>
  </si>
  <si>
    <t>Автоматичний вимикач RESI9 Schneider Electric 40 А, 2P, крива С, 6кА (R9F12240)</t>
  </si>
  <si>
    <t>00-00006392</t>
  </si>
  <si>
    <t>Американка ППР 20х1,2 В</t>
  </si>
  <si>
    <t>00-00006391</t>
  </si>
  <si>
    <t>00-00015628</t>
  </si>
  <si>
    <t>Бокс зовнішній 36 авт. вимикачів</t>
  </si>
  <si>
    <t>00000012184</t>
  </si>
  <si>
    <t>Болт М16*90</t>
  </si>
  <si>
    <t>00000002877</t>
  </si>
  <si>
    <t>Болт М24*200</t>
  </si>
  <si>
    <t>00-00005270</t>
  </si>
  <si>
    <t>Брезент вогнестійкий  1,5*1,8</t>
  </si>
  <si>
    <t>00000001557</t>
  </si>
  <si>
    <t>Брус 50*50*3,0</t>
  </si>
  <si>
    <t>00000000577</t>
  </si>
  <si>
    <t>Брус 50х50х4500</t>
  </si>
  <si>
    <t>00000004252</t>
  </si>
  <si>
    <t>Вилка пряма 16 А</t>
  </si>
  <si>
    <t>00000010911</t>
  </si>
  <si>
    <t>Вішалка підлогова</t>
  </si>
  <si>
    <t>00000012036</t>
  </si>
  <si>
    <t>Вогнегасник ОП-5 (ВП-5)</t>
  </si>
  <si>
    <t>Гастроємність</t>
  </si>
  <si>
    <t>00-00017424</t>
  </si>
  <si>
    <t>Водонагрівач 100л</t>
  </si>
  <si>
    <t>00-00012864</t>
  </si>
  <si>
    <t>Врізання в бак 1/2 латунне</t>
  </si>
  <si>
    <t>Врізання в бак</t>
  </si>
  <si>
    <t>00000001660</t>
  </si>
  <si>
    <t>Гайка М16</t>
  </si>
  <si>
    <t>00000011364</t>
  </si>
  <si>
    <t>Гайка М48 DIN934</t>
  </si>
  <si>
    <t>00000017039</t>
  </si>
  <si>
    <t>00-00007974</t>
  </si>
  <si>
    <t>Грунт 10кг</t>
  </si>
  <si>
    <t>00-00006552</t>
  </si>
  <si>
    <t>Грунт глибокопроникаючий без кольору</t>
  </si>
  <si>
    <t>Грунтовка</t>
  </si>
  <si>
    <t>00-00016379</t>
  </si>
  <si>
    <t>Двері вхідні 960*2050</t>
  </si>
  <si>
    <t>00-00016380</t>
  </si>
  <si>
    <t>Двері металеві 1460х2400</t>
  </si>
  <si>
    <t>00-00005341</t>
  </si>
  <si>
    <t>Держак ринви ПВХ Profil 90 білий</t>
  </si>
  <si>
    <t>00-00005342</t>
  </si>
  <si>
    <t>Держак труби металевий L-160  90 білий</t>
  </si>
  <si>
    <t>00-00005561</t>
  </si>
  <si>
    <t>00-00005366</t>
  </si>
  <si>
    <t>Диспенсер рушників</t>
  </si>
  <si>
    <t>00000012923</t>
  </si>
  <si>
    <t>Дріт з легованої сталі ER70S-6 ф1,2 мм 15 кг</t>
  </si>
  <si>
    <t>00000010853</t>
  </si>
  <si>
    <t>Дріт ПВС  3* 2,5</t>
  </si>
  <si>
    <t>00000012649</t>
  </si>
  <si>
    <t>Дріт ПВС  3* 4</t>
  </si>
  <si>
    <t>00-00014156</t>
  </si>
  <si>
    <t>ДСП ламінована 16 мм 2800*2070 шт</t>
  </si>
  <si>
    <t>00-00005264</t>
  </si>
  <si>
    <t>Ємність 1500л харчова</t>
  </si>
  <si>
    <t>Ємність 1500 л</t>
  </si>
  <si>
    <t>00-00005344</t>
  </si>
  <si>
    <t>З'єднувач ринви Profil 90 білий</t>
  </si>
  <si>
    <t>00-00005423</t>
  </si>
  <si>
    <t>З'єднувач труби Profil 90 білий</t>
  </si>
  <si>
    <t>00-00016158</t>
  </si>
  <si>
    <t>З’єднувач з пластиною стіновою d100</t>
  </si>
  <si>
    <t>00-00000622</t>
  </si>
  <si>
    <t>00000000349</t>
  </si>
  <si>
    <t>Заглушка D=110 мм</t>
  </si>
  <si>
    <t>00000020679</t>
  </si>
  <si>
    <t>Заклепка 4,0*10 п=50 (10000) RAL9010</t>
  </si>
  <si>
    <t>00-00005057</t>
  </si>
  <si>
    <t>Захист від перенапруги D50</t>
  </si>
  <si>
    <t>00-00009970</t>
  </si>
  <si>
    <t>Захист від перенапруги D63</t>
  </si>
  <si>
    <t>00-00000375</t>
  </si>
  <si>
    <t>Змащувач для труб GEBEX LUB 200ml GEB SAS</t>
  </si>
  <si>
    <t>00-00015207</t>
  </si>
  <si>
    <t>Кабель АВВГ 3х4</t>
  </si>
  <si>
    <t>00-00015564</t>
  </si>
  <si>
    <t>Кабель нагріваючий Hemstedt FS-10 4м 40ВТ</t>
  </si>
  <si>
    <t>Кабель нагріваючий</t>
  </si>
  <si>
    <t>00-00004241</t>
  </si>
  <si>
    <t>Канал Д 100/1 1010</t>
  </si>
  <si>
    <t>00-00017142</t>
  </si>
  <si>
    <t>Канал кабельний 80х60 мм</t>
  </si>
  <si>
    <t>00-00005035</t>
  </si>
  <si>
    <t>Килимок 80х120</t>
  </si>
  <si>
    <t>00-00005944</t>
  </si>
  <si>
    <t>Кільце бетонне КС-15-9</t>
  </si>
  <si>
    <t>00000021201</t>
  </si>
  <si>
    <t>Клапан зворотній 1/2*</t>
  </si>
  <si>
    <t>клапан зворотній</t>
  </si>
  <si>
    <t>00-00016306</t>
  </si>
  <si>
    <t>Клапан зворотній 3/4*</t>
  </si>
  <si>
    <t>00000021333</t>
  </si>
  <si>
    <t>Клей для ковроліну та лінолеум 13кг</t>
  </si>
  <si>
    <t>клей</t>
  </si>
  <si>
    <t>00-00015294</t>
  </si>
  <si>
    <t>Клей для напольного покриття 13кг</t>
  </si>
  <si>
    <t>00000004299</t>
  </si>
  <si>
    <t>Клей для плитки (25 кг)</t>
  </si>
  <si>
    <t>00-00015635</t>
  </si>
  <si>
    <t>Кліпса ППР 20</t>
  </si>
  <si>
    <t>кліпса</t>
  </si>
  <si>
    <t>00-00014453</t>
  </si>
  <si>
    <t>Коліно 87° д32</t>
  </si>
  <si>
    <t>00-00005969</t>
  </si>
  <si>
    <t>Коліно Profil 75 біле</t>
  </si>
  <si>
    <t>00-00006147</t>
  </si>
  <si>
    <t>Коліно каналізаційне зовнішнє  110х87 Valrom</t>
  </si>
  <si>
    <t>00000019190</t>
  </si>
  <si>
    <t>Коліно ПВХ 110/45 нар хв</t>
  </si>
  <si>
    <t>00000000198</t>
  </si>
  <si>
    <t>Кран вентильний для сантехприладів 1/2 х3/4 ALBERTONI</t>
  </si>
  <si>
    <t>00-00017548</t>
  </si>
  <si>
    <t>Кріплення пластик</t>
  </si>
  <si>
    <t>00-00000365</t>
  </si>
  <si>
    <t>Кріплення умивальника до стіни (з ексцентриками і болт.8х120мм )</t>
  </si>
  <si>
    <t>00-00005036</t>
  </si>
  <si>
    <t>Крісло офісне</t>
  </si>
  <si>
    <t>00000016267</t>
  </si>
  <si>
    <t>Круг 18 мм</t>
  </si>
  <si>
    <t>00-00005152</t>
  </si>
  <si>
    <t>Кутник  декоративний 30х30</t>
  </si>
  <si>
    <t>00-00005153</t>
  </si>
  <si>
    <t>Кутник  декоративний 50х50</t>
  </si>
  <si>
    <t>00000005871</t>
  </si>
  <si>
    <t>Кутник 32х32х3 ст.3пс 6м</t>
  </si>
  <si>
    <t>00-00015700</t>
  </si>
  <si>
    <t>Кутник алюм. 0,3х46(23*23) 3,0 м</t>
  </si>
  <si>
    <t>00-00015699</t>
  </si>
  <si>
    <t>Кутник алюм. перфорований 3,0 м</t>
  </si>
  <si>
    <t>00-00015951</t>
  </si>
  <si>
    <t>Куточок 1м</t>
  </si>
  <si>
    <t>компл</t>
  </si>
  <si>
    <t>00-00017135</t>
  </si>
  <si>
    <t>Кухня ЄМС</t>
  </si>
  <si>
    <t>00-00000272</t>
  </si>
  <si>
    <t>Кушетка оглядова КС</t>
  </si>
  <si>
    <t xml:space="preserve">Кушетка медична </t>
  </si>
  <si>
    <t>00-00007405</t>
  </si>
  <si>
    <t>Лавка зі спинкою</t>
  </si>
  <si>
    <t>00000009893</t>
  </si>
  <si>
    <t>Лампа світлодіодна LED E27 15W 220</t>
  </si>
  <si>
    <t>00000018033</t>
  </si>
  <si>
    <t>Лист 3 (г.к)  (1,5х6) ((1,5*6,0) 1-3 сп/пс)</t>
  </si>
  <si>
    <t>00000016975</t>
  </si>
  <si>
    <t>Лист 4 (г.к)  (1,5х6) ((1,5*6,0) 14637 3сп5)</t>
  </si>
  <si>
    <t>00000002706</t>
  </si>
  <si>
    <t>Лист 8 (г.к)  (1,5х6) ((1,5*6,0) 14637 3сп5)</t>
  </si>
  <si>
    <t>лист пвл</t>
  </si>
  <si>
    <t>00-00017538</t>
  </si>
  <si>
    <t>Ліжко 900х2000</t>
  </si>
  <si>
    <t xml:space="preserve">Ліжко  </t>
  </si>
  <si>
    <t>00-00005336</t>
  </si>
  <si>
    <t>Лійка ліва 90 біла</t>
  </si>
  <si>
    <t>00-00005337</t>
  </si>
  <si>
    <t>Лійка права 90 біла</t>
  </si>
  <si>
    <t>00-00016765</t>
  </si>
  <si>
    <t>Масло компресорне КС-19 1л</t>
  </si>
  <si>
    <t>00000002188</t>
  </si>
  <si>
    <t>Мастика  18 кг</t>
  </si>
  <si>
    <t>00-00007177</t>
  </si>
  <si>
    <t>Матрац 800*2000*200</t>
  </si>
  <si>
    <t>00-00009914</t>
  </si>
  <si>
    <t>мембрана пароізоляційна 75 кв.м</t>
  </si>
  <si>
    <t>00-00016766</t>
  </si>
  <si>
    <t>Металопрофіль Т-18 2,7м</t>
  </si>
  <si>
    <t>00-00016311</t>
  </si>
  <si>
    <t>Муфта ПЕ 20*1/2 В</t>
  </si>
  <si>
    <t>00-00006151</t>
  </si>
  <si>
    <t>00-00015634</t>
  </si>
  <si>
    <t>Муфта, PP-R, D=25х1/2 мм.В сіра</t>
  </si>
  <si>
    <t>00-00015952</t>
  </si>
  <si>
    <t>Направляюча телескопічна кулькова</t>
  </si>
  <si>
    <t>00-00005182</t>
  </si>
  <si>
    <t>00-00014094</t>
  </si>
  <si>
    <t>Ніпель перехідний 1/2х3/4 латунний</t>
  </si>
  <si>
    <t>00000016131</t>
  </si>
  <si>
    <t>00-00004998</t>
  </si>
  <si>
    <t>Опромінювач бактерицидний</t>
  </si>
  <si>
    <t>00-00005019</t>
  </si>
  <si>
    <t>Оцинкована решітка 1000х1000</t>
  </si>
  <si>
    <t>Оцинкована решітка</t>
  </si>
  <si>
    <t>00-00015657</t>
  </si>
  <si>
    <t>Парапет плоский 740х570х100</t>
  </si>
  <si>
    <t xml:space="preserve">Парапет плоский </t>
  </si>
  <si>
    <t>00-00000402</t>
  </si>
  <si>
    <t>Петля виточена d=16мм (для хвіртки)</t>
  </si>
  <si>
    <t>петля</t>
  </si>
  <si>
    <t>00000000477</t>
  </si>
  <si>
    <t>Петля виточена d=20мм (для воріт)</t>
  </si>
  <si>
    <t>00-00005156</t>
  </si>
  <si>
    <t>Пінополістерол (100мм) XPS ПСЕ-40 1,2х6 (уп 4шт)</t>
  </si>
  <si>
    <t>00-00005430</t>
  </si>
  <si>
    <t>Пінополістерол (50мм)  1,0х5</t>
  </si>
  <si>
    <t>00-00006015</t>
  </si>
  <si>
    <t>00-00004050</t>
  </si>
  <si>
    <t>Пінополістирол 100мм</t>
  </si>
  <si>
    <t>00-00015950</t>
  </si>
  <si>
    <t>Планка цокольна профільна</t>
  </si>
  <si>
    <t>00-00015949</t>
  </si>
  <si>
    <t>Плинтус меблевий</t>
  </si>
  <si>
    <t>плінтус</t>
  </si>
  <si>
    <t>00000003979</t>
  </si>
  <si>
    <t>Плита OSB-3 10х1250*2500 (шт)</t>
  </si>
  <si>
    <t>00-00012277</t>
  </si>
  <si>
    <t>Плити пінополістирольні 1000х500х100</t>
  </si>
  <si>
    <t>00-00014236</t>
  </si>
  <si>
    <t>Плити пінополістирольні 1000х500х100 ШТ</t>
  </si>
  <si>
    <t>00-00017144</t>
  </si>
  <si>
    <t>Плити пінополістирольні 1000х500х50</t>
  </si>
  <si>
    <t>00-00015698</t>
  </si>
  <si>
    <t>00-00010205</t>
  </si>
  <si>
    <t>00-00016768</t>
  </si>
  <si>
    <t>Подовжувач для підключення підводки голка</t>
  </si>
  <si>
    <t>00-00005087</t>
  </si>
  <si>
    <t>00-00005086</t>
  </si>
  <si>
    <t>Поручень пристінний 500мм 3.005</t>
  </si>
  <si>
    <t>00000006983</t>
  </si>
  <si>
    <t>Провід ПВС 2*1,0 (м)</t>
  </si>
  <si>
    <t>Профіль для підлоги</t>
  </si>
  <si>
    <t>00-00016791</t>
  </si>
  <si>
    <t>Профіль ПВХ LP</t>
  </si>
  <si>
    <t>00-00016723</t>
  </si>
  <si>
    <t>Профнастил S-8</t>
  </si>
  <si>
    <t>00-00016722</t>
  </si>
  <si>
    <t>Профнастил Т-18</t>
  </si>
  <si>
    <t>00-00010620</t>
  </si>
  <si>
    <t>Редукція каналізаційна 50х32</t>
  </si>
  <si>
    <t>00-00017149</t>
  </si>
  <si>
    <t>Рейка 50*50*2500</t>
  </si>
  <si>
    <t>00-00007872</t>
  </si>
  <si>
    <t>Рейка 50*50*3000</t>
  </si>
  <si>
    <t>00-00005330</t>
  </si>
  <si>
    <t>Ринва біла 90 мм L=3 м</t>
  </si>
  <si>
    <t>00000022062</t>
  </si>
  <si>
    <t>Розетка з з/к, Schneider Electrik Asfora, біл.</t>
  </si>
  <si>
    <t>00-00010291</t>
  </si>
  <si>
    <t>Саморіз 3,5х25 для гіпсокартону по дереву фосф 250шт</t>
  </si>
  <si>
    <t>00-00015345</t>
  </si>
  <si>
    <t>Саморіз 3,5х32</t>
  </si>
  <si>
    <t>00-00010608</t>
  </si>
  <si>
    <t>Саморіз 3,5х45</t>
  </si>
  <si>
    <t>00-00012037</t>
  </si>
  <si>
    <t>Саморіз 4,8х60</t>
  </si>
  <si>
    <t>00000004539</t>
  </si>
  <si>
    <t>Саморіз з пресшайбою 4,2х16</t>
  </si>
  <si>
    <t>00000005280</t>
  </si>
  <si>
    <t>Саморіз по дереву 3,5х35</t>
  </si>
  <si>
    <t>00-00005051</t>
  </si>
  <si>
    <t>Світильник LED 36W/6500К 595*595</t>
  </si>
  <si>
    <t>00-00015447</t>
  </si>
  <si>
    <t>Світильник LED L-PRS-1241-18 12W 4100К .накл.</t>
  </si>
  <si>
    <t>00-00005053</t>
  </si>
  <si>
    <t>00-00010161</t>
  </si>
  <si>
    <t>Світильник НПП  1101 коло 100W-E27 ІР65</t>
  </si>
  <si>
    <t>00-00005052</t>
  </si>
  <si>
    <t>Світлодіод акс.Рамка накладного монтажу до LED Panel</t>
  </si>
  <si>
    <t>00000019295</t>
  </si>
  <si>
    <t>00-00016214</t>
  </si>
  <si>
    <t>Сендвіч-панель 10 мм х1500ммх3000мм</t>
  </si>
  <si>
    <t>теплий відкіс</t>
  </si>
  <si>
    <t>00000010967</t>
  </si>
  <si>
    <t>Сифон для умив."Waterstal" 1 1/2 з гнуч.трубкою</t>
  </si>
  <si>
    <t xml:space="preserve">Сповіщувач пожежний димовий </t>
  </si>
  <si>
    <t>00-00005848</t>
  </si>
  <si>
    <t>Стелаж СТ -4/1 М уп</t>
  </si>
  <si>
    <t xml:space="preserve">Стелаж виробничий </t>
  </si>
  <si>
    <t>00-00007136</t>
  </si>
  <si>
    <t>Стіл обідній</t>
  </si>
  <si>
    <t>00000000423</t>
  </si>
  <si>
    <t>Стілець Новий Стиль Jack</t>
  </si>
  <si>
    <t>00-00000273</t>
  </si>
  <si>
    <t>Столик сповивальний СП-П</t>
  </si>
  <si>
    <t>Столик сповивальний</t>
  </si>
  <si>
    <t>00-00015234</t>
  </si>
  <si>
    <t>Стрижень різьбовий метричний М 48 DIN 975 ЦБ</t>
  </si>
  <si>
    <t>шпилька</t>
  </si>
  <si>
    <t>00-00016767</t>
  </si>
  <si>
    <t>Стрічка FIXIT K-15 25 м</t>
  </si>
  <si>
    <t>00-00006134</t>
  </si>
  <si>
    <t>Стрічка бутилкаучукова 150мм (5м)</t>
  </si>
  <si>
    <t>00000020117</t>
  </si>
  <si>
    <t>Стрічка ізоляційна ПВХ 0,13ммх19ммх20м червона (рулон) AcKo</t>
  </si>
  <si>
    <t>00-00007266</t>
  </si>
  <si>
    <t>Терморегулятор terneo rtp</t>
  </si>
  <si>
    <t>Регулятор температури</t>
  </si>
  <si>
    <t>00-00002449</t>
  </si>
  <si>
    <t>Трійник 110/110х87* KG2000</t>
  </si>
  <si>
    <t>00-00015629</t>
  </si>
  <si>
    <t>Трійник D=32 mm 32* 90</t>
  </si>
  <si>
    <t>00000021710</t>
  </si>
  <si>
    <t>Трійник, PP-R, D = 20 мм x 1/2", В, сірий 3917400090</t>
  </si>
  <si>
    <t>00000019399</t>
  </si>
  <si>
    <t>труба 100х100х3 мм; ст. 1-3 пс; 12 м</t>
  </si>
  <si>
    <t>00-00004059</t>
  </si>
  <si>
    <t>Труба 40х20х3 мм; ст. 1-3пс; 6 м</t>
  </si>
  <si>
    <t>00-00009725</t>
  </si>
  <si>
    <t>00-00007935</t>
  </si>
  <si>
    <t>Труба 50х25х3</t>
  </si>
  <si>
    <t>00000017565</t>
  </si>
  <si>
    <t>Труба 50х50х4 (6,05- 8940:2019 08кп/1-3пс)</t>
  </si>
  <si>
    <t>00-00005335</t>
  </si>
  <si>
    <t>Труба водостічна 75 мм L=3 м біла</t>
  </si>
  <si>
    <t>00000008263</t>
  </si>
  <si>
    <t>Труба ду 40*3,5  (7306 30 49 90)</t>
  </si>
  <si>
    <t xml:space="preserve">труба  </t>
  </si>
  <si>
    <t>00-00012262</t>
  </si>
  <si>
    <t>Труба каналізаційна 110х2,7х1000мм</t>
  </si>
  <si>
    <t>00-00012266</t>
  </si>
  <si>
    <t>Труба каналізаційна 110х2,7х2000мм</t>
  </si>
  <si>
    <t>00-00003936</t>
  </si>
  <si>
    <t>Труба каналізаційна 110х3,2х1000мм зовн</t>
  </si>
  <si>
    <t>00-00009821</t>
  </si>
  <si>
    <t>Труба каналізаційна 110х3,2х3000мм</t>
  </si>
  <si>
    <t>00-00015632</t>
  </si>
  <si>
    <t>Труба каналізаційна 50х 50х87</t>
  </si>
  <si>
    <t>00-00009839</t>
  </si>
  <si>
    <t>Труба поліетиленова РЕHD PE100, SDR17, PN10, d 32 мм, 391721100</t>
  </si>
  <si>
    <t>00-00005131</t>
  </si>
  <si>
    <t>Труба поліпропіленова каналізаційна d=32  мм І=1000 мм</t>
  </si>
  <si>
    <t>00-00005129</t>
  </si>
  <si>
    <t>Труба поліпропіленова каналізаційна d=32  мм І=2000 мм</t>
  </si>
  <si>
    <t>00-00005130</t>
  </si>
  <si>
    <t>Труба поліпропіленова каналізаційна d=32  мм І=500 мм</t>
  </si>
  <si>
    <t>00-00004988</t>
  </si>
  <si>
    <t>Тумба мобільна 40,6х42,3х58,4</t>
  </si>
  <si>
    <t>Тумба мобільна</t>
  </si>
  <si>
    <t>00-00016309</t>
  </si>
  <si>
    <t>Хомут 1 1/2"/47-51 з шпилькою М8</t>
  </si>
  <si>
    <t>00-00015631</t>
  </si>
  <si>
    <t>Хомут 1 1/4 38-43мм(з дюбелем та шпилькою М8)</t>
  </si>
  <si>
    <t>00-00015630</t>
  </si>
  <si>
    <t>Хомут 4 з дюбелем та шпилькою М10(110-118 мм)</t>
  </si>
  <si>
    <t>00-00017425</t>
  </si>
  <si>
    <t>Хрестовина ASG 110|/110/110 87</t>
  </si>
  <si>
    <t>00000021695</t>
  </si>
  <si>
    <t>Хрестовина одноплощинна D=110 мм, 87° 30 ', фітинг 3917400090</t>
  </si>
  <si>
    <t>00-00004980</t>
  </si>
  <si>
    <t>Цементно-стружкова плита  3200*1250*20 мм</t>
  </si>
  <si>
    <t>ЦСП</t>
  </si>
  <si>
    <t>00-00012752</t>
  </si>
  <si>
    <t>00-00006117</t>
  </si>
  <si>
    <t>Шафа для одягу ШО-300/2</t>
  </si>
  <si>
    <t>00-00000260</t>
  </si>
  <si>
    <t>Шафа ШМ-М</t>
  </si>
  <si>
    <t>Шафи</t>
  </si>
  <si>
    <t>00-00000754</t>
  </si>
  <si>
    <t>Шина нульова на DIN рейку 10 отв</t>
  </si>
  <si>
    <t>00-00015706</t>
  </si>
  <si>
    <t>Шланг водяний 1/2"* 0,4 м</t>
  </si>
  <si>
    <t>00-00011100</t>
  </si>
  <si>
    <t>Шланг водяний 1/2"* 0,5 м</t>
  </si>
  <si>
    <t>00-00015707</t>
  </si>
  <si>
    <t>Шланг водяний 1/2"* 0,6 м</t>
  </si>
  <si>
    <t>00-00015743</t>
  </si>
  <si>
    <t>Шланг водяний 1/2"* 0,8 м</t>
  </si>
  <si>
    <t>00-00015640</t>
  </si>
  <si>
    <t>Шпаклівка для паркету, по дереву 1,5кг</t>
  </si>
  <si>
    <t>Шпаклівка</t>
  </si>
  <si>
    <t>00-00012865</t>
  </si>
  <si>
    <t>Шпаклівка по дереву 0,7 кг</t>
  </si>
  <si>
    <t>00-00010379</t>
  </si>
  <si>
    <t>Шуруп 4,2х19</t>
  </si>
  <si>
    <t>00000002054</t>
  </si>
  <si>
    <t>Шуруп г/к по дереву 3,5*35 мм</t>
  </si>
  <si>
    <t>00-00011456</t>
  </si>
  <si>
    <t>Щит Easy9 EU yнавісний 1Р 8М димч,двері</t>
  </si>
  <si>
    <t>00-00012220</t>
  </si>
  <si>
    <t>Щит Easy9 EU навісний 1Р 12М білі двері</t>
  </si>
  <si>
    <t>СТІЛ ЦЕХ Глобино</t>
  </si>
  <si>
    <t>00000003104</t>
  </si>
  <si>
    <t>Балка 20</t>
  </si>
  <si>
    <t>балка</t>
  </si>
  <si>
    <t>00-00012057</t>
  </si>
  <si>
    <t>Балка 24 ІРЕ240 S275JR 12м</t>
  </si>
  <si>
    <t>Балка</t>
  </si>
  <si>
    <t>00000003103</t>
  </si>
  <si>
    <t>Балка 30</t>
  </si>
  <si>
    <t>00-00008018</t>
  </si>
  <si>
    <t>Балка 30 (ІРЕ 300) S275 JR, 12 м</t>
  </si>
  <si>
    <t>00-00010227</t>
  </si>
  <si>
    <t>Балка 30 ІРЕ (12.15 EN 10024 S235/ S275)</t>
  </si>
  <si>
    <t>00000012696</t>
  </si>
  <si>
    <t>Балка 30 ст.3 пс 5 L=12,04 м</t>
  </si>
  <si>
    <t>00000005728</t>
  </si>
  <si>
    <t>Балка 36 міра 1-3 сп/пс 5 кат.L=12 м</t>
  </si>
  <si>
    <t>00-00011169</t>
  </si>
  <si>
    <t>Балка 45 (ІРЕ 450) S275 JR, 12 м</t>
  </si>
  <si>
    <t>00-00000508</t>
  </si>
  <si>
    <t>Балка №36</t>
  </si>
  <si>
    <t>00-00000426</t>
  </si>
  <si>
    <t>Балка двутаврова ІРЕ 360 С275 12м</t>
  </si>
  <si>
    <t>00-00008507</t>
  </si>
  <si>
    <t>Балка ІРN 240</t>
  </si>
  <si>
    <t>00-00011827</t>
  </si>
  <si>
    <t>Балка ІРЕ 160 міра L=12 S275JR</t>
  </si>
  <si>
    <t>00000018711</t>
  </si>
  <si>
    <t>Круг 20 мм 3 ПС, 6 м</t>
  </si>
  <si>
    <t>00-00012059</t>
  </si>
  <si>
    <t>Кутник 100*100 7мм 12м</t>
  </si>
  <si>
    <t>00000004007</t>
  </si>
  <si>
    <t>Кутник 63х63х6</t>
  </si>
  <si>
    <t>00-00012102</t>
  </si>
  <si>
    <t>Кутник 75*75 мм  6,0 мм, S275 JR 12 м</t>
  </si>
  <si>
    <t>00000017880</t>
  </si>
  <si>
    <t>Лист 12  (г,к)(1,5х6)imp((1,5*6,0)S235JR)</t>
  </si>
  <si>
    <t>00000017298</t>
  </si>
  <si>
    <t>Лист 14 (г.к)(1,5х6)imp ((1,5*6,0) S235JR)</t>
  </si>
  <si>
    <t>00-00007242</t>
  </si>
  <si>
    <t>Лист 3 (рифл) ((1,0*6,0) 8568-77 3пс)</t>
  </si>
  <si>
    <t>00-00007962</t>
  </si>
  <si>
    <t>Лист г/к  4,0 мм 1500х6000, S235JR</t>
  </si>
  <si>
    <t>00000019853</t>
  </si>
  <si>
    <t>Лист г/к  8 мм (1500х6000, ст3пс)</t>
  </si>
  <si>
    <t>00-00008022</t>
  </si>
  <si>
    <t>Лист г/к 10,0 мм 1500*6000, S235 JR</t>
  </si>
  <si>
    <t>00000017319</t>
  </si>
  <si>
    <t>Лист г/к 10,0 мм 1500х6000, S235 JR</t>
  </si>
  <si>
    <t>00-00011013</t>
  </si>
  <si>
    <t>Лист г/к 20*1500*6000, S235 JR</t>
  </si>
  <si>
    <t>00000015640</t>
  </si>
  <si>
    <t>Лист г/к 20*1500*6000, S355J2</t>
  </si>
  <si>
    <t>00000019952</t>
  </si>
  <si>
    <t>Лист г/к 20х1500х6000, ст.3пс5/S235JR</t>
  </si>
  <si>
    <t>00000011455</t>
  </si>
  <si>
    <t>Лист г/к 30, S355J2</t>
  </si>
  <si>
    <t>00-00008027</t>
  </si>
  <si>
    <t>Лист г/к 30,0 мм 1500*6000, S235 JR</t>
  </si>
  <si>
    <t>00-00008020</t>
  </si>
  <si>
    <t>Лист г/к 4,0 мм 1500*6000, S235 JR</t>
  </si>
  <si>
    <t>00-00000381</t>
  </si>
  <si>
    <t>Труба  57*3  1-3пс 12м</t>
  </si>
  <si>
    <t>00000002376</t>
  </si>
  <si>
    <t>Труба 100*100*5</t>
  </si>
  <si>
    <t>00000003266</t>
  </si>
  <si>
    <t>Труба 120*120*5</t>
  </si>
  <si>
    <t>00-00003941</t>
  </si>
  <si>
    <t>Труба 219*6 ст1-3 сп/пс L=6,05</t>
  </si>
  <si>
    <t>00-00004556</t>
  </si>
  <si>
    <t>Труба 273*8</t>
  </si>
  <si>
    <t>00000015899</t>
  </si>
  <si>
    <t>Труба 40*40*3 мм ст.1-3пс, 6 м</t>
  </si>
  <si>
    <t>00000021884</t>
  </si>
  <si>
    <t>Труба 60х60х3 мм; проф 6 м</t>
  </si>
  <si>
    <t>00000021924</t>
  </si>
  <si>
    <t>Труба 60х60х4,0мм МІРА 6м</t>
  </si>
  <si>
    <t>00-00011581</t>
  </si>
  <si>
    <t>Труба 80х80х4</t>
  </si>
  <si>
    <t>00000006969</t>
  </si>
  <si>
    <t>Труба профільна 40*40*3,0  L=6000 мм ст1-3 сп/пс</t>
  </si>
  <si>
    <t>00-00012092</t>
  </si>
  <si>
    <t>Труба профільна 40х20 мм 2,0 мм, 6 м (7306)</t>
  </si>
  <si>
    <t>00-00014863</t>
  </si>
  <si>
    <t>Труба ст.20 г/деф 70х50х4</t>
  </si>
  <si>
    <t>00000007666</t>
  </si>
  <si>
    <t>Швелер 10П</t>
  </si>
  <si>
    <t>00000009417</t>
  </si>
  <si>
    <t>Швелер 12П ст.1-3сп/пс 5 кат L= 12000</t>
  </si>
  <si>
    <t>00-00008032</t>
  </si>
  <si>
    <t>Швелер 16П  S275JR,12 м</t>
  </si>
  <si>
    <t>00000016878</t>
  </si>
  <si>
    <t>Швелер 16У (160 12,05- 8240 3пс)</t>
  </si>
  <si>
    <t>00-00007241</t>
  </si>
  <si>
    <t>Швелер 24П ст.3сп/пс 5, 12 м</t>
  </si>
  <si>
    <t>00-00007971</t>
  </si>
  <si>
    <t>Швелер 30П міра 12,00 м</t>
  </si>
  <si>
    <t>00-00015074</t>
  </si>
  <si>
    <t>Швелер гнутий 160*80*5</t>
  </si>
  <si>
    <t>СТІЛ ЦЕХ Катеринопіль МХП</t>
  </si>
  <si>
    <t>00-00007167</t>
  </si>
  <si>
    <t>Балка 16 IPE160 12м S275JR</t>
  </si>
  <si>
    <t>00000020238</t>
  </si>
  <si>
    <t>Балка № 16 (ІПЕ 160); S235JR/S275JR; L=12 м</t>
  </si>
  <si>
    <t>00000002922</t>
  </si>
  <si>
    <t>Кутник 125х125х10</t>
  </si>
  <si>
    <t>00000005629</t>
  </si>
  <si>
    <t>Кутник 50х50х5 мм ст.3пс 6м</t>
  </si>
  <si>
    <t>00000005630</t>
  </si>
  <si>
    <t>Кутник 75х75х6 мм ст.3сп5 12м</t>
  </si>
  <si>
    <t>00-00010241</t>
  </si>
  <si>
    <t>Лист  2*1000*2000</t>
  </si>
  <si>
    <t>00000002879</t>
  </si>
  <si>
    <t>Лист 10*1500*6000 3 сп/пс5  7208</t>
  </si>
  <si>
    <t>00000017247</t>
  </si>
  <si>
    <t>Лист 20 (г.к)  (1,5х6) imp ((1,5*6,0) S235JR)</t>
  </si>
  <si>
    <t>00-00004785</t>
  </si>
  <si>
    <t>Лист 4 (рифл) ((1,25*6,0)</t>
  </si>
  <si>
    <t>00000017534</t>
  </si>
  <si>
    <t>Лист г/к 10 мм, 1500*6000, S235 JR</t>
  </si>
  <si>
    <t>00000020236</t>
  </si>
  <si>
    <t>труба 140х140х4 мм; ст. 3пс5; 12 м</t>
  </si>
  <si>
    <t>00000009946</t>
  </si>
  <si>
    <t>Труба профільна 30*30*2  L=6 м</t>
  </si>
  <si>
    <t>00000006316</t>
  </si>
  <si>
    <t>Швелер 12П</t>
  </si>
  <si>
    <t>00000010631</t>
  </si>
  <si>
    <t>Швелер 30П</t>
  </si>
  <si>
    <t>00000007065</t>
  </si>
  <si>
    <t>Швелер 30У ст.1-3сп/пс 5, 12м</t>
  </si>
  <si>
    <t>00-00002023</t>
  </si>
  <si>
    <t>Швелер г/к № 16П ст.3ПС МІРА</t>
  </si>
  <si>
    <t>СТІЛ ЦЕХ Кухня Кернеп</t>
  </si>
  <si>
    <t>00-00012089</t>
  </si>
  <si>
    <t xml:space="preserve"> Алюмінієві конструкції</t>
  </si>
  <si>
    <t>двері алюмінієві</t>
  </si>
  <si>
    <t>00-00002316</t>
  </si>
  <si>
    <t>PP-R муфта 40 мм</t>
  </si>
  <si>
    <t>00-00015065</t>
  </si>
  <si>
    <t>Американка пряма ЗВ 1/2"</t>
  </si>
  <si>
    <t>00-00012269</t>
  </si>
  <si>
    <t>Бетон-контакт 13 кг</t>
  </si>
  <si>
    <t xml:space="preserve">Бетон контакт </t>
  </si>
  <si>
    <t>00-00012270</t>
  </si>
  <si>
    <t>Бетон-контакт 15 кг</t>
  </si>
  <si>
    <t>00000007793</t>
  </si>
  <si>
    <t>Бетон-контакт Shtock 6,2 кг</t>
  </si>
  <si>
    <t>00000014222</t>
  </si>
  <si>
    <t>Болт М12*100  DIN 933 оц</t>
  </si>
  <si>
    <t>00-00008438</t>
  </si>
  <si>
    <t>Болт М12*120</t>
  </si>
  <si>
    <t>00-00007867</t>
  </si>
  <si>
    <t>Болт М12*80</t>
  </si>
  <si>
    <t>00-00008439</t>
  </si>
  <si>
    <t>Болт М16*200</t>
  </si>
  <si>
    <t>00000015763</t>
  </si>
  <si>
    <t>Болт М16*65  DIN 933 цб</t>
  </si>
  <si>
    <t>00000017353</t>
  </si>
  <si>
    <t>Болт М16Х 60  DIN 933 ЦБ</t>
  </si>
  <si>
    <t>00-00008440</t>
  </si>
  <si>
    <t>Болт М20*200</t>
  </si>
  <si>
    <t>00000010954</t>
  </si>
  <si>
    <t>Болт М20*220  DIN 931</t>
  </si>
  <si>
    <t>00000007978</t>
  </si>
  <si>
    <t>Болт М20*70  DIN 933 цб</t>
  </si>
  <si>
    <t>00-00000130</t>
  </si>
  <si>
    <t>Брус 50х150х4</t>
  </si>
  <si>
    <t>00-00010160</t>
  </si>
  <si>
    <t>ВВГнг 3х6 кабель</t>
  </si>
  <si>
    <t>00-00015217</t>
  </si>
  <si>
    <t>ВВГнг 4х25 кабель</t>
  </si>
  <si>
    <t>00-00015218</t>
  </si>
  <si>
    <t>ВВГнг 5х10 кабель</t>
  </si>
  <si>
    <t>00000018515</t>
  </si>
  <si>
    <t>ВВГнг 5х2,5 кабель</t>
  </si>
  <si>
    <t>00-00015216</t>
  </si>
  <si>
    <t>ВВГнг 5х50 кабель</t>
  </si>
  <si>
    <t>00-00011453</t>
  </si>
  <si>
    <t>00000001653</t>
  </si>
  <si>
    <t>Вимикач 1 кл</t>
  </si>
  <si>
    <t>00-00011863</t>
  </si>
  <si>
    <t>Витяжка пристінна з жироуловлювачами 1050/750/350</t>
  </si>
  <si>
    <t>Витяжка промислова</t>
  </si>
  <si>
    <t>00-00011865</t>
  </si>
  <si>
    <t>Витяжка пристінна з жироуловлювачами 1450/750/350</t>
  </si>
  <si>
    <t>00-00011857</t>
  </si>
  <si>
    <t>Витяжка пристінна з жироуловлювачами 1550/1050/350</t>
  </si>
  <si>
    <t>00-00011868</t>
  </si>
  <si>
    <t>Витяжка пристінна з жироуловлювачами 950/930/350</t>
  </si>
  <si>
    <t>00-00011872</t>
  </si>
  <si>
    <t>Витяжка пристінна з жироуловлювачами 950/940/350</t>
  </si>
  <si>
    <t>00-00005816</t>
  </si>
  <si>
    <t>Відвід D=110 мм, 87 30</t>
  </si>
  <si>
    <t>00-00000561</t>
  </si>
  <si>
    <t>Відвід D=50 mm 45</t>
  </si>
  <si>
    <t>00-00015067</t>
  </si>
  <si>
    <t>Відвід для фронт.підєд D=110х50мм 87 30 лівий</t>
  </si>
  <si>
    <t>00-00015214</t>
  </si>
  <si>
    <t>Відгалужувач DPT T-подібний горизонтальний 300х80</t>
  </si>
  <si>
    <t>лоток  кабельний</t>
  </si>
  <si>
    <t>00-00004868</t>
  </si>
  <si>
    <t>Вогнебіозахист 1кг</t>
  </si>
  <si>
    <t>00-00014940</t>
  </si>
  <si>
    <t>Водонагрівач 50 л</t>
  </si>
  <si>
    <t>00-00003913</t>
  </si>
  <si>
    <t>ВРП Щит</t>
  </si>
  <si>
    <t>00000001493</t>
  </si>
  <si>
    <t>Гайка М 6</t>
  </si>
  <si>
    <t>00000005296</t>
  </si>
  <si>
    <t>Гайка М12  DIN 934 шестигранна цб</t>
  </si>
  <si>
    <t>00-00005837</t>
  </si>
  <si>
    <t>Гайка М16 DIN 934 ЦБ</t>
  </si>
  <si>
    <t>00000020377</t>
  </si>
  <si>
    <t>Гайка М20 DIN 934 ЦБ</t>
  </si>
  <si>
    <t>00-00008458</t>
  </si>
  <si>
    <t>Гастроємність н/с GN 1/1-150мм</t>
  </si>
  <si>
    <t>00-00008460</t>
  </si>
  <si>
    <t>Гастроємність н/с GN 1/1-40мм</t>
  </si>
  <si>
    <t>00-00008457</t>
  </si>
  <si>
    <t>Гастроємність н/с GN 1/1-65 мм</t>
  </si>
  <si>
    <t>00-00004993</t>
  </si>
  <si>
    <t>Гвинт 4,8х60</t>
  </si>
  <si>
    <t>00-00015248</t>
  </si>
  <si>
    <t>Гвинт М 6*20</t>
  </si>
  <si>
    <t>00000000643</t>
  </si>
  <si>
    <t>Гідробар'єр (1,5х44м)</t>
  </si>
  <si>
    <t>00000012831</t>
  </si>
  <si>
    <t>Грунт ГФ-021 сірий ( кг)</t>
  </si>
  <si>
    <t>00-00013370</t>
  </si>
  <si>
    <t>Грунт-емаль по іржі 3 в 1 чорна  0,9кг</t>
  </si>
  <si>
    <t>00-00001875</t>
  </si>
  <si>
    <t>Грунт-емаль ПФ-012 Р сірий (кг)</t>
  </si>
  <si>
    <t>00-00014861</t>
  </si>
  <si>
    <t>Двері алюмінієві</t>
  </si>
  <si>
    <t>00000011678</t>
  </si>
  <si>
    <t>Держак ринви Profil пласт. L 130 графіт</t>
  </si>
  <si>
    <t>00000011679</t>
  </si>
  <si>
    <t>Держак труби Profil метал. L 160 130 графіт</t>
  </si>
  <si>
    <t>00000011817</t>
  </si>
  <si>
    <t>дошка 25*100 3м</t>
  </si>
  <si>
    <t>00-00010790</t>
  </si>
  <si>
    <t>Дошка обрізна 50х100х4000</t>
  </si>
  <si>
    <t>00000016110</t>
  </si>
  <si>
    <t>Дріт зварювальний 1,2 мм, 15 кг</t>
  </si>
  <si>
    <t>00-00013569</t>
  </si>
  <si>
    <t>ДСП ламінована 18 мм 2750*1830</t>
  </si>
  <si>
    <t>00000003760</t>
  </si>
  <si>
    <t>Дюбель  6*40</t>
  </si>
  <si>
    <t>дюбель</t>
  </si>
  <si>
    <t>00-00011576</t>
  </si>
  <si>
    <t>Дюбель розпірний 10*50 мм</t>
  </si>
  <si>
    <t>00000016512</t>
  </si>
  <si>
    <t>Електролобзики (пилки) 220 В</t>
  </si>
  <si>
    <t>00-00002306</t>
  </si>
  <si>
    <t>З'єднувач PP-R D=25 mm. х1\2 Н сірий</t>
  </si>
  <si>
    <t>00000011930</t>
  </si>
  <si>
    <t>З'єднувач ринви Profil 130 графіт</t>
  </si>
  <si>
    <t>00000012480</t>
  </si>
  <si>
    <t>З'єднувач труби Profil 130 графіт</t>
  </si>
  <si>
    <t>00-00014539</t>
  </si>
  <si>
    <t>Заглушка ринви 130 графіт ліва</t>
  </si>
  <si>
    <t>00-00014540</t>
  </si>
  <si>
    <t>Заглушка ринви 130 графіт права</t>
  </si>
  <si>
    <t>00-00015254</t>
  </si>
  <si>
    <t>Заклепка 4,0*10 відривна 500 шт</t>
  </si>
  <si>
    <t>00-00007745</t>
  </si>
  <si>
    <t>Затирка епоксидна 2кг</t>
  </si>
  <si>
    <t>Затирка</t>
  </si>
  <si>
    <t>00-00017025</t>
  </si>
  <si>
    <t>інструменти та обладнання</t>
  </si>
  <si>
    <t>00000021368</t>
  </si>
  <si>
    <t>Кабель ВВГ 3х2,5</t>
  </si>
  <si>
    <t>00-00017028</t>
  </si>
  <si>
    <t>Кабель-канат 12х12</t>
  </si>
  <si>
    <t>00000022318</t>
  </si>
  <si>
    <t>Клей для керам плитки (25 кг)</t>
  </si>
  <si>
    <t>00-00001434</t>
  </si>
  <si>
    <t>Клин 9*70мм (100шт/пач) система вирівнювання плитки</t>
  </si>
  <si>
    <t>00-00015636</t>
  </si>
  <si>
    <t>Кліпса ППР 25</t>
  </si>
  <si>
    <t>00-00003208</t>
  </si>
  <si>
    <t>Коліно 100 метал графіт</t>
  </si>
  <si>
    <t>00000010931</t>
  </si>
  <si>
    <t>Коліно 25/90</t>
  </si>
  <si>
    <t>00-00015948</t>
  </si>
  <si>
    <t>Коліно каналізаційне 32х45 Valrom</t>
  </si>
  <si>
    <t>00000000065</t>
  </si>
  <si>
    <t>Коліно каналізаційне 50х45 Valrom</t>
  </si>
  <si>
    <t>00-00002340</t>
  </si>
  <si>
    <t>Комплект для підключення змішувача PP-R D=20 мм х1\2 сірий</t>
  </si>
  <si>
    <t>Комплект для підключення змішувача</t>
  </si>
  <si>
    <t>00000006062</t>
  </si>
  <si>
    <t>Консоль з опорою полегшена МL осн.300, цинк-ламельн.</t>
  </si>
  <si>
    <t>00-00017030</t>
  </si>
  <si>
    <t>Коробка монтажна РК-60 г/к</t>
  </si>
  <si>
    <t>00-00015066</t>
  </si>
  <si>
    <t>Кран кульовий ВВ 1\2 метелик</t>
  </si>
  <si>
    <t>00-00015215</t>
  </si>
  <si>
    <t>Кришка CPO 90 на кут горизонтальний 90 осн. 300</t>
  </si>
  <si>
    <t>00000005818</t>
  </si>
  <si>
    <t>Кришка на лоток з заземленням осн.300 L 3000, цинк-ламельна</t>
  </si>
  <si>
    <t>00-00015213</t>
  </si>
  <si>
    <t>Кришка СРО 90 на кут горизонт.90° осн.300</t>
  </si>
  <si>
    <t>00-00017021</t>
  </si>
  <si>
    <t>Круг шліфувальний самозацеп Р100 5шт/уп</t>
  </si>
  <si>
    <t>00-00017022</t>
  </si>
  <si>
    <t>Круг шліфувальний самозачеп Р100  125, 5шт/уп</t>
  </si>
  <si>
    <t>00-00015212</t>
  </si>
  <si>
    <t>Кут горизонтальний 90° 300х80</t>
  </si>
  <si>
    <t>00-00014090</t>
  </si>
  <si>
    <t>Кут для плитки 15х15 3м ал.</t>
  </si>
  <si>
    <t>кутик для плитки</t>
  </si>
  <si>
    <t>00-00014057</t>
  </si>
  <si>
    <t>Кут для плитки 20х20 3м ал.</t>
  </si>
  <si>
    <t>00-00014091</t>
  </si>
  <si>
    <t>Кут для плитки 30х30 3м ал.</t>
  </si>
  <si>
    <t>00-00016769</t>
  </si>
  <si>
    <t>Кут для плитки 50х50 3м ал.</t>
  </si>
  <si>
    <t>00000008809</t>
  </si>
  <si>
    <t>Кутник 125х125х8 L=12 ст 1-3 сп/пс 5</t>
  </si>
  <si>
    <t>00000009289</t>
  </si>
  <si>
    <t>Кутник 140х140х9 L=12 ст 1-3 сп/пс 5</t>
  </si>
  <si>
    <t>00-00015042</t>
  </si>
  <si>
    <t>Кутник алюм.перфорований 2,5 м</t>
  </si>
  <si>
    <t>00-00015043</t>
  </si>
  <si>
    <t>Кутник алюм.перфорований 3,0 м</t>
  </si>
  <si>
    <t>00-00015044</t>
  </si>
  <si>
    <t>Кутник алюм.перфорований 3,0 м 1/50/200</t>
  </si>
  <si>
    <t>00-00010611</t>
  </si>
  <si>
    <t>Куток 40*40*40*2,0</t>
  </si>
  <si>
    <t>00-00010612</t>
  </si>
  <si>
    <t>Куток 40*40*60*2,0</t>
  </si>
  <si>
    <t>00-00010610</t>
  </si>
  <si>
    <t>Куток 90х50х55х1,8</t>
  </si>
  <si>
    <t>00-00015070</t>
  </si>
  <si>
    <t>Куточок 90 PP-R D=25 mm х1/2 В сірий</t>
  </si>
  <si>
    <t>00000018036</t>
  </si>
  <si>
    <t>Лист 6 (рифл) ((1,25*6,0) 8568-77 3пс)</t>
  </si>
  <si>
    <t>00-00000221</t>
  </si>
  <si>
    <t>Лист 8 (г.к.) (1,5х6) ((1,5*6,0) 14637 3сп5)</t>
  </si>
  <si>
    <t>00-00017559</t>
  </si>
  <si>
    <t>Лійка ліва 130 графіт</t>
  </si>
  <si>
    <t>00-00017560</t>
  </si>
  <si>
    <t>Лійка права 130 графіт</t>
  </si>
  <si>
    <t>00-00015211</t>
  </si>
  <si>
    <t>Лоток перфорований 100х50 гарячого цинкування довжина 2м</t>
  </si>
  <si>
    <t>00000010192</t>
  </si>
  <si>
    <t>Лоток перфорований 300*80 L 3000, гарячого цинкування (HDZ)</t>
  </si>
  <si>
    <t>00-00014047</t>
  </si>
  <si>
    <t>Люк скритий в підлогу</t>
  </si>
  <si>
    <t>00000011523</t>
  </si>
  <si>
    <t>Маркер білий перманентний 3,9 мм</t>
  </si>
  <si>
    <t>00000007488</t>
  </si>
  <si>
    <t>Маркер чорний</t>
  </si>
  <si>
    <t>00-00011875</t>
  </si>
  <si>
    <t>Марміт других страв на 2 полиці 1000/700/850</t>
  </si>
  <si>
    <t>Марміт</t>
  </si>
  <si>
    <t>00-00011860</t>
  </si>
  <si>
    <t>Марміт перших страв на 2 полиці 1000/700/850</t>
  </si>
  <si>
    <t>00-00011157</t>
  </si>
  <si>
    <t>Металопрофіль ТП 20 С поліестер 0,5 мм</t>
  </si>
  <si>
    <t>00-00011156</t>
  </si>
  <si>
    <t>Металопрофіль ТП 35 АО матполіестер 0,7мм</t>
  </si>
  <si>
    <t>00-00012115</t>
  </si>
  <si>
    <t>Мийка</t>
  </si>
  <si>
    <t>Мийка одинарна</t>
  </si>
  <si>
    <t>00-00011874</t>
  </si>
  <si>
    <t>Мийка з бортоом подовжена 1200/600/850*300</t>
  </si>
  <si>
    <t>Мийка подвійна</t>
  </si>
  <si>
    <t>00-00011873</t>
  </si>
  <si>
    <t>Мийка з бортоом подовжена 1600/600/850*300</t>
  </si>
  <si>
    <t>00-00008567</t>
  </si>
  <si>
    <t>Морозильна камера</t>
  </si>
  <si>
    <t>00-00008522</t>
  </si>
  <si>
    <t>Морозильна скриня</t>
  </si>
  <si>
    <t>00-00015064</t>
  </si>
  <si>
    <t>Муфта латунна 3/4"х1/2 редукційна</t>
  </si>
  <si>
    <t>00000019339</t>
  </si>
  <si>
    <t>Муфта, PP-R, D=25 мм, сіра 3917400090</t>
  </si>
  <si>
    <t>00-00015071</t>
  </si>
  <si>
    <t>Набір для пайки PP-R 20-63мм</t>
  </si>
  <si>
    <t>пайка</t>
  </si>
  <si>
    <t>00-00011876</t>
  </si>
  <si>
    <t>Нетральний елемент на 2 полиці 1000/700/850</t>
  </si>
  <si>
    <t>00-00008512</t>
  </si>
  <si>
    <t>НТ Лайт 45 1000х600х100</t>
  </si>
  <si>
    <t>00-00008511</t>
  </si>
  <si>
    <t>НТ Лайт 45 1000х600х50</t>
  </si>
  <si>
    <t>00-00015637</t>
  </si>
  <si>
    <t>Обвідне коліно PP-R D=25 mm сірий довг</t>
  </si>
  <si>
    <t>00000016815</t>
  </si>
  <si>
    <t>ОСП  Кроно Україна 10*1250*2500 мм</t>
  </si>
  <si>
    <t>ОСБ</t>
  </si>
  <si>
    <t>00-00012088</t>
  </si>
  <si>
    <t>Панелі композитні</t>
  </si>
  <si>
    <t>00-00015210</t>
  </si>
  <si>
    <t>Панель світлодіодна 36W  595*595</t>
  </si>
  <si>
    <t>00000022343</t>
  </si>
  <si>
    <t>Паробар'єр армир. 1,5*44</t>
  </si>
  <si>
    <t>00-00011866</t>
  </si>
  <si>
    <t>Пароконвектомат</t>
  </si>
  <si>
    <t>00-00002284</t>
  </si>
  <si>
    <t>Перехідник  1"х 3/4"</t>
  </si>
  <si>
    <t>00000019335</t>
  </si>
  <si>
    <t>Перехідник, PP-R, D=25х20 мм, HB, сірий 3917400090</t>
  </si>
  <si>
    <t>00000010417</t>
  </si>
  <si>
    <t>Підвіс пружинний</t>
  </si>
  <si>
    <t>підвісна стеля</t>
  </si>
  <si>
    <t>00-00013182</t>
  </si>
  <si>
    <t>Підвіс-крючок 250мм</t>
  </si>
  <si>
    <t>00-00013181</t>
  </si>
  <si>
    <t>Підвіс-петля 250мм</t>
  </si>
  <si>
    <t>00-00011867</t>
  </si>
  <si>
    <t>Підставка під пароконвектомат</t>
  </si>
  <si>
    <t>00-00011695</t>
  </si>
  <si>
    <t>Пінополістерол (20мм)  1,2х0,55 (уп 21шт)</t>
  </si>
  <si>
    <t>00-00011151</t>
  </si>
  <si>
    <t>Пластина 200х100 2мм</t>
  </si>
  <si>
    <t>00-00011862</t>
  </si>
  <si>
    <t>Плита електрична ПЕД-4</t>
  </si>
  <si>
    <t>00-00011864</t>
  </si>
  <si>
    <t>Плита електрична ПЕД-6</t>
  </si>
  <si>
    <t>00-00011878</t>
  </si>
  <si>
    <t>Плита МО 15-6 газова з дух. шафою газ контр 1500/1000/950</t>
  </si>
  <si>
    <t>00-00013177</t>
  </si>
  <si>
    <t>Плита стельова 600*600*15</t>
  </si>
  <si>
    <t>00-00010580</t>
  </si>
  <si>
    <t>Плитка зовнішня</t>
  </si>
  <si>
    <t>00-00010528</t>
  </si>
  <si>
    <t>Плитка личкувальна CALMA</t>
  </si>
  <si>
    <t>00-00011160</t>
  </si>
  <si>
    <t>Плоский лист поліестер 0,5 мм</t>
  </si>
  <si>
    <t>00-00011159</t>
  </si>
  <si>
    <t>Плоский лист поліестер 0,7 мм</t>
  </si>
  <si>
    <t>00-00008456</t>
  </si>
  <si>
    <t>Полиця сушка 2 пол. 1200х325х510мм</t>
  </si>
  <si>
    <t>Полка</t>
  </si>
  <si>
    <t>00-00008657</t>
  </si>
  <si>
    <t>Пом’якшувач води</t>
  </si>
  <si>
    <t>00-00011877</t>
  </si>
  <si>
    <t>Прилавок для приборів і підносів 600/700/1400</t>
  </si>
  <si>
    <t>Прилавок для приборів</t>
  </si>
  <si>
    <t>00000006482</t>
  </si>
  <si>
    <t>Провід ПВС 3*2,5 (м)</t>
  </si>
  <si>
    <t>00-00013184</t>
  </si>
  <si>
    <t>Прожектор LED 20W 6500К</t>
  </si>
  <si>
    <t>00-00013183</t>
  </si>
  <si>
    <t>Прожектор LED 50W 6500К</t>
  </si>
  <si>
    <t>00-00014084</t>
  </si>
  <si>
    <t>Профіль АП 10  2,7 м</t>
  </si>
  <si>
    <t>00-00013178</t>
  </si>
  <si>
    <t>Профіль білий з чорним 15/45/3600 мм</t>
  </si>
  <si>
    <t>00-00013180</t>
  </si>
  <si>
    <t>Профіль білий з чорним 15/45/600 мм</t>
  </si>
  <si>
    <t>00000004477</t>
  </si>
  <si>
    <t>Профіль пристінний 19*24*3000 мм</t>
  </si>
  <si>
    <t>00-00014092</t>
  </si>
  <si>
    <t>ПрофільТ-образний з’єднувальний АТ-18 мм 2,7 м</t>
  </si>
  <si>
    <t>00-00008664</t>
  </si>
  <si>
    <t>Профнастил ПС Н10 -12</t>
  </si>
  <si>
    <t>00-00015638</t>
  </si>
  <si>
    <t>Редукція гумова 50/25</t>
  </si>
  <si>
    <t>00000000402</t>
  </si>
  <si>
    <t>Редукція гумова 50/40</t>
  </si>
  <si>
    <t>00-00008171</t>
  </si>
  <si>
    <t>Рейка 30х40х3000</t>
  </si>
  <si>
    <t>00-00001788</t>
  </si>
  <si>
    <t>Рейка 50*50*4000 обріз</t>
  </si>
  <si>
    <t>00000021733</t>
  </si>
  <si>
    <t>Ринва 130мм сіра мм L=3 м</t>
  </si>
  <si>
    <t>00-00000593</t>
  </si>
  <si>
    <t>Розетка 1 гніздо з/з  біла</t>
  </si>
  <si>
    <t>00-00000420</t>
  </si>
  <si>
    <t>Розетка 2-а з/к накл. біла</t>
  </si>
  <si>
    <t>00-00017243</t>
  </si>
  <si>
    <t>Розетка з/з з кришкою метал сірий зі вставкою</t>
  </si>
  <si>
    <t>00-00011105</t>
  </si>
  <si>
    <t>Саморіз 3,5х35</t>
  </si>
  <si>
    <t>00-00013872</t>
  </si>
  <si>
    <t>Саморіз 4,2*50</t>
  </si>
  <si>
    <t>00000017418</t>
  </si>
  <si>
    <t>Саморіз 5,5х32мм для кріплення легких конструкцій до металевих каркасів, з шайбою EPDM, оцинкований,</t>
  </si>
  <si>
    <t>00000000193</t>
  </si>
  <si>
    <t>Сантехнічні  матеріали</t>
  </si>
  <si>
    <t>00-00015208</t>
  </si>
  <si>
    <t>Світильник світлодіодний  12Вт 5000К</t>
  </si>
  <si>
    <t>00-00015209</t>
  </si>
  <si>
    <t>Світильник світлодіодний  20Вт 5000К</t>
  </si>
  <si>
    <t>00000007461</t>
  </si>
  <si>
    <t>Сітка зварна  25*12,5-0,6 1,0/30м</t>
  </si>
  <si>
    <t>сітка</t>
  </si>
  <si>
    <t>00-00010474</t>
  </si>
  <si>
    <t>Сітка штукатурна оцинкована 12,0*25,0*0,9 мм (1*30м)</t>
  </si>
  <si>
    <t>Сітка штукатурна оцинкована</t>
  </si>
  <si>
    <t>00-00017260</t>
  </si>
  <si>
    <t>Склопакет</t>
  </si>
  <si>
    <t>00-00011871</t>
  </si>
  <si>
    <t>Сковорода електрична СЕ-40,2</t>
  </si>
  <si>
    <t xml:space="preserve">Сковорода </t>
  </si>
  <si>
    <t>00-00011869</t>
  </si>
  <si>
    <t>Стелаж на 4 полиці 1200/500/1800</t>
  </si>
  <si>
    <t>00-00011858</t>
  </si>
  <si>
    <t>Стелаж на 4 полиці 1500/500/1800</t>
  </si>
  <si>
    <t>00-00011870</t>
  </si>
  <si>
    <t>Стелаж на 4 полиці 1750/500/1800</t>
  </si>
  <si>
    <t>00-00016632</t>
  </si>
  <si>
    <t>Стіл з 2-ма мийками та полицею 1990х600х850</t>
  </si>
  <si>
    <t>00-00011859</t>
  </si>
  <si>
    <t>Стіл з бортом на 1 полицю 800/600/850</t>
  </si>
  <si>
    <t>00-00016634</t>
  </si>
  <si>
    <t>Стіл з мийкою зварною і полицею з нерж. 1200х600х850</t>
  </si>
  <si>
    <t>00-00016633</t>
  </si>
  <si>
    <t>Стіл з мийкою зварною і полицею з нерж. 1600х600х850</t>
  </si>
  <si>
    <t>00-00009296</t>
  </si>
  <si>
    <t>Стрічка герметизуюча 100х10</t>
  </si>
  <si>
    <t>00000001985</t>
  </si>
  <si>
    <t>Стрічка ізоляційна</t>
  </si>
  <si>
    <t>00000019868</t>
  </si>
  <si>
    <t>Стяжка кабельна 4х300 біла (пач.100 шт)</t>
  </si>
  <si>
    <t>стяжка</t>
  </si>
  <si>
    <t>00-00017026</t>
  </si>
  <si>
    <t>Стяжка кабельна 5х400 (пач.100 шт)</t>
  </si>
  <si>
    <t>00000003447</t>
  </si>
  <si>
    <t>Суміш для керамічної плитки СМ 11/25</t>
  </si>
  <si>
    <t>00000021706</t>
  </si>
  <si>
    <t>Трійник редукційний D=110-50 мм, 87° 30 ' 3917400090</t>
  </si>
  <si>
    <t>00-00015068</t>
  </si>
  <si>
    <t>Трійник, PP-R, D = 25 мм, сірий</t>
  </si>
  <si>
    <t>00-00008123</t>
  </si>
  <si>
    <t>Труба 120*80*3  ст1-3 пс L=12000</t>
  </si>
  <si>
    <t>00000015613</t>
  </si>
  <si>
    <t>Труба 140*140*6 мм ст.3 пс L=12000</t>
  </si>
  <si>
    <t>00-00008122</t>
  </si>
  <si>
    <t>Труба 60х40х3 мм; ст. 1-3пс; 6 м</t>
  </si>
  <si>
    <t>00-00008557</t>
  </si>
  <si>
    <t>Труба 60х60х3 мм; ст. 1-3пс; 6 м</t>
  </si>
  <si>
    <t>00000018675</t>
  </si>
  <si>
    <t>00-00017558</t>
  </si>
  <si>
    <t>Труба водостічна 100 сіра 4м</t>
  </si>
  <si>
    <t>00000000093</t>
  </si>
  <si>
    <t>Труба поліпропіленова каналізаційна d=110  мм І=1000 мм</t>
  </si>
  <si>
    <t>00000000092</t>
  </si>
  <si>
    <t>Труба поліпропіленова каналізаційна d=50  мм І=2000 мм</t>
  </si>
  <si>
    <t>00000000530</t>
  </si>
  <si>
    <t>Труба поліпропіленова, PP-R/F, PN 20 бар, 20 мм, сіра</t>
  </si>
  <si>
    <t>00-00002322</t>
  </si>
  <si>
    <t>Труба поліпропіленова, PP-R/F, РN 20бар, 25 мм сіра</t>
  </si>
  <si>
    <t>00-00017023</t>
  </si>
  <si>
    <t>уголок будів. 25х90</t>
  </si>
  <si>
    <t>00000002114</t>
  </si>
  <si>
    <t>Фанера 1250*2500*21 мм</t>
  </si>
  <si>
    <t>00-00015639</t>
  </si>
  <si>
    <t>Фарба гумова чорна 1,2 кг</t>
  </si>
  <si>
    <t>00-00008471</t>
  </si>
  <si>
    <t>Футорка латунна 1/2х3/8</t>
  </si>
  <si>
    <t>00-00015703</t>
  </si>
  <si>
    <t>Хомут для врізки 50х3/4</t>
  </si>
  <si>
    <t>00000019341</t>
  </si>
  <si>
    <t>Хомут для труб PP-R, одинарний, D=25 мм 3925908000</t>
  </si>
  <si>
    <t>00000000111</t>
  </si>
  <si>
    <t>Хомут з прокладкою  M8/М10 4 (108-114 mm)</t>
  </si>
  <si>
    <t>00000006318</t>
  </si>
  <si>
    <t>Хомут стяжний оцинк.сталь 25-40 мм</t>
  </si>
  <si>
    <t>00-00013375</t>
  </si>
  <si>
    <t>Хомут стяжний оцинк.сталь 32-50 мм</t>
  </si>
  <si>
    <t>00-00015701</t>
  </si>
  <si>
    <t>Хомут стяжний оцинк.сталь 8-12 мм</t>
  </si>
  <si>
    <t>00-00013236</t>
  </si>
  <si>
    <t>Цементно-стружкова плита  3000*1250*10 мм</t>
  </si>
  <si>
    <t>00-00005037</t>
  </si>
  <si>
    <t>Цементно-стружкова плита  3200*1250*10 мм</t>
  </si>
  <si>
    <t>00000001495</t>
  </si>
  <si>
    <t>Шайба М 6</t>
  </si>
  <si>
    <t>00000020490</t>
  </si>
  <si>
    <t>Шайба М12 DIN 125A оц.</t>
  </si>
  <si>
    <t>00000020489</t>
  </si>
  <si>
    <t>Шайба М16 DIN 125A оц.</t>
  </si>
  <si>
    <t>00-00008510</t>
  </si>
  <si>
    <t>Шайба М16 гровер, DIN 7980 оцинкована</t>
  </si>
  <si>
    <t>00000020342</t>
  </si>
  <si>
    <t>Шайба М20  DIN125А</t>
  </si>
  <si>
    <t>00-00011861</t>
  </si>
  <si>
    <t>Шафа навісна з розпашними дверима на 2 полиці 600/300/600</t>
  </si>
  <si>
    <t>00-00008445</t>
  </si>
  <si>
    <t>Швелер гнутий 200*100*5</t>
  </si>
  <si>
    <t>00-00008446</t>
  </si>
  <si>
    <t>Швелер гнутий 240*100*5</t>
  </si>
  <si>
    <t>00-00017024</t>
  </si>
  <si>
    <t>Шпілька М8</t>
  </si>
  <si>
    <t>00-00010607</t>
  </si>
  <si>
    <t>Шуруп 3,5х30</t>
  </si>
  <si>
    <t>00000002052</t>
  </si>
  <si>
    <t>Шуруп 3,5х55</t>
  </si>
  <si>
    <t>00000004363</t>
  </si>
  <si>
    <t>Шуруп 4,2х16</t>
  </si>
  <si>
    <t>00-00011691</t>
  </si>
  <si>
    <t>Шуруп 5,5х75</t>
  </si>
  <si>
    <t>00-00010609</t>
  </si>
  <si>
    <t>Шуруп 5х25</t>
  </si>
  <si>
    <t>00-00011822</t>
  </si>
  <si>
    <t>Шуруп 5х55</t>
  </si>
  <si>
    <t>00-00002508</t>
  </si>
  <si>
    <t>Шуруп М8 100х10мм</t>
  </si>
  <si>
    <t>00-00015329</t>
  </si>
  <si>
    <t>Щит ЩС-1</t>
  </si>
  <si>
    <t>00000018456</t>
  </si>
  <si>
    <t>ЩО 2  щит серії LighS Platinum electric</t>
  </si>
  <si>
    <t>00-00015328</t>
  </si>
  <si>
    <t>ЩР 1 Щит розподільчий</t>
  </si>
  <si>
    <t>СТІЛ Цех МД IRS</t>
  </si>
  <si>
    <t>00-00013063</t>
  </si>
  <si>
    <t>Лійка Profil  ліва 90 біла</t>
  </si>
  <si>
    <t>СТІЛ Цех МШП</t>
  </si>
  <si>
    <t>00000019664</t>
  </si>
  <si>
    <t>BOSCH витратні Круг відрізний 355*3*25,4 метал</t>
  </si>
  <si>
    <t>00000017383</t>
  </si>
  <si>
    <t>STANLEY Ножиці п/м 250мм праві вигнуті</t>
  </si>
  <si>
    <t>00000012555</t>
  </si>
  <si>
    <t>Адаптер 1 1/4 * 1/2 GAS</t>
  </si>
  <si>
    <t>00-00006192</t>
  </si>
  <si>
    <t>Адаптер 11мм для коронок</t>
  </si>
  <si>
    <t>00-00005448</t>
  </si>
  <si>
    <t>Адаптер для біметал коронок 32-152мм з свердлом</t>
  </si>
  <si>
    <t>00-00000210</t>
  </si>
  <si>
    <t>Аерозоль Лідер (RAL 9010) білий глянцевий 400 мл</t>
  </si>
  <si>
    <t>00-00005088</t>
  </si>
  <si>
    <t>Акумулятор 12V, 2,0Аh</t>
  </si>
  <si>
    <t>00-00008463</t>
  </si>
  <si>
    <t>Балончик газовий під пальник</t>
  </si>
  <si>
    <t>00-00015223</t>
  </si>
  <si>
    <t>Батарейка (4 шт)</t>
  </si>
  <si>
    <t>00-00006148</t>
  </si>
  <si>
    <t>Батарейка лужна</t>
  </si>
  <si>
    <t>00-00005871</t>
  </si>
  <si>
    <t>Біта  РZ2  50мм</t>
  </si>
  <si>
    <t>00-00011591</t>
  </si>
  <si>
    <t>Біта для конфірмата 4,0х25</t>
  </si>
  <si>
    <t>00-00006022</t>
  </si>
  <si>
    <t>Біта РZ 2*50 мм</t>
  </si>
  <si>
    <t>00-00004853</t>
  </si>
  <si>
    <t>Біта РZ 2*51 мм</t>
  </si>
  <si>
    <t>00-00010472</t>
  </si>
  <si>
    <t>Біта РZ3x25</t>
  </si>
  <si>
    <t>00-00005091</t>
  </si>
  <si>
    <t>Біта РН2х51</t>
  </si>
  <si>
    <t>00000021762</t>
  </si>
  <si>
    <t>Бокорізи 180 мм Montero 10202</t>
  </si>
  <si>
    <t>00000007474</t>
  </si>
  <si>
    <t>Бур 10*260</t>
  </si>
  <si>
    <t>00000002475</t>
  </si>
  <si>
    <t>00000004752</t>
  </si>
  <si>
    <t>Валік 25 см</t>
  </si>
  <si>
    <t>00000004395</t>
  </si>
  <si>
    <t>Ванночка для валика</t>
  </si>
  <si>
    <t>00000002461</t>
  </si>
  <si>
    <t>Викрутка</t>
  </si>
  <si>
    <t>00000004762</t>
  </si>
  <si>
    <t>Викрутка  РН 2*100мм</t>
  </si>
  <si>
    <t>00-00005764</t>
  </si>
  <si>
    <t>Викрутка  ударна РН 2*100мм</t>
  </si>
  <si>
    <t>00000002821</t>
  </si>
  <si>
    <t>Викрутка SL 4*100мм</t>
  </si>
  <si>
    <t>00000008970</t>
  </si>
  <si>
    <t>Викрутка хрестова РН 2*150</t>
  </si>
  <si>
    <t>00-00006044</t>
  </si>
  <si>
    <t>Викруткаударна РН 1*75мм</t>
  </si>
  <si>
    <t>00000013621</t>
  </si>
  <si>
    <t>Викрутні насадки</t>
  </si>
  <si>
    <t>00-00005862</t>
  </si>
  <si>
    <t>Вилка каучук з/ кутова  16А</t>
  </si>
  <si>
    <t>00000001646</t>
  </si>
  <si>
    <t>Вилка кутова</t>
  </si>
  <si>
    <t>00000004609</t>
  </si>
  <si>
    <t>Вилка пряма з зазем.</t>
  </si>
  <si>
    <t>00000018054</t>
  </si>
  <si>
    <t>Вилка шт. з з/к кутова ОМЕГА ІР44 16А</t>
  </si>
  <si>
    <t>00-00005027</t>
  </si>
  <si>
    <t>Відро будівельне 12 л з носиком</t>
  </si>
  <si>
    <t>00000002140</t>
  </si>
  <si>
    <t>00-00006202</t>
  </si>
  <si>
    <t>Вкладки-наколінники</t>
  </si>
  <si>
    <t>00-00010393</t>
  </si>
  <si>
    <t>Газ.сопло, конічне D16,0/0/84,0</t>
  </si>
  <si>
    <t>00000016236</t>
  </si>
  <si>
    <t>Ганчір'я х/б</t>
  </si>
  <si>
    <t>00000020657</t>
  </si>
  <si>
    <t>Герметик акрил SOUDAL 280 мл.</t>
  </si>
  <si>
    <t>00-00005571</t>
  </si>
  <si>
    <t>Герметик для швів 310мл.</t>
  </si>
  <si>
    <t>00000000597</t>
  </si>
  <si>
    <t>Герметик силіконовий санітарний Mounter (білий) 280 мл</t>
  </si>
  <si>
    <t>00-00006712</t>
  </si>
  <si>
    <t>Гільза мідна</t>
  </si>
  <si>
    <t>00000001464</t>
  </si>
  <si>
    <t>Головка для шуруповерта, магнітна М 8 65 мм</t>
  </si>
  <si>
    <t>00-00007537</t>
  </si>
  <si>
    <t>Головка магнитна  1/4" 4 8мм</t>
  </si>
  <si>
    <t>00000005010</t>
  </si>
  <si>
    <t>Головка торцева 1/2"  17 мм</t>
  </si>
  <si>
    <t>00000011025</t>
  </si>
  <si>
    <t>Головка шестигранна 24мм,1/2</t>
  </si>
  <si>
    <t>00-00015741</t>
  </si>
  <si>
    <t>Грибок нержавіючий 120 мм</t>
  </si>
  <si>
    <t>00000010972</t>
  </si>
  <si>
    <t>Губка будівельна 150*100*50</t>
  </si>
  <si>
    <t>00000016608</t>
  </si>
  <si>
    <t>Губка кухонка</t>
  </si>
  <si>
    <t>00000019753</t>
  </si>
  <si>
    <t>Держак для лопати 1,2 м "люкс" ОСИКА</t>
  </si>
  <si>
    <t>00-00014103</t>
  </si>
  <si>
    <t>Диск пилковий 216х30</t>
  </si>
  <si>
    <t>00-00006315</t>
  </si>
  <si>
    <t>Диск пильний 216х30</t>
  </si>
  <si>
    <t>00-00005373</t>
  </si>
  <si>
    <t>Диск пильний 350*30   по дереву</t>
  </si>
  <si>
    <t>00-00005825</t>
  </si>
  <si>
    <t>Диск пиляльний 185/30/2,2мм</t>
  </si>
  <si>
    <t>00-00000749</t>
  </si>
  <si>
    <t>Диск пиляльний 190/30/1,5мм</t>
  </si>
  <si>
    <t>00000017444</t>
  </si>
  <si>
    <t>Диск розпилювальний S&amp;R 190x30x2,4мм FZ/ATB 12 зуб. Sprinter Meister + кільця 20/25,4</t>
  </si>
  <si>
    <t>00-00005369</t>
  </si>
  <si>
    <t>Домкрат 3т гідравлічний</t>
  </si>
  <si>
    <t>00-00005858</t>
  </si>
  <si>
    <t>Дріт зварюв.обміднений 1 мм, 5 кг</t>
  </si>
  <si>
    <t>00000013992</t>
  </si>
  <si>
    <t>Дріт зварюв.обміднений 1,2 мм, 15 кг</t>
  </si>
  <si>
    <t>00000005874</t>
  </si>
  <si>
    <t>Дріт стал.н/в терм/обр д.1 мм</t>
  </si>
  <si>
    <t>00-00006857</t>
  </si>
  <si>
    <t>Електроди "Моноліт РЦ" ф3 мм уп/2,5кг</t>
  </si>
  <si>
    <t>00-00006527</t>
  </si>
  <si>
    <t>Емаль акрилова 400 мл</t>
  </si>
  <si>
    <t>00000013618</t>
  </si>
  <si>
    <t>Жилка муляра 100м*1мм</t>
  </si>
  <si>
    <t>00-00005824</t>
  </si>
  <si>
    <t>З’єднання швидкознімне для шланга 6мм</t>
  </si>
  <si>
    <t>00000002232</t>
  </si>
  <si>
    <t>Зажим маси Forte H-3500. 500 ампер</t>
  </si>
  <si>
    <t>00-00007304</t>
  </si>
  <si>
    <t>Зажим-клема для маси метал 500А</t>
  </si>
  <si>
    <t>00-00002001</t>
  </si>
  <si>
    <t>Заклепка 4,0*10 відривна плоска гол</t>
  </si>
  <si>
    <t>00000014264</t>
  </si>
  <si>
    <t>Заклепник мет.зі змінними головками</t>
  </si>
  <si>
    <t>00000014730</t>
  </si>
  <si>
    <t>Заклепник хромовий</t>
  </si>
  <si>
    <t>00000017187</t>
  </si>
  <si>
    <t>Засіб д/миття посуду: рідина FAIRY 1л, лимон</t>
  </si>
  <si>
    <t>00000003161</t>
  </si>
  <si>
    <t>Засіб для миття скла</t>
  </si>
  <si>
    <t>00-00009181</t>
  </si>
  <si>
    <t>Затискач маси 300А</t>
  </si>
  <si>
    <t>00-00000067</t>
  </si>
  <si>
    <t>Зварювальна маска-хамелеон FORTE MC-4100</t>
  </si>
  <si>
    <t>00-00005777</t>
  </si>
  <si>
    <t>Зєднання швидкознімне латунне 1/4"</t>
  </si>
  <si>
    <t>00-00006043</t>
  </si>
  <si>
    <t>Знімач ізоляції 205 мм</t>
  </si>
  <si>
    <t>00000010504</t>
  </si>
  <si>
    <t>Ізоляційна стрічка 0,13*19 20 м чорна</t>
  </si>
  <si>
    <t>00000001427</t>
  </si>
  <si>
    <t>Ізоляційна стрічка ПВХ велика</t>
  </si>
  <si>
    <t>00-00006710</t>
  </si>
  <si>
    <t>Індикатор</t>
  </si>
  <si>
    <t>00-00007226</t>
  </si>
  <si>
    <t>Інструмент  E.Next e.tool.crimp.hs.04 wf 1.6 для обтиск</t>
  </si>
  <si>
    <t>00-00015938</t>
  </si>
  <si>
    <t>інструмент для опресування</t>
  </si>
  <si>
    <t>00000003146</t>
  </si>
  <si>
    <t>Кабель 1кг х16 (50м)</t>
  </si>
  <si>
    <t>00-00010587</t>
  </si>
  <si>
    <t>Кабельна стяжка 4х250</t>
  </si>
  <si>
    <t>00-00015935</t>
  </si>
  <si>
    <t>Кабельна стяжка 4х300</t>
  </si>
  <si>
    <t>00-00015936</t>
  </si>
  <si>
    <t>Кабельна стяжка 5х400</t>
  </si>
  <si>
    <t>00-00010471</t>
  </si>
  <si>
    <t>Кабельна стяжка 5х450</t>
  </si>
  <si>
    <t>00-00015937</t>
  </si>
  <si>
    <t>Каблеріз</t>
  </si>
  <si>
    <t>00000016180</t>
  </si>
  <si>
    <t>Канат ф=16,0 мм А2 ГОСТ 7665-80</t>
  </si>
  <si>
    <t>00000008018</t>
  </si>
  <si>
    <t>Кельма</t>
  </si>
  <si>
    <t>00000006559</t>
  </si>
  <si>
    <t>Кернер-пробійник Cr-V, I=120 мм</t>
  </si>
  <si>
    <t>00000017950</t>
  </si>
  <si>
    <t>Клей "Рідкі цвяхи", білий Fast Fix, 280 мл</t>
  </si>
  <si>
    <t>00000020590</t>
  </si>
  <si>
    <t>Клей акриловий Круче гвоздей біл прозор 280мл</t>
  </si>
  <si>
    <t>00-00007414</t>
  </si>
  <si>
    <t>Клема маси 400А</t>
  </si>
  <si>
    <t>00000011383</t>
  </si>
  <si>
    <t>Клинці великі</t>
  </si>
  <si>
    <t>00-00015934</t>
  </si>
  <si>
    <t>Ключ рожково-накидний</t>
  </si>
  <si>
    <t>00-00013518</t>
  </si>
  <si>
    <t>Ключ розвідний прогумов 250мм 0-30мм</t>
  </si>
  <si>
    <t>00000004541</t>
  </si>
  <si>
    <t>Ключ розводний 200 мм</t>
  </si>
  <si>
    <t>00-00000644</t>
  </si>
  <si>
    <t>Ключ трубний 0186  0 75*90</t>
  </si>
  <si>
    <t>00-00011593</t>
  </si>
  <si>
    <t>Кляймера 3 100шт</t>
  </si>
  <si>
    <t>00-00013069</t>
  </si>
  <si>
    <t>Колесо до візка *75</t>
  </si>
  <si>
    <t>00000013587</t>
  </si>
  <si>
    <t>Колодка 2 гнізда.з/з каучук.</t>
  </si>
  <si>
    <t>00-00005546</t>
  </si>
  <si>
    <t>Колодка 3 гнізда з кришкою</t>
  </si>
  <si>
    <t>00000003758</t>
  </si>
  <si>
    <t>Колодка 3 гнізда, 16А</t>
  </si>
  <si>
    <t>00-00005545</t>
  </si>
  <si>
    <t>Колодка каучук 2Р+РЕ з зах. кришками 16А</t>
  </si>
  <si>
    <t>00-00006329</t>
  </si>
  <si>
    <t>Комплект роликів 2 шт(душ. каб)</t>
  </si>
  <si>
    <t>00-00006017</t>
  </si>
  <si>
    <t>Конектор 1/2пласт.</t>
  </si>
  <si>
    <t>00000010875</t>
  </si>
  <si>
    <t>Коректор-ручка</t>
  </si>
  <si>
    <t>00-00012180</t>
  </si>
  <si>
    <t>Коронка алмазна ф68 мм</t>
  </si>
  <si>
    <t>00-00005859</t>
  </si>
  <si>
    <t>Коронка біметалева  ф105 мм</t>
  </si>
  <si>
    <t>00-00005860</t>
  </si>
  <si>
    <t>Коронка біметалева  ф54 мм</t>
  </si>
  <si>
    <t>00-00010317</t>
  </si>
  <si>
    <t>Коронка біметалева  ф64 мм</t>
  </si>
  <si>
    <t>00-00005861</t>
  </si>
  <si>
    <t>Коронка біметалева  ф83 мм</t>
  </si>
  <si>
    <t>00-00010484</t>
  </si>
  <si>
    <t>Коронка біметалева 105мм</t>
  </si>
  <si>
    <t>00-00006191</t>
  </si>
  <si>
    <t>Коронка біметалева 127мм</t>
  </si>
  <si>
    <t>00-00005529</t>
  </si>
  <si>
    <t>Коронка біметалева 50мм</t>
  </si>
  <si>
    <t>00-00005445</t>
  </si>
  <si>
    <t>Коронка біметалева 51мм</t>
  </si>
  <si>
    <t>00-00015040</t>
  </si>
  <si>
    <t>Коронка біметалева 59мм</t>
  </si>
  <si>
    <t>00-00005488</t>
  </si>
  <si>
    <t>Коронка біметалева 67мм</t>
  </si>
  <si>
    <t>00-00000517</t>
  </si>
  <si>
    <t>Коронка біметалева HSS 152мм</t>
  </si>
  <si>
    <t>00-00005090</t>
  </si>
  <si>
    <t>Коронка по бетону 125 мм</t>
  </si>
  <si>
    <t>00-00006554</t>
  </si>
  <si>
    <t>Коронка по металу 130 мм</t>
  </si>
  <si>
    <t>00000009972</t>
  </si>
  <si>
    <t>Коронка по металу 32 мм т/с</t>
  </si>
  <si>
    <t>00-00010318</t>
  </si>
  <si>
    <t>Коронка циліндрична біметалева 52мм</t>
  </si>
  <si>
    <t>00000002575</t>
  </si>
  <si>
    <t>Косинець буд. 300мм</t>
  </si>
  <si>
    <t>00000002687</t>
  </si>
  <si>
    <t>Косинець буд. 350мм</t>
  </si>
  <si>
    <t>00000008556</t>
  </si>
  <si>
    <t>Круг відрізний  125*1,0*22,23</t>
  </si>
  <si>
    <t>00-00001613</t>
  </si>
  <si>
    <t>Круг відрізний  355*3,5*25,4</t>
  </si>
  <si>
    <t>00000002748</t>
  </si>
  <si>
    <t>Круг відрізний по металу 125*1,6</t>
  </si>
  <si>
    <t>00000007010</t>
  </si>
  <si>
    <t>Круг відрізний по металу 350*3,0*25,4</t>
  </si>
  <si>
    <t>00-00005089</t>
  </si>
  <si>
    <t>Круг відрізний Титан Абразив 180*1,0*22</t>
  </si>
  <si>
    <t>00000004327</t>
  </si>
  <si>
    <t>Круг зачисний по металу 125х6,0х22</t>
  </si>
  <si>
    <t>00-00005993</t>
  </si>
  <si>
    <t>Круг пелюст 125*22</t>
  </si>
  <si>
    <t>00-00000433</t>
  </si>
  <si>
    <t>Круг пелюстковий 125х22,2 Р60 Т27</t>
  </si>
  <si>
    <t>00-00003967</t>
  </si>
  <si>
    <t>Круг пелюстковий Р80, 125х22 н/ж</t>
  </si>
  <si>
    <t>00000002898</t>
  </si>
  <si>
    <t>Кувалда 4,0 кг з руч.</t>
  </si>
  <si>
    <t>00-00011463</t>
  </si>
  <si>
    <t>Кусачки торцеві 180 мм</t>
  </si>
  <si>
    <t>00-00017257</t>
  </si>
  <si>
    <t>Кутник  плотника 175 мм</t>
  </si>
  <si>
    <t>00000004154</t>
  </si>
  <si>
    <t>Кутник будівельний алюм. (інструмент)</t>
  </si>
  <si>
    <t>00000012683</t>
  </si>
  <si>
    <t>Кутник столярний 300 мм алюм.</t>
  </si>
  <si>
    <t>00000016281</t>
  </si>
  <si>
    <t>Кутомір 350 мм</t>
  </si>
  <si>
    <t>00000005639</t>
  </si>
  <si>
    <t>Кюветка для розкочування валика 310х340мм</t>
  </si>
  <si>
    <t>00-00012263</t>
  </si>
  <si>
    <t>Ланцюг 2мм</t>
  </si>
  <si>
    <t>00-00005872</t>
  </si>
  <si>
    <t>Ланцюг 3/8" 1,3мм 57зв</t>
  </si>
  <si>
    <t>00000022398</t>
  </si>
  <si>
    <t>Ланцюг 52 зуба до бензопили STIHL Ріссо Super 63 РSЗ</t>
  </si>
  <si>
    <t>00000003311</t>
  </si>
  <si>
    <t>Леза 18 мм</t>
  </si>
  <si>
    <t>00000003312</t>
  </si>
  <si>
    <t>Леза 25 мм</t>
  </si>
  <si>
    <t>00000000236</t>
  </si>
  <si>
    <t>Леза змінні 18 мм Торех</t>
  </si>
  <si>
    <t>00000017925</t>
  </si>
  <si>
    <t>Леза сегм.відламні 18мм (10шт)</t>
  </si>
  <si>
    <t>00-00007933</t>
  </si>
  <si>
    <t>Лійка 300х18</t>
  </si>
  <si>
    <t>00-00011839</t>
  </si>
  <si>
    <t>Ліхтар наголовний</t>
  </si>
  <si>
    <t>00000001717</t>
  </si>
  <si>
    <t>Лопата штикова</t>
  </si>
  <si>
    <t>00-00005786</t>
  </si>
  <si>
    <t>Магніт для сварки трапеції</t>
  </si>
  <si>
    <t>00000006533</t>
  </si>
  <si>
    <t>Маркер перманентний білий</t>
  </si>
  <si>
    <t>00000016478</t>
  </si>
  <si>
    <t>Маркер промисловий, білий</t>
  </si>
  <si>
    <t>00000005270</t>
  </si>
  <si>
    <t>Маска-хамелеон зварювальна FORTE МС-3500</t>
  </si>
  <si>
    <t>00000010085</t>
  </si>
  <si>
    <t>Міксер</t>
  </si>
  <si>
    <t>00000005195</t>
  </si>
  <si>
    <t>Мітла</t>
  </si>
  <si>
    <t>00000002495</t>
  </si>
  <si>
    <t>Мішок білий</t>
  </si>
  <si>
    <t>00000014329</t>
  </si>
  <si>
    <t>Молоток гумовий</t>
  </si>
  <si>
    <t>00000017157</t>
  </si>
  <si>
    <t>Молоток слюсарний, прорезинова ручка "Master", 300 г</t>
  </si>
  <si>
    <t>00-00012786</t>
  </si>
  <si>
    <t>Муфта 3/8 мама</t>
  </si>
  <si>
    <t>00-00006300</t>
  </si>
  <si>
    <t>Набір біт DeWALT DT70567T</t>
  </si>
  <si>
    <t>00000017202</t>
  </si>
  <si>
    <t>Набір викруток ударних 6 шт. пластикова ручка (SL5*75, SL6*100, SL8*150mm; PH1*75,PH2*100, PH3*150mm</t>
  </si>
  <si>
    <t>00-00015932</t>
  </si>
  <si>
    <t>Набір для різки металу</t>
  </si>
  <si>
    <t>00-00013632</t>
  </si>
  <si>
    <t>Набір ключів  Г - подібних</t>
  </si>
  <si>
    <t>00-00001989</t>
  </si>
  <si>
    <t>Набір ключів шестигранних 9 шт, 1.5 - 10 мм подовжених Tolsen 20049</t>
  </si>
  <si>
    <t>00-00005547</t>
  </si>
  <si>
    <t>Набір коронок по дерву</t>
  </si>
  <si>
    <t>00-00005536</t>
  </si>
  <si>
    <t>Набір корончастих свердл по гіпсокартону</t>
  </si>
  <si>
    <t>00-00006307</t>
  </si>
  <si>
    <t>Набір насадок до викруток</t>
  </si>
  <si>
    <t>00-00009918</t>
  </si>
  <si>
    <t>Набір ножів для лінолеуму</t>
  </si>
  <si>
    <t>00-00006308</t>
  </si>
  <si>
    <t>Набір пензлів</t>
  </si>
  <si>
    <t>00-00003407</t>
  </si>
  <si>
    <t>Набір свердл по металу</t>
  </si>
  <si>
    <t>00-00005645</t>
  </si>
  <si>
    <t>Набір стамесок  6,12,18,25мм</t>
  </si>
  <si>
    <t>00-00000976</t>
  </si>
  <si>
    <t>Набір шпателів гумов білі 3шт 40, 60, 80мм</t>
  </si>
  <si>
    <t>00000009309</t>
  </si>
  <si>
    <t>Набір щіток</t>
  </si>
  <si>
    <t>00-00002033</t>
  </si>
  <si>
    <t>Накінечник E-Cu_М6_D 0,8/8,0/28 мм</t>
  </si>
  <si>
    <t>00000005060</t>
  </si>
  <si>
    <t>Накінечник E-Cu_М6_D 1,2/8,0/28 мм</t>
  </si>
  <si>
    <t>00-00003609</t>
  </si>
  <si>
    <t>Накінечник E-Cu_М6*25*1,0</t>
  </si>
  <si>
    <t>00-00003932</t>
  </si>
  <si>
    <t>Накінечник М8 D 0,8/10,0/30 мм</t>
  </si>
  <si>
    <t>00-00003524</t>
  </si>
  <si>
    <t>Накінечник М8 D 1,0/10,0/30 мм</t>
  </si>
  <si>
    <t>00000013691</t>
  </si>
  <si>
    <t>Накінечник М8 D 1,2/10,0/30 мм</t>
  </si>
  <si>
    <t>00-00009680</t>
  </si>
  <si>
    <t>Насадка - оприскувач</t>
  </si>
  <si>
    <t>00-00011668</t>
  </si>
  <si>
    <t>Насадка до апарату длязварювання полімерних труб 20 мм</t>
  </si>
  <si>
    <t>00-00000436</t>
  </si>
  <si>
    <t>Насадка до паяльника 20 Tebo</t>
  </si>
  <si>
    <t>00000003725</t>
  </si>
  <si>
    <t>Насадка торцева 6-гр.магнітна 1/4"  8х48 мм</t>
  </si>
  <si>
    <t>00000021325</t>
  </si>
  <si>
    <t>Насадка торцева 6-гр.магнітна М8х48мм 1/4"</t>
  </si>
  <si>
    <t>00000002293</t>
  </si>
  <si>
    <t>Ніж 18мм</t>
  </si>
  <si>
    <t>00000003515</t>
  </si>
  <si>
    <t>Ніж для рубанка HSS, 82 мм</t>
  </si>
  <si>
    <t>00000004936</t>
  </si>
  <si>
    <t>Ніж сегментний 25 мм</t>
  </si>
  <si>
    <t>00000017528</t>
  </si>
  <si>
    <t>Ніж, 18мм, висувне лезо, металева направляюча, гвинтовий фіксатор леза МТХ</t>
  </si>
  <si>
    <t>00-00006526</t>
  </si>
  <si>
    <t>Ніпель універсальний (тато)</t>
  </si>
  <si>
    <t>00000002296</t>
  </si>
  <si>
    <t>Ножиці по металу 250мм</t>
  </si>
  <si>
    <t>00-00006302</t>
  </si>
  <si>
    <t>Ножівка</t>
  </si>
  <si>
    <t>00000010204</t>
  </si>
  <si>
    <t>Ножівка по металу</t>
  </si>
  <si>
    <t>00000014532</t>
  </si>
  <si>
    <t>Окуляри захисні прозорі</t>
  </si>
  <si>
    <t>00-00005797</t>
  </si>
  <si>
    <t>Олива для ланцюгів</t>
  </si>
  <si>
    <t>00-00003170</t>
  </si>
  <si>
    <t>Олівець будівельний 180 мм</t>
  </si>
  <si>
    <t>00-00005681</t>
  </si>
  <si>
    <t>Олівець муляра</t>
  </si>
  <si>
    <t>00-00005374</t>
  </si>
  <si>
    <t>Олівці столярні</t>
  </si>
  <si>
    <t>00000004625</t>
  </si>
  <si>
    <t>Омивач скла, л</t>
  </si>
  <si>
    <t>00-00005947</t>
  </si>
  <si>
    <t>Органайзер для метизів</t>
  </si>
  <si>
    <t>00000001947</t>
  </si>
  <si>
    <t>Очисник для піни  500 мл</t>
  </si>
  <si>
    <t>00000017471</t>
  </si>
  <si>
    <t>Очисник для піни С45 450 мл укр</t>
  </si>
  <si>
    <t>00000003165</t>
  </si>
  <si>
    <t>пакети для сміття</t>
  </si>
  <si>
    <t>00-00000677</t>
  </si>
  <si>
    <t>Патрон для дриля самозатискний 1/2х20</t>
  </si>
  <si>
    <t>00000010868</t>
  </si>
  <si>
    <t>Пензель</t>
  </si>
  <si>
    <t>00000021587</t>
  </si>
  <si>
    <t>Пензель 150*50 макловиця</t>
  </si>
  <si>
    <t>00000012877</t>
  </si>
  <si>
    <t>Пензель-макловиця</t>
  </si>
  <si>
    <t>00000002496</t>
  </si>
  <si>
    <t>Пензель-макловиця 50*150</t>
  </si>
  <si>
    <t>00-00005438</t>
  </si>
  <si>
    <t>Пензель*25</t>
  </si>
  <si>
    <t>00-00000676</t>
  </si>
  <si>
    <t>Перехідник для патрону SDS-plus 1/2х20</t>
  </si>
  <si>
    <t>00-00005990</t>
  </si>
  <si>
    <t>Пила кільцева 52 мм BI-METAL</t>
  </si>
  <si>
    <t>00-00009179</t>
  </si>
  <si>
    <t>Пила кільцева 57 мм BI-METAL</t>
  </si>
  <si>
    <t>00-00005988</t>
  </si>
  <si>
    <t>Пила кільцева 64 мм BI-METAL</t>
  </si>
  <si>
    <t>00-00005987</t>
  </si>
  <si>
    <t>Пила кільцева 83 мм BI-METAL</t>
  </si>
  <si>
    <t>00-00005883</t>
  </si>
  <si>
    <t>Пилка для реноватора 3 шт</t>
  </si>
  <si>
    <t>00-00004857</t>
  </si>
  <si>
    <t>Пилка кільцева 67 мм</t>
  </si>
  <si>
    <t>00-00005776</t>
  </si>
  <si>
    <t>Пилка по дереву 450 мм</t>
  </si>
  <si>
    <t>00-00005092</t>
  </si>
  <si>
    <t>Пилочка Т 118 А</t>
  </si>
  <si>
    <t>00-00005642</t>
  </si>
  <si>
    <t>пильне полотно 26105</t>
  </si>
  <si>
    <t>00-00005641</t>
  </si>
  <si>
    <t>пильне полотно 26120</t>
  </si>
  <si>
    <t>00000010992</t>
  </si>
  <si>
    <t>Піна монтажна Монтажник 500 мл</t>
  </si>
  <si>
    <t>00000000598</t>
  </si>
  <si>
    <t>Піна монтажна профі Mounter 860 мл</t>
  </si>
  <si>
    <t>00000004119</t>
  </si>
  <si>
    <t>Пістолет для герметика</t>
  </si>
  <si>
    <t>00000020692</t>
  </si>
  <si>
    <t>Пістолет для герметика 225 мл</t>
  </si>
  <si>
    <t>00-00005867</t>
  </si>
  <si>
    <t>Пістолет для герметика 235 мл</t>
  </si>
  <si>
    <t>00000002446</t>
  </si>
  <si>
    <t>Пістолет для піни</t>
  </si>
  <si>
    <t>00000002302</t>
  </si>
  <si>
    <t>Пістолет для піни монтажної</t>
  </si>
  <si>
    <t>00000008024</t>
  </si>
  <si>
    <t>Пістолет для силікону</t>
  </si>
  <si>
    <t>00-00014843</t>
  </si>
  <si>
    <t>Пістолет для скотча</t>
  </si>
  <si>
    <t>00-00012227</t>
  </si>
  <si>
    <t>Пістолет заклевувальний 2,4-4</t>
  </si>
  <si>
    <t>00-00007360</t>
  </si>
  <si>
    <t>Пістолет заклепочний 215мм</t>
  </si>
  <si>
    <t>00000016372</t>
  </si>
  <si>
    <t>Пістолет скобозабивний механічний</t>
  </si>
  <si>
    <t>00-00006256</t>
  </si>
  <si>
    <t>Плиткоріз l=600мм д-14мм</t>
  </si>
  <si>
    <t>00000005484</t>
  </si>
  <si>
    <t>Плоскогубці комбіновані 160мм</t>
  </si>
  <si>
    <t>00-00010483</t>
  </si>
  <si>
    <t>Подовжувач для коміра 250мм</t>
  </si>
  <si>
    <t>00000004534</t>
  </si>
  <si>
    <t>Полотно для е/лобзика</t>
  </si>
  <si>
    <t>00-00005882</t>
  </si>
  <si>
    <t>Полотно для реноватора</t>
  </si>
  <si>
    <t>00-00009760</t>
  </si>
  <si>
    <t>Порошок крейдяний</t>
  </si>
  <si>
    <t>00000003504</t>
  </si>
  <si>
    <t>Правило трапец.200 см</t>
  </si>
  <si>
    <t>00-00005772</t>
  </si>
  <si>
    <t>Правило трапеція 3м</t>
  </si>
  <si>
    <t>00-00009761</t>
  </si>
  <si>
    <t>Прожектор 10W 6400К</t>
  </si>
  <si>
    <t>00000010041</t>
  </si>
  <si>
    <t>Прожектор 50W 220V</t>
  </si>
  <si>
    <t>00000004613</t>
  </si>
  <si>
    <t>Прожектор LED 50W</t>
  </si>
  <si>
    <t>00000017488</t>
  </si>
  <si>
    <t>Прожектор світлодіодний ZUM 100Вт 6400К</t>
  </si>
  <si>
    <t>00000019357</t>
  </si>
  <si>
    <t>Прокладка ущільнююча гумова "СКМ", 19*10*3 мм 1/2" 4016930090</t>
  </si>
  <si>
    <t>00-00009681</t>
  </si>
  <si>
    <t>Пульверизатор</t>
  </si>
  <si>
    <t>00-00005962</t>
  </si>
  <si>
    <t>00000004070</t>
  </si>
  <si>
    <t>Респіратор</t>
  </si>
  <si>
    <t>00000008804</t>
  </si>
  <si>
    <t>Рівень 100 см</t>
  </si>
  <si>
    <t>00000001765</t>
  </si>
  <si>
    <t>Рівень 120 см</t>
  </si>
  <si>
    <t>00000015587</t>
  </si>
  <si>
    <t>Рівень 40 см</t>
  </si>
  <si>
    <t>00000002217</t>
  </si>
  <si>
    <t>Рівень водяний 20м</t>
  </si>
  <si>
    <t>00-00005785</t>
  </si>
  <si>
    <t>Рівень з магнітом  800 мм</t>
  </si>
  <si>
    <t>00000012638</t>
  </si>
  <si>
    <t>Рівень спирт. 1000 мм капс 45°90°180°</t>
  </si>
  <si>
    <t>00-00005771</t>
  </si>
  <si>
    <t>Рівень спирт. 1500 мм капс 45°90°180°</t>
  </si>
  <si>
    <t>00-00001740</t>
  </si>
  <si>
    <t>Рідке мило "DV" 500мл дозатор</t>
  </si>
  <si>
    <t>00000002715</t>
  </si>
  <si>
    <t>Рідке мило 5л лимон</t>
  </si>
  <si>
    <t>00-00010910</t>
  </si>
  <si>
    <t>Роз’єм панельний 35-50</t>
  </si>
  <si>
    <t>00-00001255</t>
  </si>
  <si>
    <t>Розгалужувач повітря 1/4 прямий</t>
  </si>
  <si>
    <t>00000001871</t>
  </si>
  <si>
    <t>Розетка 1-на зовн. 3/3 білий</t>
  </si>
  <si>
    <t>00-00010184</t>
  </si>
  <si>
    <t>Розмітчик</t>
  </si>
  <si>
    <t>00000010881</t>
  </si>
  <si>
    <t>Рукавиці з латексним покриттям</t>
  </si>
  <si>
    <t>00000002888</t>
  </si>
  <si>
    <t>Рукавиці зварювальника "Крага"</t>
  </si>
  <si>
    <t>00000003662</t>
  </si>
  <si>
    <t>Рукавиці трикотажні</t>
  </si>
  <si>
    <t>00000013138</t>
  </si>
  <si>
    <t>Рукавиці трикотажні  ХБ/ПЕ з ПВХ візерунком, шт</t>
  </si>
  <si>
    <t>00000003498</t>
  </si>
  <si>
    <t>Рукавички чорн.з синьою точкою</t>
  </si>
  <si>
    <t>00000009099</t>
  </si>
  <si>
    <t>Рулетка  5 м*19 мм</t>
  </si>
  <si>
    <t>00000006397</t>
  </si>
  <si>
    <t>Рулетка  5 м*19 мм прогумований корпус</t>
  </si>
  <si>
    <t>00-00005863</t>
  </si>
  <si>
    <t>Рулетка  8*25 гумовий корпус</t>
  </si>
  <si>
    <t>00000012586</t>
  </si>
  <si>
    <t>Рулетка 10 м*25 мм</t>
  </si>
  <si>
    <t>00000012667</t>
  </si>
  <si>
    <t>Рулетка, обрезинений корпус, з фіксатором, 10м/25мм</t>
  </si>
  <si>
    <t>00-00013070</t>
  </si>
  <si>
    <t>Ручка до валика 8х180 мм</t>
  </si>
  <si>
    <t>00-00010451</t>
  </si>
  <si>
    <t>Свердло  14x152 мм</t>
  </si>
  <si>
    <t>00-00015222</t>
  </si>
  <si>
    <t>Свердло  14х152 мм</t>
  </si>
  <si>
    <t>00000000533</t>
  </si>
  <si>
    <t>Свердло  пір'єве по дереву 14х150 мм BIack Star</t>
  </si>
  <si>
    <t>00-00013486</t>
  </si>
  <si>
    <t>Свердло  по дереву  10х300мм</t>
  </si>
  <si>
    <t>00-00010162</t>
  </si>
  <si>
    <t>Свердло 4,0мм HSS TiN</t>
  </si>
  <si>
    <t>00-00013677</t>
  </si>
  <si>
    <t>Свердло 45*150мм</t>
  </si>
  <si>
    <t>00-00013676</t>
  </si>
  <si>
    <t>Свердло 50*150мм</t>
  </si>
  <si>
    <t>00000017922</t>
  </si>
  <si>
    <t>Свердло 6,0мм HSS TiN</t>
  </si>
  <si>
    <t>00-00015331</t>
  </si>
  <si>
    <t>Свердло алмазне DDR-B 120*30*М14</t>
  </si>
  <si>
    <t>00-00007189</t>
  </si>
  <si>
    <t>Свердло для дерева перьевое 10 х460</t>
  </si>
  <si>
    <t>00-00005724</t>
  </si>
  <si>
    <t>Свердло для дерева перьевое 12 х152</t>
  </si>
  <si>
    <t>00-00005773</t>
  </si>
  <si>
    <t>Свердло для дерева перьевое 12 х160</t>
  </si>
  <si>
    <t>00-00005782</t>
  </si>
  <si>
    <t>Свердло для дерева перьевое 14 х160</t>
  </si>
  <si>
    <t>00-00005487</t>
  </si>
  <si>
    <t>Свердло для дерева перьевое 35 х152</t>
  </si>
  <si>
    <t>00-00005431</t>
  </si>
  <si>
    <t>Свердло конічне 6-38 L=105 мм</t>
  </si>
  <si>
    <t>00-00013246</t>
  </si>
  <si>
    <t>Свердло конфірматне 5,0мм</t>
  </si>
  <si>
    <t>00-00012943</t>
  </si>
  <si>
    <t>Свердло метал</t>
  </si>
  <si>
    <t>00-00015246</t>
  </si>
  <si>
    <t>Свердло по дереву 10х300</t>
  </si>
  <si>
    <t>00-00000027</t>
  </si>
  <si>
    <t>Свердло по дереву 12х460 мм, змієподібне, Haisser</t>
  </si>
  <si>
    <t>00-00013675</t>
  </si>
  <si>
    <t>Свердло по дереву 12х600</t>
  </si>
  <si>
    <t>00000019775</t>
  </si>
  <si>
    <t>Свердло по дереву плоскофрезерне 22*152 WERK</t>
  </si>
  <si>
    <t>00-00012869</t>
  </si>
  <si>
    <t>Свердло по кераміці та склу 6мм</t>
  </si>
  <si>
    <t>00-00003540</t>
  </si>
  <si>
    <t>Свердло по металу</t>
  </si>
  <si>
    <t>00-00005951</t>
  </si>
  <si>
    <t>Свердло по металу  2,0мм</t>
  </si>
  <si>
    <t>00000020709</t>
  </si>
  <si>
    <t>Свердло по металу  3,5х70мм</t>
  </si>
  <si>
    <t>00000013182</t>
  </si>
  <si>
    <t>Свердло по металу  4,0х75мм</t>
  </si>
  <si>
    <t>00-00013073</t>
  </si>
  <si>
    <t>Свердло по металу  5,0х132мм</t>
  </si>
  <si>
    <t>00000013183</t>
  </si>
  <si>
    <t>Свердло по металу  5,0х86мм</t>
  </si>
  <si>
    <t>00000022391</t>
  </si>
  <si>
    <t>Свердло по металу 10,0мм титан</t>
  </si>
  <si>
    <t>00-00005766</t>
  </si>
  <si>
    <t>Свердло по металу 3,0мм</t>
  </si>
  <si>
    <t>00-00005432</t>
  </si>
  <si>
    <t>Свердло по металу 4,0мм</t>
  </si>
  <si>
    <t>00-00000463</t>
  </si>
  <si>
    <t>Свердло по металу 5,0 HSS Cobalt</t>
  </si>
  <si>
    <t>00-00003197</t>
  </si>
  <si>
    <t>Свердло по металу 8,5х117 мм</t>
  </si>
  <si>
    <t>00000013387</t>
  </si>
  <si>
    <t>Свердло по металу ц/х 13,0</t>
  </si>
  <si>
    <t>00-00008156</t>
  </si>
  <si>
    <t>Свердло по металу ц/х 14,0</t>
  </si>
  <si>
    <t>00-00008157</t>
  </si>
  <si>
    <t>Свердло по металу ц/х 17,0</t>
  </si>
  <si>
    <t>00-00015221</t>
  </si>
  <si>
    <t>Свердло по плитці та склу 10мм</t>
  </si>
  <si>
    <t>00-00015220</t>
  </si>
  <si>
    <t>Свердло по плитці та склу 30мм</t>
  </si>
  <si>
    <t>00-00015219</t>
  </si>
  <si>
    <t>Свердло по склу 60х67</t>
  </si>
  <si>
    <t>00-00007458</t>
  </si>
  <si>
    <t>Свердло спіральне по дереву  10х600мм</t>
  </si>
  <si>
    <t>00-00005397</t>
  </si>
  <si>
    <t>Свердло спіральне по дереву YATO 10х191мм</t>
  </si>
  <si>
    <t>00-00000543</t>
  </si>
  <si>
    <t>Свердло спіральне по дереву YATO 12х400мм</t>
  </si>
  <si>
    <t>00000019897</t>
  </si>
  <si>
    <t>Свердло ступінчате по металу Werk 4-32мм</t>
  </si>
  <si>
    <t>00000014995</t>
  </si>
  <si>
    <t>Сверло HSS  5 мм подовж.</t>
  </si>
  <si>
    <t>00000014993</t>
  </si>
  <si>
    <t>Сверло HSS  6*139 подовж.</t>
  </si>
  <si>
    <t>00000004152</t>
  </si>
  <si>
    <t>Сверло перо по дер. 12*160</t>
  </si>
  <si>
    <t>00000004149</t>
  </si>
  <si>
    <t>Сверло перо по дер. 14*150</t>
  </si>
  <si>
    <t>00000008800</t>
  </si>
  <si>
    <t>Сверло перо по дер. 14*160</t>
  </si>
  <si>
    <t>00000016124</t>
  </si>
  <si>
    <t>Сверло по бетону Бур SDS+ 10*300 мм</t>
  </si>
  <si>
    <t>00000007206</t>
  </si>
  <si>
    <t>Сверло по дереву 14*300 мм гвинтове</t>
  </si>
  <si>
    <t>00-00005864</t>
  </si>
  <si>
    <t>Сверло по металу 40,0 мм</t>
  </si>
  <si>
    <t>00-00006006</t>
  </si>
  <si>
    <t>Сверло по металу HSS 10,0 мм*182</t>
  </si>
  <si>
    <t>00000007594</t>
  </si>
  <si>
    <t>Силікон універс.прозорий  280 мл</t>
  </si>
  <si>
    <t>00000008412</t>
  </si>
  <si>
    <t>Скло внутрішнє (пластик)</t>
  </si>
  <si>
    <t>00000006388</t>
  </si>
  <si>
    <t>Скло для маски зварювальника 110*90</t>
  </si>
  <si>
    <t>00000000546</t>
  </si>
  <si>
    <t>Скло прозоре широке 90х110х2 мм</t>
  </si>
  <si>
    <t>00-00001900</t>
  </si>
  <si>
    <t>Скло проміжне (пластик) для шолома 10шт/уп</t>
  </si>
  <si>
    <t>00000003360</t>
  </si>
  <si>
    <t>Скоба 125 супер 1 мм</t>
  </si>
  <si>
    <t>00000021240</t>
  </si>
  <si>
    <t>Скоба до степлера 10мм 1000шт</t>
  </si>
  <si>
    <t>00-00005543</t>
  </si>
  <si>
    <t>Скоба до степлера 25мм 5000шт</t>
  </si>
  <si>
    <t>00-00005542</t>
  </si>
  <si>
    <t>Скоба стоярна -25х3 (3 тис шт)</t>
  </si>
  <si>
    <t>00-00012042</t>
  </si>
  <si>
    <t>Скоби гартовані, оцинковані 12мм</t>
  </si>
  <si>
    <t>00-00002103</t>
  </si>
  <si>
    <t>Скотч</t>
  </si>
  <si>
    <t>00000004219</t>
  </si>
  <si>
    <t>Скотч  300 м</t>
  </si>
  <si>
    <t>00000013244</t>
  </si>
  <si>
    <t>Скрайбер (чертилка) для скла, кераміки, металу</t>
  </si>
  <si>
    <t>00-00005679</t>
  </si>
  <si>
    <t>совок з щіткою</t>
  </si>
  <si>
    <t>00000007708</t>
  </si>
  <si>
    <t>Сокира ручна</t>
  </si>
  <si>
    <t>00000008068</t>
  </si>
  <si>
    <t>Сопло 105 А</t>
  </si>
  <si>
    <t>00-00005991</t>
  </si>
  <si>
    <t>Сопло конічне D12</t>
  </si>
  <si>
    <t>00000009223</t>
  </si>
  <si>
    <t>Сопло конічне D16</t>
  </si>
  <si>
    <t>00-00005669</t>
  </si>
  <si>
    <t>Спіраль подаюча (жовта) 2,0/4,5/540</t>
  </si>
  <si>
    <t>00-00013075</t>
  </si>
  <si>
    <t>Стамеска  10 мм</t>
  </si>
  <si>
    <t>00000008328</t>
  </si>
  <si>
    <t>Стамеска  6 мм</t>
  </si>
  <si>
    <t>00-00013074</t>
  </si>
  <si>
    <t>Стамеска  8 мм</t>
  </si>
  <si>
    <t>00000000511</t>
  </si>
  <si>
    <t>Степлер STANLEY 6-TR150L</t>
  </si>
  <si>
    <t>00-00011684</t>
  </si>
  <si>
    <t>Степлер для скоб</t>
  </si>
  <si>
    <t>00-00000586</t>
  </si>
  <si>
    <t>Стрейч-плівка 500*1,5*20 мкм прозора</t>
  </si>
  <si>
    <t>00000004117</t>
  </si>
  <si>
    <t>Стрейч-плівка 500*1,6 кг (150м)</t>
  </si>
  <si>
    <t>00-00007129</t>
  </si>
  <si>
    <t>Стрічка FIXIT K-2 25 м</t>
  </si>
  <si>
    <t>00-00005313</t>
  </si>
  <si>
    <t>Стрічка армована 48 мм*40 м</t>
  </si>
  <si>
    <t>00000014266</t>
  </si>
  <si>
    <t>Стрічка клейка армована 50 мм*40 м</t>
  </si>
  <si>
    <t>00-00005874</t>
  </si>
  <si>
    <t>Стрічка малярна , 48мм*40м</t>
  </si>
  <si>
    <t>00-00005879</t>
  </si>
  <si>
    <t>Стрічка малярна , 50мм*40м</t>
  </si>
  <si>
    <t>00-00005875</t>
  </si>
  <si>
    <t>Стрічка малярна , 50мм*50м</t>
  </si>
  <si>
    <t>00000004669</t>
  </si>
  <si>
    <t>Стрічка малярна жовта, 38мм*40м</t>
  </si>
  <si>
    <t>00-00005347</t>
  </si>
  <si>
    <t>Стрічка малярна, 72мм*20м</t>
  </si>
  <si>
    <t>00-00017235</t>
  </si>
  <si>
    <t>Стрічка малярська, 75 мм*40 м</t>
  </si>
  <si>
    <t>00000004664</t>
  </si>
  <si>
    <t>Стрічка паперова клеюча 48 мм</t>
  </si>
  <si>
    <t>00000012882</t>
  </si>
  <si>
    <t>Стрічка сигнальна червоно-біла 50х200 м</t>
  </si>
  <si>
    <t>00-00005985</t>
  </si>
  <si>
    <t>Строп СТП-2,0/1200</t>
  </si>
  <si>
    <t>00000008925</t>
  </si>
  <si>
    <t>Строп СТП-2,0/1500</t>
  </si>
  <si>
    <t>00-00005986</t>
  </si>
  <si>
    <t>Строп СТП-3,0/6000</t>
  </si>
  <si>
    <t>00000012844</t>
  </si>
  <si>
    <t>Строп СТП-5,0/10000</t>
  </si>
  <si>
    <t>00-00003157</t>
  </si>
  <si>
    <t>Струбцина 150 мм швидкоз</t>
  </si>
  <si>
    <t>00-00003158</t>
  </si>
  <si>
    <t>Струбцина 300 мм швидкоз</t>
  </si>
  <si>
    <t>00000019586</t>
  </si>
  <si>
    <t>Стяжний ремінь 3т 6м з замком</t>
  </si>
  <si>
    <t>00-00005029</t>
  </si>
  <si>
    <t>Тертка для сітки абразивної</t>
  </si>
  <si>
    <t>00000004608</t>
  </si>
  <si>
    <t>Тестер</t>
  </si>
  <si>
    <t>00-00007533</t>
  </si>
  <si>
    <t>Тримач д/біт 1/4 х 60 мм</t>
  </si>
  <si>
    <t>00-00005525</t>
  </si>
  <si>
    <t>Тримач для викрутних насадок</t>
  </si>
  <si>
    <t>00-00005528</t>
  </si>
  <si>
    <t>Тримач коронок</t>
  </si>
  <si>
    <t>00-00005372</t>
  </si>
  <si>
    <t>Тримач магнітний для біт</t>
  </si>
  <si>
    <t>00-00006525</t>
  </si>
  <si>
    <t>Тримач свердла</t>
  </si>
  <si>
    <t>00000021946</t>
  </si>
  <si>
    <t>Трійник РР-R д=20ммх1/2" В сірий</t>
  </si>
  <si>
    <t>00000014018</t>
  </si>
  <si>
    <t>Тріщатка VOREL до головок торцевих, вигнута, з квадр.</t>
  </si>
  <si>
    <t>00-00006162</t>
  </si>
  <si>
    <t>Трос оцинкований 4мм</t>
  </si>
  <si>
    <t>00-00015247</t>
  </si>
  <si>
    <t>Фіксатор магнітний для зварювання</t>
  </si>
  <si>
    <t>00-00012272</t>
  </si>
  <si>
    <t>Фільтр для води</t>
  </si>
  <si>
    <t>00000006793</t>
  </si>
  <si>
    <t>Хвостовик 6-гран. для коронок  BIMETAL до 30 мм//МТХ</t>
  </si>
  <si>
    <t>00-00017466</t>
  </si>
  <si>
    <t>Хомут 4,8*400 50шт</t>
  </si>
  <si>
    <t>00-00006504</t>
  </si>
  <si>
    <t>Хомут 8-12</t>
  </si>
  <si>
    <t>00000009591</t>
  </si>
  <si>
    <t>Хомут стяжний оцинк.сталь 10-16 мм</t>
  </si>
  <si>
    <t>00000009817</t>
  </si>
  <si>
    <t>Хомут стяжний оцинк.сталь 12-20 мм</t>
  </si>
  <si>
    <t>00-00006524</t>
  </si>
  <si>
    <t>Хомут стяжний оцинк.сталь 130-150мм</t>
  </si>
  <si>
    <t>00-00014056</t>
  </si>
  <si>
    <t>Хрестики для плитки 2,0 мм 120 шт</t>
  </si>
  <si>
    <t>00-00015041</t>
  </si>
  <si>
    <t>Хрестовина для коронок</t>
  </si>
  <si>
    <t>00-00001209</t>
  </si>
  <si>
    <t>Цвях для степлера 32мм 5000шт/уп</t>
  </si>
  <si>
    <t>00-00007335</t>
  </si>
  <si>
    <t>Цвяхи для пневмостеплера 20х1,25х1 мм</t>
  </si>
  <si>
    <t>00-00006514</t>
  </si>
  <si>
    <t>Цвяхи планкові 32х1,25х1 5000 шт</t>
  </si>
  <si>
    <t>00-00005763</t>
  </si>
  <si>
    <t>Цвяхи планкові 50х1,25х1 5000 шт</t>
  </si>
  <si>
    <t>00000001786</t>
  </si>
  <si>
    <t>Цвяходер</t>
  </si>
  <si>
    <t>00-00005762</t>
  </si>
  <si>
    <t>Шаблон для перенесення складних профілів 150х46 мм</t>
  </si>
  <si>
    <t>00000010067</t>
  </si>
  <si>
    <t>Швабра</t>
  </si>
  <si>
    <t>00-00005544</t>
  </si>
  <si>
    <t>Шестигранники 1,5-10 мм</t>
  </si>
  <si>
    <t>00-00013209</t>
  </si>
  <si>
    <t>Шина для бензопили 40см</t>
  </si>
  <si>
    <t>00000002531</t>
  </si>
  <si>
    <t>Шланг SHC-20PU FORTE спірал,поліур.,20м з перех.</t>
  </si>
  <si>
    <t>00-00006236</t>
  </si>
  <si>
    <t>Шланг газовий 1/2 ВВ</t>
  </si>
  <si>
    <t>00000003202</t>
  </si>
  <si>
    <t>Шланг спіральний 10м</t>
  </si>
  <si>
    <t>00000003201</t>
  </si>
  <si>
    <t>Шланг спіральний 15м</t>
  </si>
  <si>
    <t>00000015255</t>
  </si>
  <si>
    <t>Шланг спіральний поліуретан.8*12 мм L=20 м</t>
  </si>
  <si>
    <t>00-00005788</t>
  </si>
  <si>
    <t>Шліфувальна стрічка 75х533 мм</t>
  </si>
  <si>
    <t>00-00005028</t>
  </si>
  <si>
    <t>Шліфшкурка GIPEX 115мм Р-100 жовта</t>
  </si>
  <si>
    <t>00000018283</t>
  </si>
  <si>
    <t>Шліфшкурка GIPEX 115мм Р-120 жовта</t>
  </si>
  <si>
    <t>00000013350</t>
  </si>
  <si>
    <t>Шнур розмічувальний, порошок червоний</t>
  </si>
  <si>
    <t>00000013208</t>
  </si>
  <si>
    <t>Шпагат 0,5 кг 1000 м</t>
  </si>
  <si>
    <t>00000008917</t>
  </si>
  <si>
    <t>Шпатель  80 мм</t>
  </si>
  <si>
    <t>00000002294</t>
  </si>
  <si>
    <t>Шпатель 100 мм</t>
  </si>
  <si>
    <t>00-00005065</t>
  </si>
  <si>
    <t>Шпатель 400 мм</t>
  </si>
  <si>
    <t>00000003828</t>
  </si>
  <si>
    <t>Шпатель малярний</t>
  </si>
  <si>
    <t>00000003949</t>
  </si>
  <si>
    <t>00000014148</t>
  </si>
  <si>
    <t>Щипці універсальні 180 мм</t>
  </si>
  <si>
    <t>00000004974</t>
  </si>
  <si>
    <t>Щітка</t>
  </si>
  <si>
    <t>00000009270</t>
  </si>
  <si>
    <t>Щітка для тротуарної плитки</t>
  </si>
  <si>
    <t>00000007689</t>
  </si>
  <si>
    <t>Щітка торцева з плет.провол.  65мм, М14</t>
  </si>
  <si>
    <t>00000011627</t>
  </si>
  <si>
    <t>Щітка торцева з плет.провол.  75 мм, М14</t>
  </si>
  <si>
    <t>00000009821</t>
  </si>
  <si>
    <t>Щітка чашкова 100 мм для КШМ, М14</t>
  </si>
  <si>
    <t>00000005758</t>
  </si>
  <si>
    <t>Щітка чашкова 75мм для УШМ, М14</t>
  </si>
  <si>
    <t>СТІЛ Цех Ніжин 4</t>
  </si>
  <si>
    <t>СТІЛ Червоний хрест виробничий</t>
  </si>
  <si>
    <t>Цех_ВООЗ (ЕМС)</t>
  </si>
  <si>
    <t>00-00007395</t>
  </si>
  <si>
    <t>З'єднувач каналів Вентс</t>
  </si>
  <si>
    <t>Вент канал</t>
  </si>
  <si>
    <t>Цех_Кернел кухня</t>
  </si>
  <si>
    <t>00-00015645</t>
  </si>
  <si>
    <t>Згін американка прямий 1/2</t>
  </si>
  <si>
    <t xml:space="preserve">Згін американка прямий </t>
  </si>
  <si>
    <t>00-00015643</t>
  </si>
  <si>
    <t>Коліно каналізаційне складне 110/50/90</t>
  </si>
  <si>
    <t>00-00009291</t>
  </si>
  <si>
    <t>Кран кульовий(вода) з дренажем 1 ВВ</t>
  </si>
  <si>
    <t>00-00015647</t>
  </si>
  <si>
    <t>Муфта ПЕ 40*1З</t>
  </si>
  <si>
    <t>00-00015646</t>
  </si>
  <si>
    <t>Муфта, PP-R, D=25 ммх3/4 З</t>
  </si>
  <si>
    <t>00-00015644</t>
  </si>
  <si>
    <t>Ревізія 50</t>
  </si>
  <si>
    <t>Ревіщія</t>
  </si>
  <si>
    <t>00-00015642</t>
  </si>
  <si>
    <t>Хомут з дюбелем та шпилькою 1 1/2 47-51 9з дюбелем та шпилькою М8)</t>
  </si>
  <si>
    <t>Цех_Червоний хрест</t>
  </si>
  <si>
    <t>Разом</t>
  </si>
  <si>
    <t>№№</t>
  </si>
  <si>
    <t>Назва згідно СС</t>
  </si>
  <si>
    <t>Од</t>
  </si>
  <si>
    <t xml:space="preserve">Тип </t>
  </si>
  <si>
    <t xml:space="preserve"> П’ЄДЕСТАЛ DECO 3922900000</t>
  </si>
  <si>
    <t xml:space="preserve">Сантехніка </t>
  </si>
  <si>
    <t>Болт кріплення  М10х100мм</t>
  </si>
  <si>
    <t>Гнучний шланг, 1 / 2" ВВ, довжина 30 см</t>
  </si>
  <si>
    <t>Гнучний шланг, 1 / 2" ВВ</t>
  </si>
  <si>
    <t>Заглушка D=50</t>
  </si>
  <si>
    <t>Залізо бетонна кришка з отвором Д1500 мм</t>
  </si>
  <si>
    <t xml:space="preserve">Залізо бетонне дно Д1500 мм </t>
  </si>
  <si>
    <t xml:space="preserve">Залізо бетонне дно Д 1500 мм </t>
  </si>
  <si>
    <t xml:space="preserve">Залізо бетонне кільце Д1500 мм </t>
  </si>
  <si>
    <t>З'єднувач PP-R D=20 mm. х1\2 З</t>
  </si>
  <si>
    <t>Змішувач NICO, для умивальника, хром.</t>
  </si>
  <si>
    <t>Коліно 130</t>
  </si>
  <si>
    <t>Комплект для фіксації хомутів М8х90 мм</t>
  </si>
  <si>
    <t>Котушка з тефлоном</t>
  </si>
  <si>
    <t>Кран "метелик" Ø1,2" ЗВ</t>
  </si>
  <si>
    <t>Кришка на унітаз</t>
  </si>
  <si>
    <t>Кріплення умивальника до стіни ( 8x120 мм)</t>
  </si>
  <si>
    <t xml:space="preserve">Куточок для підключення змішувача PP-R D=20 мм </t>
  </si>
  <si>
    <t>Лійка ліва</t>
  </si>
  <si>
    <t>Лійка права</t>
  </si>
  <si>
    <t>Мастило для каналізаційних труб 250 мл</t>
  </si>
  <si>
    <t xml:space="preserve">Муфта з накидною гайкою PPR сіра 20х1/2" </t>
  </si>
  <si>
    <t>Муфта пряма PP-R D=20 mm. Сірий</t>
  </si>
  <si>
    <t>Насос для підвищення тиску</t>
  </si>
  <si>
    <t>Перехідник латунний 3В 3\4* 1\2</t>
  </si>
  <si>
    <t>Пластикова труба Ø 20 мм</t>
  </si>
  <si>
    <t xml:space="preserve">Труба ПВХ </t>
  </si>
  <si>
    <t>Пластиковий люк каналізаційний д 700 мм</t>
  </si>
  <si>
    <t>Ринва 90 мм біла 2000 мм</t>
  </si>
  <si>
    <t>Ринва водосточна 3м</t>
  </si>
  <si>
    <t>Сантехнічна редукція 50х40</t>
  </si>
  <si>
    <t>Сифон для мийки , з гофрою 40/ 50</t>
  </si>
  <si>
    <t>Трійник D=50 mm 45°</t>
  </si>
  <si>
    <t>Трійник D=50 mm 87</t>
  </si>
  <si>
    <t>Трійник PP-R D=20 mm. Сірий</t>
  </si>
  <si>
    <t>труба 75 мм біла 2000 мм</t>
  </si>
  <si>
    <t>Труба водостічна (3м)</t>
  </si>
  <si>
    <t>Труба каналізаційна d=110  мм І=1000 мм</t>
  </si>
  <si>
    <t>Труба каналізаційна d=110  мм І=3000 мм</t>
  </si>
  <si>
    <t>Труба каналізаційна d=110 мм І=500 мм</t>
  </si>
  <si>
    <t>Труба каналізаційна d=50  мм І=1000 мм</t>
  </si>
  <si>
    <t>Труба каналізаційна d=50  мм І=3000 мм</t>
  </si>
  <si>
    <t>Труба каналізаційна d=50  мм І=500 мм</t>
  </si>
  <si>
    <t>Труба ПЕ 25</t>
  </si>
  <si>
    <t>Утеплювач Труби (150х1500)</t>
  </si>
  <si>
    <t>Хомут М8, D = 1 1/2" (47-53 мм)</t>
  </si>
  <si>
    <t>Швидкозйомний поліепрбонатний навіс 1500*930*280 (4мм)</t>
  </si>
  <si>
    <t>Вікна (глухе 2950х3500 мм)</t>
  </si>
  <si>
    <t>Вікна (глухе з поворотно-відкривною створкою 2700х3500 мм)</t>
  </si>
  <si>
    <t>Вікна глухі 2650х3500</t>
  </si>
  <si>
    <t>Вікна глухі 2700х3500</t>
  </si>
  <si>
    <t xml:space="preserve">Вікно металопластик 870*1140 з плівка на скло </t>
  </si>
  <si>
    <t xml:space="preserve">Вікно металопластик ліве відкрив 570*570 з плівка на скло </t>
  </si>
  <si>
    <t xml:space="preserve">Вікно металопластик ліве відкривання 870*1140 з плівка на скло </t>
  </si>
  <si>
    <t xml:space="preserve">Вікно металопластик праве відкрив  550*1030 </t>
  </si>
  <si>
    <t xml:space="preserve">Вікно металопластик праве відкрив  870*1140 з плівка на скло </t>
  </si>
  <si>
    <t xml:space="preserve">Вікно металопластик праве відкрив 570*570 з плівка на скло </t>
  </si>
  <si>
    <t>Вікно металопластикове  (600х1000) (праве відкривання)</t>
  </si>
  <si>
    <t>Вікно металопластикове  (900х1300) (праве відкривання)</t>
  </si>
  <si>
    <t>Вікно металопластикове  з гартованим склом 900*1500 (з провітрюваням)</t>
  </si>
  <si>
    <t>Вікно однокамерний склопакет, 4-х камерний профіль. 1200х1200 мм поворотно-відкидне</t>
  </si>
  <si>
    <t>Вікно однокамерний склопакет, 4-х камерний профіль. 700х500 мм відкидне</t>
  </si>
  <si>
    <t>Вінка глухі з повор.-відк. створкою та москітною сіткою, розміром 2550х3500</t>
  </si>
  <si>
    <t>Внутрішні двері (сендвіч) 640х2050 мм</t>
  </si>
  <si>
    <t>Внутрішні двері  сендвич</t>
  </si>
  <si>
    <t>Внутрішні двері (сендвіч) 740х2050 мм</t>
  </si>
  <si>
    <t>Внутрішні двері (сендвіч) 940х2050 мм</t>
  </si>
  <si>
    <t>Внутрішні двері 1280х2050 мм</t>
  </si>
  <si>
    <t>Внутрішні двері 1390х2050 мм</t>
  </si>
  <si>
    <t>Вхідні двері 1280х2200 мм</t>
  </si>
  <si>
    <t>Вхідні двері 1390х2200 мм</t>
  </si>
  <si>
    <t>Вхідні двері металеві 1120*2070 ліві з квадратним віконцем</t>
  </si>
  <si>
    <t>Вхідні двері металеві утеплені, ширина 1120 мм, висота 2100 мм</t>
  </si>
  <si>
    <t xml:space="preserve">Вхідні двері металопластткові  870*2070 праві </t>
  </si>
  <si>
    <t>Вхідні двері  металопластикові</t>
  </si>
  <si>
    <t>Двері внутрішні металопластикові, ширина 1120 мм, висота 2100 мм</t>
  </si>
  <si>
    <t xml:space="preserve">Двері внутрішні, розміром (ВхШ) 2050х800мм, </t>
  </si>
  <si>
    <t xml:space="preserve">Двері вхідні металеві, утеплені, розміром (ВхШ) 2100х900мм. Каркас дверей з профільної труби 60х40х3мм, 40х20х2мм, обшитий металевим листом, товщ.2мм із замками. </t>
  </si>
  <si>
    <t>Двері дерев'яні внутрішні 700*2000 (отвір 740*2040) (ліві)</t>
  </si>
  <si>
    <t>Двері дерев'яні внутрішні 700*2000 (отвір 740*2040) (праві)</t>
  </si>
  <si>
    <t>Двері металеві 2,1 х 0,9 м (замок, ручка, лиштва, полотно товщина 50 мм)</t>
  </si>
  <si>
    <t>Двері металопластикові глухі 780х2050 мм</t>
  </si>
  <si>
    <t>Двері металопластикові глухі 980х2050 мм</t>
  </si>
  <si>
    <t>Двері металопластткові 1020*2070 ліві</t>
  </si>
  <si>
    <t>Двері металопластткові 1020*2070 праві</t>
  </si>
  <si>
    <t>Двері металопластткові 920*2070 ліві</t>
  </si>
  <si>
    <t xml:space="preserve">Двері металопластткові 920*2070 праве </t>
  </si>
  <si>
    <t>Двері металопластткові глухі з вент прорізами  920*2070 ліві</t>
  </si>
  <si>
    <t>Двері металопластткові засклені  1120*2070 праві</t>
  </si>
  <si>
    <t>Каркас вхідних  дверей виготовлений з профільної труби 60х40х2 мм, ззовні двері обшиті листом металевим – 1,5 мм, всередині – 1,0 мм. Врізним замком «Apecs», циліндричний. Утеплені, з нажимною ручкою та ущільнювачем. Порошкова фарба, колір – RAL 7004 (сірий).  розмір 980х2050 мм</t>
  </si>
  <si>
    <t>Металопластикове вікно, розміром (ВхШ) 900*1200мм, поворотно-відкидне з двокамерним склопакетом, москітними сітками згідно з ДСТУ Б В.2.6-39:2008</t>
  </si>
  <si>
    <t>Підвіконик ПВХ глубина 100 мм ширина 1000 мм</t>
  </si>
  <si>
    <t>Led панель 600x600 MAXUS assistance PRO 36W 4000К</t>
  </si>
  <si>
    <t xml:space="preserve">WiFi точка доступу TP-LINK EAP115 (або аналог), </t>
  </si>
  <si>
    <t>WiFi точка доступу</t>
  </si>
  <si>
    <t xml:space="preserve">Автономні датчики диму </t>
  </si>
  <si>
    <t xml:space="preserve"> Датчик диму </t>
  </si>
  <si>
    <t>Бра з вимикачем Videx під лампу GU10 VL-SPF05E-B Чорний</t>
  </si>
  <si>
    <t>ВАРИЛЬНА ПОВЕРХНЯ HE302 (INOX) 3</t>
  </si>
  <si>
    <t>Варильна поверхня</t>
  </si>
  <si>
    <t>Ввідний щит</t>
  </si>
  <si>
    <t>Вентиляційні решітки з жалюзями</t>
  </si>
  <si>
    <t xml:space="preserve">Вентиляція припливно - витяжна Рекуператор Climtec РД 100 чи аналог </t>
  </si>
  <si>
    <t>Рекуператор</t>
  </si>
  <si>
    <t xml:space="preserve">Вертикальний електричний бойлер  (30  л) Вт , 1000  </t>
  </si>
  <si>
    <t>Вимикач накладний IP54 1-кл VHE-1, ETI</t>
  </si>
  <si>
    <t>Вимикач накладний IP54 1-кл</t>
  </si>
  <si>
    <t>Вимикач накладний IP54 2-кл VHE-2, ETI</t>
  </si>
  <si>
    <t>Вимикач накладний IP54 2-кл</t>
  </si>
  <si>
    <t>Витяжка промислова 1050x750x350 мм</t>
  </si>
  <si>
    <t>Витяжка промислова 1450x750x350 мм</t>
  </si>
  <si>
    <t>Витяжка промислова 1550x1050x350 мм</t>
  </si>
  <si>
    <t>Витяжка промислова 950x930x350 мм</t>
  </si>
  <si>
    <t>Витяжка промислова 950x940x350 мм</t>
  </si>
  <si>
    <t xml:space="preserve">Вішалка для одягу стояча </t>
  </si>
  <si>
    <t>Вішалка для одягу стояча / Standing clothes hanger</t>
  </si>
  <si>
    <t xml:space="preserve">Вішалка металева </t>
  </si>
  <si>
    <t xml:space="preserve">Вогнегасник (порошок 3 кг) </t>
  </si>
  <si>
    <t>Вогнегасник (порошок 3 кг) / Fire extinguisher (powder 3 kg)</t>
  </si>
  <si>
    <t>Вогнегасник на кріпленні Тип – порошковий ВП-9</t>
  </si>
  <si>
    <t>Гастроємність Budget Line GN 1/1(H)150 мм</t>
  </si>
  <si>
    <t>Гастроємність Budget Line GN 1/1(H)200 мм</t>
  </si>
  <si>
    <t>Гастроємність Budget Line GN 1/1(H)40 мм</t>
  </si>
  <si>
    <t>Гастроємність Budget Line GN 1/1(H)65 мм</t>
  </si>
  <si>
    <t>Генератор 11 квт</t>
  </si>
  <si>
    <t>Генератор 7 (Квт.)/ 7 kW generator</t>
  </si>
  <si>
    <t xml:space="preserve">Горизонтальний електричний бойлер  (100  л ) Вт , 2000  </t>
  </si>
  <si>
    <t>Дзеркало кругле в металевій рамі Діаметр 70 см (тамбур)</t>
  </si>
  <si>
    <t>Дзеркало прямокутне (2.0) (40 х 60) з полицею (ванна)</t>
  </si>
  <si>
    <t>диспенсер для туалетного паперу</t>
  </si>
  <si>
    <t>Диспенсер для туалетного паперу / Toilet paper dispenser</t>
  </si>
  <si>
    <t>дозатор рідкого мила</t>
  </si>
  <si>
    <t>Дозатор рідкого мила/ Liquid soap dispenser</t>
  </si>
  <si>
    <t xml:space="preserve">дозатор рушників </t>
  </si>
  <si>
    <t>Дозатор рушників/ Towel dispenser</t>
  </si>
  <si>
    <t>Душова система термостатична</t>
  </si>
  <si>
    <t>Електричний водонагрівач Tesy Anticalc GCV 10044 24D B14 TBR 100 л</t>
  </si>
  <si>
    <t>Електричний водонагрівач Tesy Anticalc GCV504416D B14 TBR 50 л</t>
  </si>
  <si>
    <t>Електрочайник PHILIPS HD9350/90</t>
  </si>
  <si>
    <t>Ємність 1500 л. утеплена для води/ 1500 l. insulated water tank</t>
  </si>
  <si>
    <t>ЄМНІСТЬ 1500Л ВЕРТИКАЛЬНА ПБ БЛАКИТНА</t>
  </si>
  <si>
    <t xml:space="preserve">Знаки дверей і визначення шляху </t>
  </si>
  <si>
    <t>Знаки</t>
  </si>
  <si>
    <t xml:space="preserve">Знаки шляхів евакуації (освітлені)  </t>
  </si>
  <si>
    <t xml:space="preserve">Інтернет кабель витою парою </t>
  </si>
  <si>
    <t>Інформаційний банер зовнішній - 2130х500мм / External information banner - 2130x500mm</t>
  </si>
  <si>
    <t>Кабель канал для підключення мережі Інтернет</t>
  </si>
  <si>
    <t xml:space="preserve">Керамічний обігрівач  (500  )  з цифровим керуванням Вт 500х1000 </t>
  </si>
  <si>
    <t>Керамічний обігрівач</t>
  </si>
  <si>
    <t xml:space="preserve">Керамічний обігрівач  х мм  (700-1200  )  з цифровим керуванням Вт 500х500 </t>
  </si>
  <si>
    <t xml:space="preserve">Килимок BILBAO AC53B 0,8Х1,5 Білий прямокутник </t>
  </si>
  <si>
    <t xml:space="preserve">Килимок всередині </t>
  </si>
  <si>
    <t>Килимок всередині/Inside rug</t>
  </si>
  <si>
    <t>Килимок у ванну кімнату Home Line Solo 55х65 Графітовий</t>
  </si>
  <si>
    <t>Кондиционер Спліт системи інверторні з обігрівом до -25 гр.с (Cooper&amp;Hunter, Gree)</t>
  </si>
  <si>
    <t>Кондиціонер GRUNHELM GAC-07GH (+ монтаж)</t>
  </si>
  <si>
    <t>Кондиціонер/Air conditioner</t>
  </si>
  <si>
    <t>Копмлпект  септика  (дно, 2 кільця, кришка , люк) / Septic tank kit (bottom, 2 rings, cover, hatch)</t>
  </si>
  <si>
    <t xml:space="preserve">Крісло персоналу </t>
  </si>
  <si>
    <t>Кушетка медична / Medical couch</t>
  </si>
  <si>
    <t xml:space="preserve">Лавка </t>
  </si>
  <si>
    <t>Ліжко  2000х900  та матрасами</t>
  </si>
  <si>
    <t xml:space="preserve">Ліжко дворівневе  з драбиною та матрасами 2000  х 900 </t>
  </si>
  <si>
    <t>Ліжко двоспальне Еверест Соната-1400 140х200 см дуб крафт білий</t>
  </si>
  <si>
    <t>Ліжко двоярусне дерев'яне Челсі масив бука (трансформер) 800х1900</t>
  </si>
  <si>
    <t>Марміт других страв DS 3 з двома полицями</t>
  </si>
  <si>
    <t>Марміт перших страв DS 3</t>
  </si>
  <si>
    <t>Маршрутизатор TP-LINK ER605 V2 SafeStream або аналог</t>
  </si>
  <si>
    <t>Маршрутизатор</t>
  </si>
  <si>
    <t>Матрац COMFORTEX BLISS COCOS Usleep 140x200 см</t>
  </si>
  <si>
    <t>Матрац MatroLuxe Бонд кокос 80 х 190 см</t>
  </si>
  <si>
    <t>металеві двохсекційні шафи/шафки для одягу</t>
  </si>
  <si>
    <t>Мийка одинарна виробнича 1200x600x850 мм</t>
  </si>
  <si>
    <t>Мийка одинарна виробнича 1600x600x850 мм</t>
  </si>
  <si>
    <t>Мийка подвійна виробнича 2000x600x850 мм</t>
  </si>
  <si>
    <t xml:space="preserve">Мікрохвильова піч Вт 1500  </t>
  </si>
  <si>
    <t>Мікрохвильова</t>
  </si>
  <si>
    <t>Морозильна камера вертикальна Gorenje FNP619EAW6L</t>
  </si>
  <si>
    <t>Морозильна ларь Gorenje FH 451 CW</t>
  </si>
  <si>
    <t>Піч PRITY K1R, 9 кВт з варильною поверхнею</t>
  </si>
  <si>
    <t>Плита 6-ти конфорочна з духовкою Pimak МО15-6</t>
  </si>
  <si>
    <t>Плита електрична промислова КИЙ-В ПЕД-4</t>
  </si>
  <si>
    <t>Плита електрична промислова КИЙ-В ПЕД-6</t>
  </si>
  <si>
    <t>Полка настінна із нержавіючого металу 600x300x660 мм</t>
  </si>
  <si>
    <t>Поручень Laris 500мм</t>
  </si>
  <si>
    <t>поручні</t>
  </si>
  <si>
    <t>Пральна машина вузька  85 х 59.5 х 42.5 см</t>
  </si>
  <si>
    <t>Пральна машина з сушаркою  (9 кг)</t>
  </si>
  <si>
    <t xml:space="preserve">Протипожежна ковдра </t>
  </si>
  <si>
    <t>Протипожежна ковдра/Fire blanket</t>
  </si>
  <si>
    <t>Розетка одинарна IP54 RHE-1s, ETI</t>
  </si>
  <si>
    <t>Розетка подвійна IP54 RHE-2s, ETI</t>
  </si>
  <si>
    <t>Розетка чотиримісна IP54 RHE-4s, ETI</t>
  </si>
  <si>
    <t>Розподільчий щит 380В з ПЗВ та автоматами, ETI</t>
  </si>
  <si>
    <t>Світильник круглий світлодіодний GLOBAL 1-GBH-02-1250-C 12W 5000K</t>
  </si>
  <si>
    <t xml:space="preserve">Світильник </t>
  </si>
  <si>
    <t>Світильник овал GLOBAL 1-GBH-02-1250-E 12W 5000K</t>
  </si>
  <si>
    <t>Світильник світлодіодний GLOBAL 1-GBH-08-2050-S 20W 5000K</t>
  </si>
  <si>
    <t>Сигналізація виявлення диму/ Smoke detection alarm</t>
  </si>
  <si>
    <t>Сковорода електрична промислова КИЙ-В СЕ-40.2</t>
  </si>
  <si>
    <t>Стелаж виробничий 1200x500x1800 мм</t>
  </si>
  <si>
    <t>Стелаж виробничий 1750x500x1800 мм</t>
  </si>
  <si>
    <t>Стелаж виробничий із нержавіючого металу 1500x500x1800 мм</t>
  </si>
  <si>
    <t xml:space="preserve">Стелаж складський металевий, не менше 50 кг на полицю </t>
  </si>
  <si>
    <t>Стіл Galant 100x60 білий SIGNAL</t>
  </si>
  <si>
    <t>Стіл виробничий із нержавіючого металу 800x600x850 мм</t>
  </si>
  <si>
    <t xml:space="preserve">Стіл ДСП на металевій рамі  1700х800 </t>
  </si>
  <si>
    <t xml:space="preserve">Стіл ДСП на металевій рамі 1300х800 </t>
  </si>
  <si>
    <t>Стіл медичний  пересувний</t>
  </si>
  <si>
    <t xml:space="preserve">Стіл офісний </t>
  </si>
  <si>
    <t>Стіл офісний / Office table</t>
  </si>
  <si>
    <t>Стіл письмовий  600 х 1300</t>
  </si>
  <si>
    <t>Стільці для відвідувачів в коридор</t>
  </si>
  <si>
    <t>Стільці для відвідувачів і персоналу в кабінетах</t>
  </si>
  <si>
    <t>Стільці для відвідувачів і персоналу в кабінетах/ Chairs for visitors and staff in offices</t>
  </si>
  <si>
    <t>Стільці складні</t>
  </si>
  <si>
    <t xml:space="preserve">Столик для огляду/ сповивання новонародженого </t>
  </si>
  <si>
    <t>Столик для огляду/ сповивання новонародженого/ Newborn examination/changing table</t>
  </si>
  <si>
    <t xml:space="preserve">Стул IKEA TEODORES ТЕОДОРЕС </t>
  </si>
  <si>
    <t>Сушарка для рук Mediclinics SANIFLOW E05AC</t>
  </si>
  <si>
    <t>Сушка для посуду двохрівнева 1000x325x510 мм</t>
  </si>
  <si>
    <t>Телевізор зі стіновим кріпленням</t>
  </si>
  <si>
    <t xml:space="preserve">Теплова завіса  х мм  (1000  )  з цифровим керуванням Вт 500 х700 </t>
  </si>
  <si>
    <t>Теплова завіса</t>
  </si>
  <si>
    <t>Тумба офісна / Office cabinet</t>
  </si>
  <si>
    <t xml:space="preserve">Тумбочка прикроватна  400х400 </t>
  </si>
  <si>
    <t xml:space="preserve">Тумбочка прикроватна дворівнева  400х400 </t>
  </si>
  <si>
    <t>Умивальник Cersanit 50 з п'єдесталом та дзеркалом</t>
  </si>
  <si>
    <t>Унітаз з бачком Cersanit</t>
  </si>
  <si>
    <t xml:space="preserve">Унітаз з бачком </t>
  </si>
  <si>
    <t xml:space="preserve">УФ лампа бактерицидна </t>
  </si>
  <si>
    <t xml:space="preserve">УФ лампа </t>
  </si>
  <si>
    <t>УФ лампа бактерицидна / UV bactericidal lamp</t>
  </si>
  <si>
    <t>Фільтр DVA, об'єм 12 л, тиск 1,5-8 бар</t>
  </si>
  <si>
    <t>Фільтр</t>
  </si>
  <si>
    <t>Холодильник GORENJE RK 4181 PW4</t>
  </si>
  <si>
    <t>Холодильник двокамерний BOSCH KGN39VI306</t>
  </si>
  <si>
    <t>Шафа  для одягу Матеріал – МДФ ВхШхГ – 1830х700х350мм</t>
  </si>
  <si>
    <t xml:space="preserve">Шафа господарська металева 1000 х 400 </t>
  </si>
  <si>
    <t xml:space="preserve">Шафа господарча 2000 х  400  х  400  </t>
  </si>
  <si>
    <t xml:space="preserve">Шафа для зберігання ліків </t>
  </si>
  <si>
    <t>Шафа для зберігання ліків / Medicine storage cabinet</t>
  </si>
  <si>
    <t>Шафа для одягу</t>
  </si>
  <si>
    <t>Шафа для одягу з антресоллю 800x570x2400 мм</t>
  </si>
  <si>
    <t xml:space="preserve">Шафа пересувна </t>
  </si>
  <si>
    <t>Шафа розпашна для одягу 116,2х49,5х203,4</t>
  </si>
  <si>
    <t>Шафа слабострумена</t>
  </si>
  <si>
    <t>Щит кондиціювання та вентиляції</t>
  </si>
  <si>
    <t>(OSB-3) товщиною 12мм; розмір 1250*2500</t>
  </si>
  <si>
    <t>Плита OSB</t>
  </si>
  <si>
    <t>OSB по ухилу 2,5% - 18 мм 1250*2500</t>
  </si>
  <si>
    <t>Базальтова вата товщина 150 мм</t>
  </si>
  <si>
    <t xml:space="preserve">Базальтова вата </t>
  </si>
  <si>
    <t>Болт м24*200</t>
  </si>
  <si>
    <t>Брус 100*100* 6000</t>
  </si>
  <si>
    <t>Брус 150*100* 6000</t>
  </si>
  <si>
    <t>брус 150*50мм по ухилу - 150 мм</t>
  </si>
  <si>
    <t>Брус 30х40 мм</t>
  </si>
  <si>
    <t xml:space="preserve">Брус 50*50 сосна стругана </t>
  </si>
  <si>
    <t>Вагонка дерев'яна тов 14 мм ла       (420шт/буд)</t>
  </si>
  <si>
    <t xml:space="preserve">Вагонка дерев'яна </t>
  </si>
  <si>
    <t>Вогнебіозахист  Страж-2 БС-13 для внутрішніх робіт 10л (тонований)</t>
  </si>
  <si>
    <t>Вугол зовнішній дерев'яна 20*20 (3м)</t>
  </si>
  <si>
    <t xml:space="preserve">Вугол зовнішній </t>
  </si>
  <si>
    <t>Гайка м 16</t>
  </si>
  <si>
    <t>Гайка м 24</t>
  </si>
  <si>
    <t>Гайка м 48</t>
  </si>
  <si>
    <t xml:space="preserve">Гайка М24 </t>
  </si>
  <si>
    <t xml:space="preserve">Гайка М48 </t>
  </si>
  <si>
    <t xml:space="preserve">Гайки м12 </t>
  </si>
  <si>
    <t>Гачок настінний подвійний Lidz (CRM)-114 06 02</t>
  </si>
  <si>
    <t>Гачок настінний</t>
  </si>
  <si>
    <t>Гвинт самонарізний з прес-шайбою по металу гострий 4,2*19</t>
  </si>
  <si>
    <t>Гвинт самонарізний з прес-шайбою по металу зі свердлом  ФАРБОВАНИЙ RAL 9003 4,2*16</t>
  </si>
  <si>
    <t>герметик Botament БМ-92</t>
  </si>
  <si>
    <t>Герметик акриловий латексний білий</t>
  </si>
  <si>
    <t>Гибкая кровля</t>
  </si>
  <si>
    <t>м²</t>
  </si>
  <si>
    <t>м/кв</t>
  </si>
  <si>
    <t>Гідроізоляційна мембрана</t>
  </si>
  <si>
    <t>Гідроізоляційне покриття з ПВХ мембрани товщиною 1.2мм;</t>
  </si>
  <si>
    <t>ГКЛ вологостійкий 12,5 мм розмір 1250*2500</t>
  </si>
  <si>
    <t>Гладка жесть 1,25х2м РЕМА 7024*45</t>
  </si>
  <si>
    <t xml:space="preserve">Гладкий былий РАЛ 9003 довжина 2800 </t>
  </si>
  <si>
    <t>М.КВ.</t>
  </si>
  <si>
    <t xml:space="preserve">Гладкий лист  </t>
  </si>
  <si>
    <t>Гладкий лист  білий</t>
  </si>
  <si>
    <t xml:space="preserve">гладкий лист з полімерним покриттям, товщиною 0,45 мм, колір –  RAL 7004 (сірий). </t>
  </si>
  <si>
    <t>Гладкий металевий лист  - 0.45мм, з полімерним покриттям RAL7024 (графітовий сірий) для декоративних планок  висота 2700 мм</t>
  </si>
  <si>
    <t>Гладкий металевий лист 0.45мм, з полімерним покриттям RAL9003 (білий)</t>
  </si>
  <si>
    <t xml:space="preserve">Гладкий металевий лист 0.45мм, з полімерним покриттям RAL9003 (білий); висота 2500 мм для декоративних планок </t>
  </si>
  <si>
    <t>Гнутий швелер 200х80х5 мм</t>
  </si>
  <si>
    <t>Гнутий швелер</t>
  </si>
  <si>
    <t>Гнутий швелер 240х80х5 мм</t>
  </si>
  <si>
    <t>Гровер М16</t>
  </si>
  <si>
    <t>Грунт ГФ-021</t>
  </si>
  <si>
    <t xml:space="preserve">Грунт під клей </t>
  </si>
  <si>
    <t xml:space="preserve">Дверцята ревізійні пластикові DOMOVENT Л 100x100 </t>
  </si>
  <si>
    <t>Дерев'яний брус 50х50мм (сосна);</t>
  </si>
  <si>
    <t>Дерев'яний брус</t>
  </si>
  <si>
    <t>Диск обрізний 230 мм</t>
  </si>
  <si>
    <t>Доска 40*200* 4500</t>
  </si>
  <si>
    <t>Доска</t>
  </si>
  <si>
    <t>Доска 50*100* 6000</t>
  </si>
  <si>
    <t xml:space="preserve">Дошка 20*100 </t>
  </si>
  <si>
    <t>Дошка 20*100 обрізна</t>
  </si>
  <si>
    <t>Дошка 25 мм</t>
  </si>
  <si>
    <t>ДСТУ 2251-93 Кутики сталеві гарячекатані 40х40х3</t>
  </si>
  <si>
    <t xml:space="preserve"> Кутики сталеві</t>
  </si>
  <si>
    <t>тон</t>
  </si>
  <si>
    <t>ДСТУ 3436-96 Швелери сталеві гарячекатані № 16П</t>
  </si>
  <si>
    <t xml:space="preserve">Швелери сталеві </t>
  </si>
  <si>
    <t>ДСТУ 3436-96 Швелери сталеві гарячекатані № 24П</t>
  </si>
  <si>
    <t>ДСТУ 8540:2015 Прокат листовий гарячекатаний С245 товщина - 12 мм</t>
  </si>
  <si>
    <t>лист  ГК</t>
  </si>
  <si>
    <t>ДСТУ 8540:2015 Прокат листовий гарячекатаний С245 товщина - 2 мм</t>
  </si>
  <si>
    <t>ДСТУ 8940:2019 Труби сталеві профільні  40х20х2</t>
  </si>
  <si>
    <t xml:space="preserve">Труби сталеві </t>
  </si>
  <si>
    <t>ДСТУ 8940:2019 Труби сталеві профільні  80х40х3</t>
  </si>
  <si>
    <t>ДСТУ 8940:2019 Труби сталеві профільні  80х80х3</t>
  </si>
  <si>
    <t xml:space="preserve">Електроди 3 мм </t>
  </si>
  <si>
    <t>Завіси</t>
  </si>
  <si>
    <t>Завіса 20мм</t>
  </si>
  <si>
    <t>Завіси 16 мм круглі</t>
  </si>
  <si>
    <t xml:space="preserve">Заглушка </t>
  </si>
  <si>
    <t>Заклепка 4*10 синя</t>
  </si>
  <si>
    <t>Зварний дріт 1,2 мм</t>
  </si>
  <si>
    <t>Зварний</t>
  </si>
  <si>
    <t xml:space="preserve">Інформаційний банер зовнішній - 2130х500мм </t>
  </si>
  <si>
    <t>Карниз кутовий 90*90</t>
  </si>
  <si>
    <t>Карниз кутовий</t>
  </si>
  <si>
    <t>Керамічна плитка</t>
  </si>
  <si>
    <t xml:space="preserve">Клей для лінолеума </t>
  </si>
  <si>
    <t xml:space="preserve">Клей для ПВХ мембрани </t>
  </si>
  <si>
    <t>Кляймер для фальш-бруса</t>
  </si>
  <si>
    <t xml:space="preserve">кріплення ринви </t>
  </si>
  <si>
    <t>кріплення</t>
  </si>
  <si>
    <t xml:space="preserve">Кут внутрішній </t>
  </si>
  <si>
    <t xml:space="preserve">Кут зовнішній </t>
  </si>
  <si>
    <t xml:space="preserve">Кутик 25х25х3 мм </t>
  </si>
  <si>
    <t>Кутик 40х40х3 мм</t>
  </si>
  <si>
    <t>Кутик дерев'яний 20*20*2500</t>
  </si>
  <si>
    <t xml:space="preserve">Кутик ПВХ білий 30*30 </t>
  </si>
  <si>
    <t>Кутики білі 30*30 мм 2,7м</t>
  </si>
  <si>
    <t>Кутики білі 50*50 мм 2,7м</t>
  </si>
  <si>
    <t>Кутики, з'єднувачі, глушки</t>
  </si>
  <si>
    <t>Кутова планка внутрішня дерев'яна 15*15 (3м)</t>
  </si>
  <si>
    <t>Лак Паркетний</t>
  </si>
  <si>
    <t>Лак</t>
  </si>
  <si>
    <t>Лак поліуретановий білий ТН 4701-902</t>
  </si>
  <si>
    <t>Ламінована ДСП плита 16мм (колір - білий);</t>
  </si>
  <si>
    <t>ЛДСП 16 мм Swiss Krono U119 PE</t>
  </si>
  <si>
    <t>лист 3 мм</t>
  </si>
  <si>
    <t>Лист 4 мм</t>
  </si>
  <si>
    <t>Лист 5 мм</t>
  </si>
  <si>
    <t>Лист 6мм</t>
  </si>
  <si>
    <t xml:space="preserve">Листова сталь С245 товщина 6 мм </t>
  </si>
  <si>
    <t xml:space="preserve">лійка </t>
  </si>
  <si>
    <t>Лінолеум ванна</t>
  </si>
  <si>
    <t>Лінолеум комерційний Grabo Acoustic 5 Color</t>
  </si>
  <si>
    <t>Лінолеум на стіни світло сірий</t>
  </si>
  <si>
    <t xml:space="preserve">Лінолеум сірий комерційний на підлогу темно сірий </t>
  </si>
  <si>
    <t xml:space="preserve">Меблевий кутик </t>
  </si>
  <si>
    <t>Мембрана Strotex basic (вітро-гідробар'єр) 1300 супердифузійна (1,5 х 50)</t>
  </si>
  <si>
    <t>Мінеральна вата (базальт), товщиною 100мм;</t>
  </si>
  <si>
    <t xml:space="preserve">Мінеральна вата щільність 35 кг/м3  (100 мм) </t>
  </si>
  <si>
    <t xml:space="preserve">Мінеральна вата щільність 35 кг/м3  (50 мм) </t>
  </si>
  <si>
    <t>Набір кілець до шторок для ванної 12 шт. Vanstore прозорі (68111)</t>
  </si>
  <si>
    <t>Набір кілець до шторок для ванно</t>
  </si>
  <si>
    <t>Напівкомерційний лінолеумом (гетерогенний), колір сіра крихта; ширина 2500 мм</t>
  </si>
  <si>
    <t xml:space="preserve">Обрізний диск 230 мм </t>
  </si>
  <si>
    <t>ОСБ плита 10 мм вологлстіцка 1250*2500</t>
  </si>
  <si>
    <t>Оцинкований гладкий лист, товщина металу - 0.5мм; розмір 2450*1250</t>
  </si>
  <si>
    <t>Оцинкований профнастил ПС-10, товщина 0,5 мм</t>
  </si>
  <si>
    <t>Оцинкований профнастил ПС-20, товщ.0,5мм з поліестерним покриттям 25мкм. Колір синій (RAL9003 або RAL9016)</t>
  </si>
  <si>
    <t>Паробар'єр сірий 1,5м</t>
  </si>
  <si>
    <t>Паробарьер</t>
  </si>
  <si>
    <t xml:space="preserve">Паро-гідро бар'єр </t>
  </si>
  <si>
    <t>Пароізоляційна мембрана;</t>
  </si>
  <si>
    <t>ПВХ вагонка 8мм товщина 250 мм ширина без шовна біла</t>
  </si>
  <si>
    <t>ПВХ плінтус, колір - сірий;</t>
  </si>
  <si>
    <t>Підвісна стеля типу «Armstrong»</t>
  </si>
  <si>
    <t>Підвісна стеля</t>
  </si>
  <si>
    <t xml:space="preserve">Піна клей </t>
  </si>
  <si>
    <t>бал</t>
  </si>
  <si>
    <t xml:space="preserve">Піна монтажна </t>
  </si>
  <si>
    <t>пінопласт 100 (0.5*1м)</t>
  </si>
  <si>
    <t>Пінопласт 100мм</t>
  </si>
  <si>
    <t xml:space="preserve">Пінопласт 15 кг/м3 товщина 100 мм </t>
  </si>
  <si>
    <t xml:space="preserve">Пінопласт 15 кг/м3 товщина 50 мм </t>
  </si>
  <si>
    <t>Плинтус коннелюрний для завода линолеума на стену,  высота 100 мм</t>
  </si>
  <si>
    <t>Плита OSB (1,25х2,5) 15 мм Kronospan (закладні деталі по каркасу)</t>
  </si>
  <si>
    <t>Плита OSB (1,25х2,5) 22 мм Кроно Україна</t>
  </si>
  <si>
    <t>Плита ОСБ 10 мм</t>
  </si>
  <si>
    <t>Плита ОСБ 15 мм</t>
  </si>
  <si>
    <t>Плита ЦСП 10 мм</t>
  </si>
  <si>
    <t>Плитка керамічна</t>
  </si>
  <si>
    <t>Плитка на стіни вінілова 200*600</t>
  </si>
  <si>
    <t xml:space="preserve">Плитка  вінілова </t>
  </si>
  <si>
    <t xml:space="preserve">Плінтус </t>
  </si>
  <si>
    <t>Плінтус 2,5 м.п.</t>
  </si>
  <si>
    <t>Плінтус пластиковий</t>
  </si>
  <si>
    <t xml:space="preserve">Полікарбонат покрівельний </t>
  </si>
  <si>
    <t>Полікарбонат</t>
  </si>
  <si>
    <t>Порожок прижимний алюмінієвий в колір плит ЛДСП</t>
  </si>
  <si>
    <t>Порожок прижимний</t>
  </si>
  <si>
    <t>Порфлист ПК 10   Довжина  3100 мм Стіни   РАЛ 9003</t>
  </si>
  <si>
    <t>Профлист</t>
  </si>
  <si>
    <t>Порфлист ПК 10  довжина 2450 Стіни РАЛ 9003</t>
  </si>
  <si>
    <t>Порфлист ПК 10  Стіни білий</t>
  </si>
  <si>
    <t>Порфлист ПК 20  довжина 6070 мм Покрівля РАЛ 9003</t>
  </si>
  <si>
    <t>Порфлист ПК 20  Покрівля білий</t>
  </si>
  <si>
    <t>Порфлист ПК 8 (підшивка дна модуля)</t>
  </si>
  <si>
    <t>м.2</t>
  </si>
  <si>
    <t>Порфлист ПК 8 довжина 2450мм (підшивка дна модуля)</t>
  </si>
  <si>
    <t>Профіль трапецієподібний ПС-8поліестр  RAL9006</t>
  </si>
  <si>
    <t>м.кв</t>
  </si>
  <si>
    <t>Профільна труба 120х80х3 мм</t>
  </si>
  <si>
    <t>Профільна труба 40х40х2 мм.</t>
  </si>
  <si>
    <t>Профільна труба 60х40х2 мм</t>
  </si>
  <si>
    <t>Профільна труба 60х40х3 мм</t>
  </si>
  <si>
    <t>Профільна труба 60х60х3 мм</t>
  </si>
  <si>
    <t>Профільна труба 80х40х3 мм</t>
  </si>
  <si>
    <t>Профільна труба 80х80х3 мм</t>
  </si>
  <si>
    <t>Профільної труби 100х50х3 мм</t>
  </si>
  <si>
    <t>Профільної труби 120х80х3 мм</t>
  </si>
  <si>
    <t>Профільної труби 60х40х2 мм.</t>
  </si>
  <si>
    <t>Профнастил  ПК 10</t>
  </si>
  <si>
    <t>Профнастил ПК-20 з полімерним покриттям, товщиною 0,6 мм, колір –  RAL 7004 (сірий).</t>
  </si>
  <si>
    <t>Профнастил ПК-35, товщина 0,7 мм</t>
  </si>
  <si>
    <t>Профнастил ПС-20, товщина 0,5 мм</t>
  </si>
  <si>
    <t>Рейка 20*40* 4500</t>
  </si>
  <si>
    <t>Рейка 30*50* 3000</t>
  </si>
  <si>
    <t xml:space="preserve">Ринва д90 мм </t>
  </si>
  <si>
    <t xml:space="preserve">Розчинник </t>
  </si>
  <si>
    <t>Саморіз  чорний 25 мм для гипсокартона дерево</t>
  </si>
  <si>
    <t>Саморіз з пером кріплення сендвіч панелі до металевого каркасу 5*130</t>
  </si>
  <si>
    <t>Саморіз з пером кріплення сендвіч панелі до металевого каркасу 5*80</t>
  </si>
  <si>
    <t xml:space="preserve">Саморіз з прес шайбою білий з пером 4*19 </t>
  </si>
  <si>
    <t>Саморіз з пресшайбою 4*16 синій</t>
  </si>
  <si>
    <t>Саморіз по дереву жовтий 4,2*45</t>
  </si>
  <si>
    <t>Саморіз по металу з посиленим сверлом до 12 мм + шайба ФАРБОВАНИЙ RAL 9003 5,5*32</t>
  </si>
  <si>
    <t>Саморіз по металу з посиленим сверлом до 12 мм 5,5*70</t>
  </si>
  <si>
    <t>Саморіз покрівельний з шайбою EPDM зі сверлом по дереву ФАРБОВАНИЙ RAL 9003 4,8*50</t>
  </si>
  <si>
    <t xml:space="preserve">Саморіз покрівельний М8 з посиленим пером 35 мм з шайбою синій </t>
  </si>
  <si>
    <t>Саморіз покрівельний М8 колір 7016 з посиленим пером</t>
  </si>
  <si>
    <t xml:space="preserve">Саморізи жовті 4,2*45 </t>
  </si>
  <si>
    <t xml:space="preserve">Сендвіч палель з двох сторін гладкий металевий лист 0.45мм, з полімерним покриттям RAL9003 (білий); в середині утеплювач 60 мм мінеральна вата  висота 2500 мм </t>
  </si>
  <si>
    <t>Сендвіч палель</t>
  </si>
  <si>
    <t>Сендвіч панель одностороння ПВХ для укосів 10 мм</t>
  </si>
  <si>
    <t>Сітка металева</t>
  </si>
  <si>
    <t>Сморіз по металу 4,2*65 з пером</t>
  </si>
  <si>
    <t xml:space="preserve">Стінова сендвіч панель закритий замок зовнішня сторона металевий лист ПС20 - 0.45мм, з полімерним покриттям RAL7024 (графітовий сірий); внутрішня сторонаГладкий металевий лист 0.45мм, з полімерним покриттям RAL9003 (білий);  мінеральна вата товщина 100 мм  висота 2700 мм </t>
  </si>
  <si>
    <t>Стрічка К2 двостороння ширина 80 мм</t>
  </si>
  <si>
    <t>Труба 20*40*3</t>
  </si>
  <si>
    <t>Труба 40*20*1,5</t>
  </si>
  <si>
    <t>Труба 50*25*3</t>
  </si>
  <si>
    <t>труба 75 мм</t>
  </si>
  <si>
    <t>Труба металева Ст3  100*100*3</t>
  </si>
  <si>
    <t>Труба металева Ст3  50*25*2</t>
  </si>
  <si>
    <t>Труба металева Ст3  50*50*2</t>
  </si>
  <si>
    <t>Труба металева Ст3  дв 40 *3,5</t>
  </si>
  <si>
    <t>Труба металева Ст3  дв 89 *3,5</t>
  </si>
  <si>
    <t>Утеплювач базальтовий IZOVAT 200 мм</t>
  </si>
  <si>
    <t>Утеплювач</t>
  </si>
  <si>
    <t>Утеплювач базальтовий IZOVAT 50 мм</t>
  </si>
  <si>
    <t>Утеплювач Профітел 35 (1230х610х100) Оптіма 6,0м кв</t>
  </si>
  <si>
    <t>Утеплювач Профітел 35 (1230х610х50) Оптіма 12,0м кв</t>
  </si>
  <si>
    <t>Фальш-брус (10 см * 2 см * 4 м)</t>
  </si>
  <si>
    <t>Фанера вологостійка 24 мм</t>
  </si>
  <si>
    <t>Фанера</t>
  </si>
  <si>
    <t>Фарба (графіт) для фальш-брусу (10л)</t>
  </si>
  <si>
    <t xml:space="preserve">Фарба 3 в 1 </t>
  </si>
  <si>
    <t xml:space="preserve">Фарба 3в1 сіра </t>
  </si>
  <si>
    <t xml:space="preserve">Фарба латекс антибактиріальна 3 л. </t>
  </si>
  <si>
    <t>Фарба ПФ 015</t>
  </si>
  <si>
    <t>Цементно-стружкова плита (ЦСП) товщиною 20мм; розмір 1250*3100</t>
  </si>
  <si>
    <t>ЦСП панель 20 мм 3,2*1,2</t>
  </si>
  <si>
    <t>Цсп плита 10 мм</t>
  </si>
  <si>
    <t>Шайба М16</t>
  </si>
  <si>
    <t>Шпилька М48</t>
  </si>
  <si>
    <t>Шторка для ванної PEVA Vanstore Green Point 180х200см (61008)</t>
  </si>
  <si>
    <t>Шторка</t>
  </si>
  <si>
    <t>Шуруп гартований з потаємною головкою 2.5*45</t>
  </si>
  <si>
    <t>Шуруп універсальний  з пером по металу  ЧАСТКОВА РІЗЬБА  5,5*90</t>
  </si>
  <si>
    <t>Шуруп універсальний цинк жов т0ий ЧАСТКОВА РІЗЬБА DIN 7997 5*70</t>
  </si>
  <si>
    <t>Шуруп універсальний цинк жовтий ПОВНА РІЗЬБА DIN 7997 4,5*45</t>
  </si>
  <si>
    <t>Біта PH1 MILWAUKEE</t>
  </si>
  <si>
    <t>Біта</t>
  </si>
  <si>
    <t>Біта PH2 MILWAUKEE</t>
  </si>
  <si>
    <t>Біта PZ1 MILWAUKEE</t>
  </si>
  <si>
    <t>Біта PZ2 MILWAUKEE</t>
  </si>
  <si>
    <t>Біта PZ3 MILWAUKEE</t>
  </si>
  <si>
    <t>Болт замковий з грибовидною головкою 8х160 (1уп=25шт) повна різьба</t>
  </si>
  <si>
    <t>Болт замковий з грибовидною головкою 8х60 (1уп=25шт) повна різьба</t>
  </si>
  <si>
    <t>Болты</t>
  </si>
  <si>
    <t>Брус 70*70</t>
  </si>
  <si>
    <t xml:space="preserve"> м3</t>
  </si>
  <si>
    <t>Гайка DIN934 M 10/150шт</t>
  </si>
  <si>
    <t>Гайка DIN934 M 12/100шт</t>
  </si>
  <si>
    <t>уп</t>
  </si>
  <si>
    <t>Гайка DIN934 M 12/100шт збільшена</t>
  </si>
  <si>
    <t>Гайка DIN934 M8/300шт.</t>
  </si>
  <si>
    <t>Грунт ГФ 021</t>
  </si>
  <si>
    <t>Диск відрізний Ø125х1</t>
  </si>
  <si>
    <t xml:space="preserve">Диск пильний (паркетка) </t>
  </si>
  <si>
    <t xml:space="preserve">Дріт зварний 1 мм </t>
  </si>
  <si>
    <t xml:space="preserve">Електроди 3мм </t>
  </si>
  <si>
    <t>Електроди д3 мм</t>
  </si>
  <si>
    <t>кг.</t>
  </si>
  <si>
    <t>Зачисний диск пелюсток зерно 60 мікрон</t>
  </si>
  <si>
    <t>Зачисний диск</t>
  </si>
  <si>
    <t>Зачисні диски 230 мм</t>
  </si>
  <si>
    <t>шт.</t>
  </si>
  <si>
    <t>Зварна проволка 1,2 мм</t>
  </si>
  <si>
    <t>Зварна проволока</t>
  </si>
  <si>
    <t>Коронка по дереву Ø131</t>
  </si>
  <si>
    <t>Коронка по дереву</t>
  </si>
  <si>
    <t>Коронка по дереву Ø152</t>
  </si>
  <si>
    <t>Коронка по дереву Ø67</t>
  </si>
  <si>
    <t>Кріпильні анкери</t>
  </si>
  <si>
    <t>Кутник 50х50х40х1,2 (50)</t>
  </si>
  <si>
    <t>Кутник-притискувач міцний 105х105х90х2 (50)</t>
  </si>
  <si>
    <t>Обрізні диски 230 мм</t>
  </si>
  <si>
    <t>Рукавички</t>
  </si>
  <si>
    <t>Саморіз 4*45</t>
  </si>
  <si>
    <t>Саморіз по металу 5,1*70</t>
  </si>
  <si>
    <t>Свердла</t>
  </si>
  <si>
    <t>Сверло перове Ø22</t>
  </si>
  <si>
    <t>Сверло</t>
  </si>
  <si>
    <t>Сверло перове Ø32</t>
  </si>
  <si>
    <t>Сверло по дереву Ø12 L460</t>
  </si>
  <si>
    <t>Сверло по дереву Ø14 L460</t>
  </si>
  <si>
    <t>Сверло Форстнера Ø60</t>
  </si>
  <si>
    <t>Скоба для степлера Stanley 10мм</t>
  </si>
  <si>
    <t>Скоба</t>
  </si>
  <si>
    <t>Шайба збільшена DIN125  10х29(1уп.=1000шт)</t>
  </si>
  <si>
    <t>Шайба збільшена DIN125  8х16(1уп.=1000шт)</t>
  </si>
  <si>
    <t>Шпилька ТМ  оцинкована 10х1000 DIN975, (25шт)</t>
  </si>
  <si>
    <t>Шпилька ТМ  оцинкована 12х1000 DIN975, (25шт)</t>
  </si>
  <si>
    <t>Шуруп  гартований з потаємною головкою 4,0х45 п=500 (8000) повна</t>
  </si>
  <si>
    <t>Шуруп  гартований з потаємною головкою 4,5х70 п=250 (4000) повна</t>
  </si>
  <si>
    <t>Шуруп  гартований з потаємною головкою 5,0х90 п=200 (3200) коротка</t>
  </si>
  <si>
    <t>Шуруп  гартований з потаємною головкою 6,0х160 п=100 (1000) коротка</t>
  </si>
  <si>
    <t>Шуруп гартований з потаємною головкою, повна 2.5х16 (п-1000)</t>
  </si>
  <si>
    <t>Щітка торцева із плетеної проволки</t>
  </si>
  <si>
    <t>Базальтова вата товщина 100 мм</t>
  </si>
  <si>
    <t>Базальтова вата товщина 50 мм</t>
  </si>
  <si>
    <t>Безшовна пластикова ПВХ панель  темного кольору, товщ.8мм.</t>
  </si>
  <si>
    <t>ПВХ панель</t>
  </si>
  <si>
    <t>Брусок сосновий 30х100мм</t>
  </si>
  <si>
    <t>Брусок сосновий</t>
  </si>
  <si>
    <t>Брусок сосновий 50х130мм</t>
  </si>
  <si>
    <t>мп</t>
  </si>
  <si>
    <t>Брусок сосновий 50х30мм</t>
  </si>
  <si>
    <t>вагонка МДФ;</t>
  </si>
  <si>
    <t>Гідроізоляція обмазувальна для внутрішніх робіт АКВА</t>
  </si>
  <si>
    <t xml:space="preserve">Грунтовка СТ17 </t>
  </si>
  <si>
    <t>літ</t>
  </si>
  <si>
    <t>Дерев'яний брус 50х30мм (сосна);</t>
  </si>
  <si>
    <t xml:space="preserve">Керамічна плитка 9 мм на підлогу </t>
  </si>
  <si>
    <t xml:space="preserve">Клей для керамічної плитки </t>
  </si>
  <si>
    <t>Клей для плитки 25 кг</t>
  </si>
  <si>
    <t>мішок</t>
  </si>
  <si>
    <t>Кутик ПВХ 30*30 сірий</t>
  </si>
  <si>
    <t>Кутик ПВХ 50*50 сірий</t>
  </si>
  <si>
    <t>Кутики,глушки до плінтуса</t>
  </si>
  <si>
    <t>Кухоний плінтус ПВХ</t>
  </si>
  <si>
    <t xml:space="preserve">Кухоний плінтус </t>
  </si>
  <si>
    <t>Лента К2 ширина 150 мм</t>
  </si>
  <si>
    <t xml:space="preserve">Лента К2 </t>
  </si>
  <si>
    <t>Лінолеум сірий комерційний</t>
  </si>
  <si>
    <t xml:space="preserve">Лінолеум стіновий білий </t>
  </si>
  <si>
    <t xml:space="preserve">ОСБ вологостійка 10 мм </t>
  </si>
  <si>
    <t>ОСБ плита 10 мм 1250*2500</t>
  </si>
  <si>
    <t>Паробар'єр,</t>
  </si>
  <si>
    <t>ПВХ вагонка біла</t>
  </si>
  <si>
    <t>Плита ОСВ 10 мм</t>
  </si>
  <si>
    <t>Плита ОСВ</t>
  </si>
  <si>
    <t>Плита ЦСП  18 мм</t>
  </si>
  <si>
    <t>Плитка керамічна сіра на стіни</t>
  </si>
  <si>
    <t>Плитка керамічна, сіра 300*300*8</t>
  </si>
  <si>
    <t>Плінтус на підлогу висота 100 мм</t>
  </si>
  <si>
    <t>Плінтус ПВХ</t>
  </si>
  <si>
    <t>Порожек алюміній (оконтовка навколо решітки)</t>
  </si>
  <si>
    <t xml:space="preserve">Порожек алюміній </t>
  </si>
  <si>
    <t>Саморіз  чорний 25 мм для дерева</t>
  </si>
  <si>
    <t xml:space="preserve">Саморіз  </t>
  </si>
  <si>
    <t xml:space="preserve">Силікон сантехнічний </t>
  </si>
  <si>
    <t>Силікон</t>
  </si>
  <si>
    <t xml:space="preserve">Сітка армуюча склопластик </t>
  </si>
  <si>
    <t>Сітка армуюча</t>
  </si>
  <si>
    <t xml:space="preserve">Стартова планка ПВХ </t>
  </si>
  <si>
    <t>Стартова планка</t>
  </si>
  <si>
    <t>Теплий відкос 10 мм</t>
  </si>
  <si>
    <t xml:space="preserve">Утеплювач 100мм (мінвата, щільністю не менше 80кг/м3), </t>
  </si>
  <si>
    <t xml:space="preserve">Утеплювач </t>
  </si>
  <si>
    <t xml:space="preserve">Утеплювач 50мм (мінвата, щільністю не менше 80кг/м3), </t>
  </si>
  <si>
    <t>Відвід ПВХ д110 45  зовнішня</t>
  </si>
  <si>
    <t xml:space="preserve">Відвід ПВХ д32 87 </t>
  </si>
  <si>
    <t>Відвід ППР</t>
  </si>
  <si>
    <t>Горизонтальний електричний бойлер (100 л, 2000 Вт)</t>
  </si>
  <si>
    <t xml:space="preserve">Гофра до унітаза 350мм </t>
  </si>
  <si>
    <t xml:space="preserve">Гофра </t>
  </si>
  <si>
    <t xml:space="preserve">Душевий піддон 700*800 </t>
  </si>
  <si>
    <t>Душевий піддон</t>
  </si>
  <si>
    <t>Душовий бокс  1000х1000мм кутова з піддоном h=40см</t>
  </si>
  <si>
    <t>комплект</t>
  </si>
  <si>
    <t>Душовий піддон 90*90</t>
  </si>
  <si>
    <t>Душові з внутрішніми шторками ,  крючками та поличкою</t>
  </si>
  <si>
    <t>Ексцентрик для унітазу гумовий</t>
  </si>
  <si>
    <t>Ексцентрик</t>
  </si>
  <si>
    <t>Електричний болер O "Profi VM 050 D400-1-M, 80 л,</t>
  </si>
  <si>
    <t>Болер</t>
  </si>
  <si>
    <t>Електричний болер O "Profi VM 080 D400-1-M, 80 л,</t>
  </si>
  <si>
    <t>Електричний водонагрівач (бойлер) Об’єм – не менше 80 л</t>
  </si>
  <si>
    <t>Ємність 1500л</t>
  </si>
  <si>
    <t xml:space="preserve">Ємність для води Діаметр/висота: 50 x 112см ± 5% </t>
  </si>
  <si>
    <t>З’єднання з амереканкою РР-R D=20 ммх1/2 Н</t>
  </si>
  <si>
    <t>Єднання</t>
  </si>
  <si>
    <t>Заглушка D=50 мм</t>
  </si>
  <si>
    <t>Заглушка д110 (внутрішня сіра)</t>
  </si>
  <si>
    <t>З'єднувач з американкою PP-R 20 мм x 1/2" В</t>
  </si>
  <si>
    <t>З'єднувач з американкою PP-R 20 мм x 1/2" З</t>
  </si>
  <si>
    <t>З'єднувач компресійний 25 мм x 1/2" В</t>
  </si>
  <si>
    <t>Змішувач для душ. кабіни NICO, з душовим шлангом та лійкою</t>
  </si>
  <si>
    <t>Змішувач для душу BRAVO BO-00-105 із душовою гарнітурою, або аналог</t>
  </si>
  <si>
    <t xml:space="preserve">Змішувач для душу з лійкою </t>
  </si>
  <si>
    <t>Змішувач для умивальника GH Melode 10.10.123, або аналог</t>
  </si>
  <si>
    <t>Коліно 110/45 зн Інсталпласт</t>
  </si>
  <si>
    <t>Кран вентильний для сантехприладів 1/2" х 3/4" ALBERTONI</t>
  </si>
  <si>
    <t>Кран кульовий ЗВ 1\2",  "метелик"</t>
  </si>
  <si>
    <t xml:space="preserve">Кран ПП20 під пайку </t>
  </si>
  <si>
    <t>Кріплення для труб 25 мм</t>
  </si>
  <si>
    <t xml:space="preserve">Кріплення умивальника </t>
  </si>
  <si>
    <t>Кріплення умивальника до стіни (з ексцентриками і болтами 8x120 мм)</t>
  </si>
  <si>
    <t xml:space="preserve">Кріплення унітазу до підлоги (з декор.ковпачками і шурупами 6x100мм) </t>
  </si>
  <si>
    <t>Куточок для підключення змішувача PP-R D=20 мм х1\2 сірий</t>
  </si>
  <si>
    <t>Муфта редукційна коротка D 40*25 мм</t>
  </si>
  <si>
    <t>Насосна станція Aquatica 1.1кВт Hmax 55м Qmax 70л/хв (самовсмоктуючий насос) 24л</t>
  </si>
  <si>
    <t>Ніпель 1,2"</t>
  </si>
  <si>
    <t>Перехід єксентричний Ø110 - 50 мм</t>
  </si>
  <si>
    <t>Перехідник  3/4В*1/2Н ВЛМЗ</t>
  </si>
  <si>
    <t>Перехідник  D=25мм*1/2 B</t>
  </si>
  <si>
    <t>Перехідник Taizhou латунний 1" З-1/2" В</t>
  </si>
  <si>
    <t>Раковина без пятистала</t>
  </si>
  <si>
    <t>Раковина з пятистала</t>
  </si>
  <si>
    <t>Сантехнічна перегородка на 2 унітази,  З дверима, у кожній гачок для одягу Двері 700*2000. перегородка 1300*2500</t>
  </si>
  <si>
    <t>Сантехнічна перегородка</t>
  </si>
  <si>
    <t>Сифон для душ. Піддону (під металевий піддон)</t>
  </si>
  <si>
    <t xml:space="preserve">Сифон для душ.піддону </t>
  </si>
  <si>
    <t>Сифон для мийки бутилоч Д=1 1/2"х32мм</t>
  </si>
  <si>
    <t>Сифон для низького піддону Н-6,5см Scand SPA</t>
  </si>
  <si>
    <t>Сифон для раковини (32труба)</t>
  </si>
  <si>
    <t>Сушарка для рук Потужність – 1800 Вт</t>
  </si>
  <si>
    <t xml:space="preserve">Сушарка для рук </t>
  </si>
  <si>
    <t>Трійник D=110</t>
  </si>
  <si>
    <t>Трійник д110 87 (артикул 62508029)</t>
  </si>
  <si>
    <t>Трійник редукц 32х3/20х2/32х3 фітинг</t>
  </si>
  <si>
    <t xml:space="preserve">Трійники відводи різні </t>
  </si>
  <si>
    <t>Труба каалізац 110  довж 500 мм</t>
  </si>
  <si>
    <t>Труба каналізаційна DN110х2000 (зовн.)</t>
  </si>
  <si>
    <t>Труба каналізаційна ПВХ 110х3,2х3000</t>
  </si>
  <si>
    <t>Труба ПВХ д110 (3000мм) зовнішня</t>
  </si>
  <si>
    <t>Труба ПВХ д110 (500мм) зовнішня</t>
  </si>
  <si>
    <t>Труба ПВХ д32 (2000мм)</t>
  </si>
  <si>
    <t>Труба поліпропіленова каналізаційна d=110  мм І=250 мм</t>
  </si>
  <si>
    <t>Труба ПП 20 під пайку</t>
  </si>
  <si>
    <t>м. п.</t>
  </si>
  <si>
    <t>Умивальник PRESIDENT 50 з отвором для арматури</t>
  </si>
  <si>
    <t>Умивальник керамічний в компл. з тумбою і дзеркалом  ширина - 55см, глибина - 45,5см, висота - 19см з сифоном Cеrsanit President 55, або аналог</t>
  </si>
  <si>
    <t>Унітаз Cеrsanit EKO (бачок, сидіння, гофра, шланги для підключення), або аналог</t>
  </si>
  <si>
    <t xml:space="preserve">Унітаз, косий </t>
  </si>
  <si>
    <t>Унітаз-компакт підлоговий білий KOLO RUNA із кришкою випуск косий L89201000, нижній підвід, сидіння з кришкою поліпропі</t>
  </si>
  <si>
    <t>Утеплювач для труб 22х6 2 м</t>
  </si>
  <si>
    <t>Хомут з прокладкою, ЛІОН, М8, D = 1 1/2" (47-53 мм)</t>
  </si>
  <si>
    <t>Хрестовина 110 мм</t>
  </si>
  <si>
    <t>Хрестовина двохплощинна 110 х110х50, 87° права фітинг</t>
  </si>
  <si>
    <t>Хромований металевий тримач для туалетного паперу</t>
  </si>
  <si>
    <t>Шланг водяний 1,2" ВВ 500мм</t>
  </si>
  <si>
    <t>EPH0370121  Вимикач двоклавішний, білий, Asfora, без рамки</t>
  </si>
  <si>
    <t>EPH0370121  Вимикач двоклавішний, білий, Schneider Electric, Legrand, Hager</t>
  </si>
  <si>
    <t xml:space="preserve">EPH5800121 Рамка 1-постова, </t>
  </si>
  <si>
    <t>EPH5800121 Рамка 1-постова, білий, Asfora</t>
  </si>
  <si>
    <t>Kopos 0220_KB — Муфта сполучна для труб Ø20 мм, ПВХ, сіра</t>
  </si>
  <si>
    <t>LED сввітильник вуличний 650мм</t>
  </si>
  <si>
    <t>сввітильник</t>
  </si>
  <si>
    <t>LED світильник LEBRON L-PRS-1265, 12W, накладний, 6500K, з блоком живлення</t>
  </si>
  <si>
    <t>MB002 Коробка монтажна типу MB PLANK Electrotechnic для порожніх  стін 65х45 (200 шт. уп)</t>
  </si>
  <si>
    <t>Авт.ввідний 380В 50А</t>
  </si>
  <si>
    <t>Авт.вим ВА47-29 1Р 16А 4,5к А х-ка С ІЕК</t>
  </si>
  <si>
    <t>Авт.вим ВА47-29 1Р 25А 4,5к А х-ка С ІЕК</t>
  </si>
  <si>
    <t>Авт.вим диф.струму АВДТ32 С16 30м А</t>
  </si>
  <si>
    <t>Автомат введення резерву 2P 230V 63A 1-но фазний</t>
  </si>
  <si>
    <t>Автоматичний вимикач Schneider Electric RESI9 50 А, 2P, крива С, 6кА (R9F12250)</t>
  </si>
  <si>
    <t>ВВГ нг 3*1,5</t>
  </si>
  <si>
    <t>ВВГ нг 3*2,5</t>
  </si>
  <si>
    <t>ВВГ нг 3*8 кабель</t>
  </si>
  <si>
    <t>ВВГ НГД круг 3х1,5 дріт</t>
  </si>
  <si>
    <t>ВВГ НГД круг 3х2,5 дріт</t>
  </si>
  <si>
    <t>ВВГнгд 3х1,5 м</t>
  </si>
  <si>
    <t>Вентилятор витяжний зі зворотним клапаном Продуктивність:94 м3/год</t>
  </si>
  <si>
    <t>Вентилятор Домовент 100 СВ з вимикачем</t>
  </si>
  <si>
    <t>Вентиляційна решітка зсіткою</t>
  </si>
  <si>
    <t>Виделка силова  220V біла для бойлера</t>
  </si>
  <si>
    <t xml:space="preserve">Виделка </t>
  </si>
  <si>
    <t>Вилка переносна 7023 32А 220В 2Р+Е IP44</t>
  </si>
  <si>
    <t>Вилка переносна 7023 32А 220В 2Р+Е IP64</t>
  </si>
  <si>
    <t>Вимикач 1-кл. Schneider Electric Asfora 10A Білий (EPH0100121)</t>
  </si>
  <si>
    <t>Вимикач двоклавішній зовнішній, 16A</t>
  </si>
  <si>
    <t>Диференційний автомат 1п+N 16А С тип А 10мА, E.NEXT</t>
  </si>
  <si>
    <t>Диференційний автомат 1п+N 32А С тип А 10мА, E.NEXT</t>
  </si>
  <si>
    <t>Електричний конвектор Потужність: не менше 2,0 кВт</t>
  </si>
  <si>
    <t>З'єднувач кабельний водонепроникний</t>
  </si>
  <si>
    <t xml:space="preserve">З'єднувач кабельний </t>
  </si>
  <si>
    <t>Зовнішня розподільча коробка зі ступенем захисту ІР65 на 2 автом</t>
  </si>
  <si>
    <t xml:space="preserve">Зовнішня розподільча коробка </t>
  </si>
  <si>
    <t>Ізоляційна стрічка 0,13мм  х 15мм х 20м, білий</t>
  </si>
  <si>
    <t xml:space="preserve">Ізоляційна стрічка </t>
  </si>
  <si>
    <t>Кабель ВВГнг 2х1,5</t>
  </si>
  <si>
    <t xml:space="preserve">Кабель </t>
  </si>
  <si>
    <t>Кабель ВВГнг 3х2,5</t>
  </si>
  <si>
    <t>Кабель заземлення одинаргий ПВ3 діаметр 6 мм</t>
  </si>
  <si>
    <t>метри</t>
  </si>
  <si>
    <t>Кабель заземлення одинаргий ПВ3 діаметр 8 мм</t>
  </si>
  <si>
    <t xml:space="preserve">Кабель канал 30*20 ПВХ пластик </t>
  </si>
  <si>
    <t>Канал вентеляційний 100 (1м)</t>
  </si>
  <si>
    <t>Клема швидкого монтажу WAGO 2273-203 ( 3 x 2.5 мм²  , 3 контакта</t>
  </si>
  <si>
    <t>Клема швидкого монтажу WAGO 2273-203 ( 3 x 2.5 мм²  5 контактів</t>
  </si>
  <si>
    <t>Кондиционер інверторний площа до 18 м2</t>
  </si>
  <si>
    <t>Лед.св.офісний_DELUX_LED PANEL 43 36W 6500K бел_(595*595) opal</t>
  </si>
  <si>
    <t>Металевий гофрарукав під електрику діам 18 мм</t>
  </si>
  <si>
    <t>Металевий гофрарукав</t>
  </si>
  <si>
    <t>Модульний автоматичний вимикач YCB6H-63 1Р 4,5кА тип С 10А</t>
  </si>
  <si>
    <t>Модульний автоматичний вимикач YCB6H-63 1Р 4,5кА тип С 16А</t>
  </si>
  <si>
    <t>Модульний автоматичний вимикач YCB6H-63 1Р 4,5кА тип С 25А</t>
  </si>
  <si>
    <t>Обігрівач керамічний TeploCeramik TC395</t>
  </si>
  <si>
    <t>Обігрівач керамічний TeploCeramik TC395  600х600х14 мм</t>
  </si>
  <si>
    <t>Обігрівач керамічний TeploCeramik TC400 (беж) 600х600х15</t>
  </si>
  <si>
    <t>ПВ-3 1х2.5 дріт (жовто-зелений "заземлення")</t>
  </si>
  <si>
    <t>ПВС 3*4,0 кабель</t>
  </si>
  <si>
    <t>Регулятор температури  для обігрівача 395 Вт</t>
  </si>
  <si>
    <t>РЕЛЕ НАПРУГИ ZUBR D63 НА DIN-РЕЙКУ</t>
  </si>
  <si>
    <t xml:space="preserve">РЕЛЕ НАПРУГИ </t>
  </si>
  <si>
    <t>Розгалужувач RJ45</t>
  </si>
  <si>
    <t>РОЗЕТКА  ПОДВІЙНА З З/К БІЛА ASFORA</t>
  </si>
  <si>
    <t>РОЗЕТКА  ПОДВІЙНА З З/К БІЛА P44 кришка</t>
  </si>
  <si>
    <t>Розетка 1 гніздо біла врізна з заземленням ІР 67</t>
  </si>
  <si>
    <t>Розетка 2 гнізда біла врізна з заземленням</t>
  </si>
  <si>
    <t>Розетка Schneider Electric Asfora із заземленням Біла (EPH2900121)</t>
  </si>
  <si>
    <t>Розетка з з/к з зах штр біла ASFORA IP44 кришка</t>
  </si>
  <si>
    <t>Розетка зовнішньої установки подвійна</t>
  </si>
  <si>
    <t>Розетка стаціонарна наружна 7123 32А 220В 2Р+Е IP44</t>
  </si>
  <si>
    <t>Розетка стаціонарна наружна 7123 32А 220В 2Р+Е IP64</t>
  </si>
  <si>
    <t>РОЗПОДІЛЬНА КОРОБКА 70Х70Х40(96шт)</t>
  </si>
  <si>
    <t>Розподільча коробка 100*100*45 (гіпсокартон)</t>
  </si>
  <si>
    <t>Світильник LED-SR-170-12 Вт 6400К круг. накл 170 мм</t>
  </si>
  <si>
    <t>Світильник внутрішній стельовий LED-10W</t>
  </si>
  <si>
    <t>Світильник внутрішній стельовий Ступінь захисту (IP): - 44 , цоколь: - Е27. З комплектом ламп світлодіодних 10-13Вт</t>
  </si>
  <si>
    <t>Світильник зовнішній LED-10W</t>
  </si>
  <si>
    <t>Світ-к стінний_MAGNUM_MIF 022 NEW 60W E27_чорний</t>
  </si>
  <si>
    <t xml:space="preserve">Світ-к стінний_MAGNUM_MIF 022 NEW 60W E27_чорний  з вимикачем </t>
  </si>
  <si>
    <t>Світлодіод.акс. _DELUX_Рамка накладного монтажу_до LED Panel 43 біла</t>
  </si>
  <si>
    <t>Світлодіод.лампа_DELUX_BL 60 15 Вт_6500K 220В E27</t>
  </si>
  <si>
    <t>Трійник IP40, що відкривається ø20 мм DKC 50620</t>
  </si>
  <si>
    <t>Труба ПВХ гнучка гофр д. 16 мм Light (220 H 5\см пог) з протяжкою, сірий колір</t>
  </si>
  <si>
    <t>Труба ПВХ гнучка гофр. д.18 мм, з протяжкою, сірий колір</t>
  </si>
  <si>
    <t>Труба ПВХ гнучка гофр. д.20мм, Light (220 Н 5/см пог.), з протяжкою, сірий колір</t>
  </si>
  <si>
    <t>Труба ПВХ жорстка гладка ø20 мм легка 3м сіра DKC 63920</t>
  </si>
  <si>
    <t>Устан коробка д/порож стін з з'єднувачем</t>
  </si>
  <si>
    <t>Шина N "нуль" на DIN -ізол ШНИ-6х9-10-Д-С ІЕК</t>
  </si>
  <si>
    <t>Шина нульова на ізоляторі на Din-рейку CD 6х9/10, блакитний</t>
  </si>
  <si>
    <t>Щит наружний під 6 авт. вимикача FAR</t>
  </si>
  <si>
    <t>Щит наружний під 9 авт. вимикача FAR</t>
  </si>
  <si>
    <t>Щиток з автоматами</t>
  </si>
  <si>
    <t>Щиток пластиковий зовнішній  320*420 на три дін рейки</t>
  </si>
  <si>
    <t>Щиток пластиковий зовнішній на 6 модулі, IP 40 TAKEL</t>
  </si>
  <si>
    <t>Щиток пластиковий зовнішній на 6 модулів, IP 40 TAKEL</t>
  </si>
  <si>
    <t>Щиток пластиковий зовнішній на 9 модулі</t>
  </si>
  <si>
    <t>Піна</t>
  </si>
  <si>
    <t>Шина нульова на ізоляторі</t>
  </si>
  <si>
    <t>Канал вентеляційний</t>
  </si>
  <si>
    <t>Підвіконня ПВХ</t>
  </si>
  <si>
    <t>Фітинги</t>
  </si>
  <si>
    <t>IRC 15 m2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</si>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</sst>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0.000"/>
    <numFmt numFmtId="167" formatCode="#,##0.00\ _₽;[Red]#,##0.00\ _₽"/>
    <numFmt numFmtId="168" formatCode="#,##0.000"/>
  </numFmts>
  <fonts count="7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8"/>
      <name val="Arial"/>
      <family val="2"/>
    </font>
    <font>
      <sz val="9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color theme="1"/>
      <name val="Cambria"/>
      <family val="1"/>
      <charset val="204"/>
    </font>
    <font>
      <b/>
      <sz val="12"/>
      <color rgb="FF000000"/>
      <name val="Cambria"/>
      <family val="1"/>
      <charset val="204"/>
    </font>
    <font>
      <b/>
      <sz val="14"/>
      <color rgb="FF000000"/>
      <name val="Cambria"/>
      <family val="1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 Light"/>
      <family val="2"/>
      <charset val="204"/>
      <scheme val="major"/>
    </font>
    <font>
      <sz val="10"/>
      <color indexed="8"/>
      <name val="Times New Roman"/>
      <family val="1"/>
      <charset val="204"/>
    </font>
    <font>
      <sz val="10"/>
      <color indexed="8"/>
      <name val="Calibri"/>
      <family val="2"/>
      <charset val="204"/>
    </font>
    <font>
      <sz val="11"/>
      <name val="Times New Roman"/>
      <family val="1"/>
      <charset val="204"/>
    </font>
    <font>
      <sz val="11"/>
      <name val="Calibri Light"/>
      <family val="2"/>
      <charset val="204"/>
      <scheme val="major"/>
    </font>
    <font>
      <b/>
      <sz val="1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 Light"/>
      <family val="2"/>
      <charset val="204"/>
      <scheme val="major"/>
    </font>
    <font>
      <b/>
      <sz val="14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b/>
      <sz val="15"/>
      <color theme="1"/>
      <name val="Calibri"/>
      <family val="2"/>
      <charset val="204"/>
      <scheme val="minor"/>
    </font>
    <font>
      <sz val="9"/>
      <color rgb="FF1F1F1F"/>
      <name val="Arial"/>
      <family val="2"/>
      <charset val="204"/>
    </font>
    <font>
      <sz val="12"/>
      <color rgb="FF1F1F1F"/>
      <name val="Arial"/>
      <family val="2"/>
      <charset val="204"/>
    </font>
    <font>
      <b/>
      <sz val="9"/>
      <color rgb="FF1F1F1F"/>
      <name val="Arial"/>
      <family val="2"/>
      <charset val="204"/>
    </font>
    <font>
      <b/>
      <sz val="15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sz val="10"/>
      <color rgb="FF1F1F1F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000000"/>
      <name val="Noto Sans Symbols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charset val="204"/>
      <scheme val="major"/>
    </font>
    <font>
      <sz val="11"/>
      <color theme="1"/>
      <name val="Calibri Light"/>
      <family val="2"/>
      <charset val="204"/>
      <scheme val="major"/>
    </font>
    <font>
      <sz val="12"/>
      <color rgb="FF000000"/>
      <name val="Noto Sans Symbols"/>
    </font>
    <font>
      <sz val="12"/>
      <color theme="1"/>
      <name val="Calibri"/>
      <family val="2"/>
      <scheme val="minor"/>
    </font>
    <font>
      <b/>
      <sz val="11"/>
      <color rgb="FF1F1F1F"/>
      <name val="Arial"/>
      <family val="2"/>
      <charset val="204"/>
    </font>
    <font>
      <b/>
      <sz val="12"/>
      <color rgb="FF1F1F1F"/>
      <name val="Arial"/>
      <family val="2"/>
      <charset val="204"/>
    </font>
    <font>
      <sz val="11"/>
      <color rgb="FF1F1F1F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mbria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color rgb="FFFFFFFF"/>
      <name val="Calibri"/>
      <family val="2"/>
      <charset val="204"/>
      <scheme val="minor"/>
    </font>
    <font>
      <sz val="10"/>
      <color rgb="FFFFFFFF"/>
      <name val="Calibri"/>
      <family val="2"/>
      <charset val="204"/>
      <scheme val="minor"/>
    </font>
    <font>
      <b/>
      <sz val="10"/>
      <color rgb="FF003366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574A0"/>
        <bgColor auto="1"/>
      </patternFill>
    </fill>
    <fill>
      <patternFill patternType="solid">
        <fgColor rgb="FFC6E2FF"/>
        <bgColor auto="1"/>
      </patternFill>
    </fill>
    <fill>
      <patternFill patternType="solid">
        <fgColor rgb="FF4A62B9"/>
        <bgColor auto="1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7">
    <xf numFmtId="0" fontId="0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3" fillId="0" borderId="0"/>
    <xf numFmtId="0" fontId="29" fillId="0" borderId="0"/>
    <xf numFmtId="0" fontId="29" fillId="0" borderId="0"/>
    <xf numFmtId="0" fontId="1" fillId="0" borderId="0"/>
    <xf numFmtId="9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3" fillId="0" borderId="0"/>
    <xf numFmtId="0" fontId="66" fillId="0" borderId="0"/>
    <xf numFmtId="0" fontId="71" fillId="0" borderId="0"/>
  </cellStyleXfs>
  <cellXfs count="379">
    <xf numFmtId="0" fontId="0" fillId="0" borderId="0" xfId="0"/>
    <xf numFmtId="49" fontId="6" fillId="3" borderId="3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top"/>
    </xf>
    <xf numFmtId="49" fontId="6" fillId="0" borderId="3" xfId="1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49" fontId="7" fillId="0" borderId="3" xfId="1" applyNumberFormat="1" applyFont="1" applyBorder="1" applyAlignment="1">
      <alignment horizontal="center" vertical="center" wrapText="1"/>
    </xf>
    <xf numFmtId="0" fontId="5" fillId="0" borderId="0" xfId="2"/>
    <xf numFmtId="3" fontId="13" fillId="10" borderId="20" xfId="2" applyNumberFormat="1" applyFont="1" applyFill="1" applyBorder="1" applyAlignment="1">
      <alignment horizontal="center" vertical="center"/>
    </xf>
    <xf numFmtId="0" fontId="13" fillId="10" borderId="21" xfId="2" applyFont="1" applyFill="1" applyBorder="1" applyAlignment="1">
      <alignment horizontal="center" vertical="center"/>
    </xf>
    <xf numFmtId="0" fontId="14" fillId="10" borderId="11" xfId="2" applyFont="1" applyFill="1" applyBorder="1" applyAlignment="1">
      <alignment horizontal="center" vertical="center"/>
    </xf>
    <xf numFmtId="0" fontId="15" fillId="7" borderId="2" xfId="2" applyFont="1" applyFill="1" applyBorder="1" applyAlignment="1">
      <alignment horizontal="center" vertical="center" wrapText="1"/>
    </xf>
    <xf numFmtId="3" fontId="9" fillId="11" borderId="23" xfId="2" applyNumberFormat="1" applyFont="1" applyFill="1" applyBorder="1" applyAlignment="1">
      <alignment horizontal="center" vertical="center"/>
    </xf>
    <xf numFmtId="3" fontId="9" fillId="11" borderId="24" xfId="2" applyNumberFormat="1" applyFont="1" applyFill="1" applyBorder="1" applyAlignment="1">
      <alignment horizontal="center" vertical="center"/>
    </xf>
    <xf numFmtId="3" fontId="9" fillId="11" borderId="25" xfId="2" applyNumberFormat="1" applyFont="1" applyFill="1" applyBorder="1" applyAlignment="1">
      <alignment horizontal="center" vertical="center"/>
    </xf>
    <xf numFmtId="3" fontId="9" fillId="11" borderId="26" xfId="2" applyNumberFormat="1" applyFont="1" applyFill="1" applyBorder="1" applyAlignment="1">
      <alignment horizontal="center" vertical="center" wrapText="1"/>
    </xf>
    <xf numFmtId="3" fontId="16" fillId="12" borderId="14" xfId="2" applyNumberFormat="1" applyFont="1" applyFill="1" applyBorder="1" applyAlignment="1">
      <alignment horizontal="center" vertical="center"/>
    </xf>
    <xf numFmtId="3" fontId="16" fillId="12" borderId="27" xfId="2" applyNumberFormat="1" applyFont="1" applyFill="1" applyBorder="1" applyAlignment="1">
      <alignment horizontal="center" vertical="center"/>
    </xf>
    <xf numFmtId="3" fontId="16" fillId="12" borderId="15" xfId="2" applyNumberFormat="1" applyFont="1" applyFill="1" applyBorder="1" applyAlignment="1">
      <alignment horizontal="center" vertical="center"/>
    </xf>
    <xf numFmtId="3" fontId="16" fillId="12" borderId="28" xfId="2" applyNumberFormat="1" applyFont="1" applyFill="1" applyBorder="1" applyAlignment="1">
      <alignment horizontal="center" vertical="center" wrapText="1"/>
    </xf>
    <xf numFmtId="3" fontId="12" fillId="0" borderId="14" xfId="2" applyNumberFormat="1" applyFont="1" applyBorder="1" applyAlignment="1">
      <alignment horizontal="center" vertical="center"/>
    </xf>
    <xf numFmtId="3" fontId="12" fillId="0" borderId="16" xfId="2" applyNumberFormat="1" applyFont="1" applyBorder="1" applyAlignment="1">
      <alignment horizontal="center" vertical="center"/>
    </xf>
    <xf numFmtId="3" fontId="12" fillId="0" borderId="15" xfId="2" applyNumberFormat="1" applyFont="1" applyBorder="1" applyAlignment="1">
      <alignment horizontal="center" vertical="center"/>
    </xf>
    <xf numFmtId="9" fontId="12" fillId="0" borderId="28" xfId="2" applyNumberFormat="1" applyFont="1" applyBorder="1" applyAlignment="1">
      <alignment horizontal="center" vertical="center" wrapText="1"/>
    </xf>
    <xf numFmtId="3" fontId="17" fillId="0" borderId="15" xfId="2" applyNumberFormat="1" applyFont="1" applyBorder="1" applyAlignment="1">
      <alignment horizontal="center" vertical="center"/>
    </xf>
    <xf numFmtId="3" fontId="17" fillId="0" borderId="28" xfId="2" applyNumberFormat="1" applyFont="1" applyBorder="1" applyAlignment="1">
      <alignment horizontal="center" vertical="center" wrapText="1"/>
    </xf>
    <xf numFmtId="4" fontId="5" fillId="0" borderId="0" xfId="2" applyNumberFormat="1"/>
    <xf numFmtId="3" fontId="12" fillId="0" borderId="30" xfId="2" applyNumberFormat="1" applyFont="1" applyBorder="1" applyAlignment="1">
      <alignment horizontal="center" vertical="center"/>
    </xf>
    <xf numFmtId="3" fontId="12" fillId="0" borderId="31" xfId="2" applyNumberFormat="1" applyFont="1" applyBorder="1" applyAlignment="1">
      <alignment horizontal="center" vertical="center"/>
    </xf>
    <xf numFmtId="3" fontId="17" fillId="0" borderId="32" xfId="2" applyNumberFormat="1" applyFont="1" applyBorder="1" applyAlignment="1">
      <alignment horizontal="center" vertical="center"/>
    </xf>
    <xf numFmtId="3" fontId="17" fillId="0" borderId="31" xfId="2" applyNumberFormat="1" applyFont="1" applyBorder="1" applyAlignment="1">
      <alignment horizontal="center" vertical="center" wrapText="1"/>
    </xf>
    <xf numFmtId="3" fontId="9" fillId="11" borderId="33" xfId="2" applyNumberFormat="1" applyFont="1" applyFill="1" applyBorder="1" applyAlignment="1">
      <alignment horizontal="center" vertical="center"/>
    </xf>
    <xf numFmtId="3" fontId="9" fillId="11" borderId="34" xfId="2" applyNumberFormat="1" applyFont="1" applyFill="1" applyBorder="1" applyAlignment="1">
      <alignment horizontal="center" vertical="center"/>
    </xf>
    <xf numFmtId="3" fontId="9" fillId="11" borderId="35" xfId="2" applyNumberFormat="1" applyFont="1" applyFill="1" applyBorder="1" applyAlignment="1">
      <alignment horizontal="center" vertical="center"/>
    </xf>
    <xf numFmtId="3" fontId="9" fillId="11" borderId="36" xfId="2" applyNumberFormat="1" applyFont="1" applyFill="1" applyBorder="1" applyAlignment="1">
      <alignment horizontal="center" vertical="center" wrapText="1"/>
    </xf>
    <xf numFmtId="0" fontId="18" fillId="12" borderId="28" xfId="2" applyFont="1" applyFill="1" applyBorder="1" applyAlignment="1">
      <alignment wrapText="1"/>
    </xf>
    <xf numFmtId="3" fontId="16" fillId="13" borderId="14" xfId="2" applyNumberFormat="1" applyFont="1" applyFill="1" applyBorder="1" applyAlignment="1">
      <alignment horizontal="center" vertical="center"/>
    </xf>
    <xf numFmtId="3" fontId="16" fillId="13" borderId="27" xfId="2" applyNumberFormat="1" applyFont="1" applyFill="1" applyBorder="1" applyAlignment="1">
      <alignment horizontal="center" vertical="center"/>
    </xf>
    <xf numFmtId="3" fontId="16" fillId="13" borderId="15" xfId="2" applyNumberFormat="1" applyFont="1" applyFill="1" applyBorder="1" applyAlignment="1">
      <alignment horizontal="center" vertical="center"/>
    </xf>
    <xf numFmtId="3" fontId="19" fillId="13" borderId="28" xfId="2" applyNumberFormat="1" applyFont="1" applyFill="1" applyBorder="1" applyAlignment="1">
      <alignment horizontal="center" vertical="center" wrapText="1"/>
    </xf>
    <xf numFmtId="3" fontId="16" fillId="2" borderId="14" xfId="2" applyNumberFormat="1" applyFont="1" applyFill="1" applyBorder="1" applyAlignment="1">
      <alignment horizontal="center" vertical="center"/>
    </xf>
    <xf numFmtId="3" fontId="16" fillId="2" borderId="27" xfId="2" applyNumberFormat="1" applyFont="1" applyFill="1" applyBorder="1" applyAlignment="1">
      <alignment horizontal="center" vertical="center"/>
    </xf>
    <xf numFmtId="3" fontId="16" fillId="2" borderId="15" xfId="2" applyNumberFormat="1" applyFont="1" applyFill="1" applyBorder="1" applyAlignment="1">
      <alignment horizontal="center" vertical="center"/>
    </xf>
    <xf numFmtId="3" fontId="17" fillId="2" borderId="28" xfId="2" applyNumberFormat="1" applyFont="1" applyFill="1" applyBorder="1" applyAlignment="1">
      <alignment horizontal="center" vertical="center" wrapText="1"/>
    </xf>
    <xf numFmtId="3" fontId="20" fillId="0" borderId="28" xfId="2" applyNumberFormat="1" applyFont="1" applyBorder="1" applyAlignment="1">
      <alignment horizontal="center" vertical="center" wrapText="1"/>
    </xf>
    <xf numFmtId="3" fontId="21" fillId="0" borderId="28" xfId="2" applyNumberFormat="1" applyFont="1" applyBorder="1" applyAlignment="1">
      <alignment horizontal="center" vertical="center" wrapText="1"/>
    </xf>
    <xf numFmtId="3" fontId="17" fillId="4" borderId="28" xfId="2" applyNumberFormat="1" applyFont="1" applyFill="1" applyBorder="1" applyAlignment="1">
      <alignment horizontal="center" vertical="center" wrapText="1"/>
    </xf>
    <xf numFmtId="9" fontId="17" fillId="0" borderId="28" xfId="2" applyNumberFormat="1" applyFont="1" applyBorder="1" applyAlignment="1">
      <alignment horizontal="center" vertical="center" wrapText="1"/>
    </xf>
    <xf numFmtId="0" fontId="22" fillId="0" borderId="0" xfId="2" applyFont="1" applyAlignment="1">
      <alignment horizontal="left" vertical="center"/>
    </xf>
    <xf numFmtId="3" fontId="17" fillId="0" borderId="28" xfId="2" applyNumberFormat="1" applyFont="1" applyBorder="1" applyAlignment="1">
      <alignment horizontal="center" vertical="center"/>
    </xf>
    <xf numFmtId="3" fontId="23" fillId="13" borderId="14" xfId="2" applyNumberFormat="1" applyFont="1" applyFill="1" applyBorder="1" applyAlignment="1">
      <alignment horizontal="center" vertical="center"/>
    </xf>
    <xf numFmtId="3" fontId="23" fillId="13" borderId="27" xfId="2" applyNumberFormat="1" applyFont="1" applyFill="1" applyBorder="1" applyAlignment="1">
      <alignment horizontal="center" vertical="center"/>
    </xf>
    <xf numFmtId="3" fontId="23" fillId="13" borderId="15" xfId="2" applyNumberFormat="1" applyFont="1" applyFill="1" applyBorder="1" applyAlignment="1">
      <alignment horizontal="center" vertical="center"/>
    </xf>
    <xf numFmtId="4" fontId="24" fillId="13" borderId="28" xfId="2" applyNumberFormat="1" applyFont="1" applyFill="1" applyBorder="1" applyAlignment="1">
      <alignment horizontal="center" vertical="center"/>
    </xf>
    <xf numFmtId="3" fontId="25" fillId="2" borderId="14" xfId="2" applyNumberFormat="1" applyFont="1" applyFill="1" applyBorder="1" applyAlignment="1">
      <alignment horizontal="center" vertical="center"/>
    </xf>
    <xf numFmtId="3" fontId="25" fillId="2" borderId="27" xfId="2" applyNumberFormat="1" applyFont="1" applyFill="1" applyBorder="1" applyAlignment="1">
      <alignment horizontal="center" vertical="center"/>
    </xf>
    <xf numFmtId="3" fontId="25" fillId="2" borderId="15" xfId="2" applyNumberFormat="1" applyFont="1" applyFill="1" applyBorder="1" applyAlignment="1">
      <alignment horizontal="center" vertical="center"/>
    </xf>
    <xf numFmtId="4" fontId="26" fillId="2" borderId="28" xfId="2" applyNumberFormat="1" applyFont="1" applyFill="1" applyBorder="1" applyAlignment="1">
      <alignment horizontal="center" vertical="center"/>
    </xf>
    <xf numFmtId="3" fontId="20" fillId="0" borderId="15" xfId="2" applyNumberFormat="1" applyFont="1" applyBorder="1" applyAlignment="1">
      <alignment horizontal="center" vertical="center"/>
    </xf>
    <xf numFmtId="3" fontId="20" fillId="0" borderId="28" xfId="2" applyNumberFormat="1" applyFont="1" applyBorder="1" applyAlignment="1">
      <alignment horizontal="center" vertical="center"/>
    </xf>
    <xf numFmtId="3" fontId="20" fillId="4" borderId="15" xfId="2" applyNumberFormat="1" applyFont="1" applyFill="1" applyBorder="1" applyAlignment="1">
      <alignment horizontal="center" vertical="center"/>
    </xf>
    <xf numFmtId="3" fontId="20" fillId="4" borderId="28" xfId="2" applyNumberFormat="1" applyFont="1" applyFill="1" applyBorder="1" applyAlignment="1">
      <alignment horizontal="center" vertical="center"/>
    </xf>
    <xf numFmtId="3" fontId="2" fillId="13" borderId="14" xfId="2" applyNumberFormat="1" applyFont="1" applyFill="1" applyBorder="1" applyAlignment="1">
      <alignment horizontal="center" vertical="center"/>
    </xf>
    <xf numFmtId="3" fontId="2" fillId="13" borderId="27" xfId="2" applyNumberFormat="1" applyFont="1" applyFill="1" applyBorder="1" applyAlignment="1">
      <alignment horizontal="center" vertical="center"/>
    </xf>
    <xf numFmtId="3" fontId="2" fillId="13" borderId="15" xfId="2" applyNumberFormat="1" applyFont="1" applyFill="1" applyBorder="1" applyAlignment="1">
      <alignment horizontal="center" vertical="center"/>
    </xf>
    <xf numFmtId="3" fontId="2" fillId="13" borderId="28" xfId="2" applyNumberFormat="1" applyFont="1" applyFill="1" applyBorder="1" applyAlignment="1">
      <alignment horizontal="center" vertical="center" wrapText="1"/>
    </xf>
    <xf numFmtId="0" fontId="17" fillId="0" borderId="28" xfId="2" applyFont="1" applyBorder="1" applyAlignment="1">
      <alignment horizontal="center" vertical="center" wrapText="1"/>
    </xf>
    <xf numFmtId="0" fontId="27" fillId="2" borderId="28" xfId="2" applyFont="1" applyFill="1" applyBorder="1"/>
    <xf numFmtId="0" fontId="5" fillId="0" borderId="28" xfId="2" applyBorder="1"/>
    <xf numFmtId="9" fontId="12" fillId="14" borderId="28" xfId="2" applyNumberFormat="1" applyFont="1" applyFill="1" applyBorder="1" applyAlignment="1">
      <alignment horizontal="center" vertical="center" wrapText="1"/>
    </xf>
    <xf numFmtId="3" fontId="16" fillId="2" borderId="28" xfId="2" applyNumberFormat="1" applyFont="1" applyFill="1" applyBorder="1" applyAlignment="1">
      <alignment horizontal="center" vertical="center"/>
    </xf>
    <xf numFmtId="3" fontId="12" fillId="14" borderId="15" xfId="2" applyNumberFormat="1" applyFont="1" applyFill="1" applyBorder="1" applyAlignment="1">
      <alignment horizontal="center" vertical="center"/>
    </xf>
    <xf numFmtId="3" fontId="2" fillId="12" borderId="14" xfId="2" applyNumberFormat="1" applyFont="1" applyFill="1" applyBorder="1" applyAlignment="1">
      <alignment horizontal="center" vertical="center"/>
    </xf>
    <xf numFmtId="3" fontId="2" fillId="12" borderId="27" xfId="2" applyNumberFormat="1" applyFont="1" applyFill="1" applyBorder="1" applyAlignment="1">
      <alignment horizontal="center" vertical="center"/>
    </xf>
    <xf numFmtId="3" fontId="2" fillId="12" borderId="15" xfId="2" applyNumberFormat="1" applyFont="1" applyFill="1" applyBorder="1" applyAlignment="1">
      <alignment horizontal="center" vertical="center"/>
    </xf>
    <xf numFmtId="3" fontId="2" fillId="12" borderId="28" xfId="2" applyNumberFormat="1" applyFont="1" applyFill="1" applyBorder="1" applyAlignment="1">
      <alignment horizontal="center" vertical="center" wrapText="1"/>
    </xf>
    <xf numFmtId="3" fontId="17" fillId="2" borderId="14" xfId="2" applyNumberFormat="1" applyFont="1" applyFill="1" applyBorder="1" applyAlignment="1">
      <alignment horizontal="center" vertical="center" wrapText="1"/>
    </xf>
    <xf numFmtId="3" fontId="17" fillId="2" borderId="27" xfId="2" applyNumberFormat="1" applyFont="1" applyFill="1" applyBorder="1" applyAlignment="1">
      <alignment horizontal="center" vertical="center" wrapText="1"/>
    </xf>
    <xf numFmtId="3" fontId="17" fillId="2" borderId="15" xfId="2" applyNumberFormat="1" applyFont="1" applyFill="1" applyBorder="1" applyAlignment="1">
      <alignment horizontal="center" vertical="center" wrapText="1"/>
    </xf>
    <xf numFmtId="49" fontId="17" fillId="0" borderId="28" xfId="2" applyNumberFormat="1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3" fontId="28" fillId="4" borderId="28" xfId="2" applyNumberFormat="1" applyFont="1" applyFill="1" applyBorder="1" applyAlignment="1">
      <alignment horizontal="center" vertical="center" wrapText="1"/>
    </xf>
    <xf numFmtId="3" fontId="5" fillId="0" borderId="0" xfId="2" applyNumberFormat="1"/>
    <xf numFmtId="0" fontId="16" fillId="11" borderId="22" xfId="8" applyFont="1" applyFill="1" applyBorder="1" applyAlignment="1">
      <alignment horizontal="center" vertical="center"/>
    </xf>
    <xf numFmtId="0" fontId="29" fillId="0" borderId="39" xfId="9" applyBorder="1" applyAlignment="1">
      <alignment vertical="top" wrapText="1" indent="4"/>
    </xf>
    <xf numFmtId="0" fontId="17" fillId="0" borderId="40" xfId="8" applyFont="1" applyBorder="1" applyAlignment="1">
      <alignment horizontal="center" vertical="center" wrapText="1"/>
    </xf>
    <xf numFmtId="0" fontId="16" fillId="11" borderId="41" xfId="8" applyFont="1" applyFill="1" applyBorder="1" applyAlignment="1">
      <alignment horizontal="center" vertical="center"/>
    </xf>
    <xf numFmtId="0" fontId="16" fillId="12" borderId="40" xfId="8" applyFont="1" applyFill="1" applyBorder="1" applyAlignment="1">
      <alignment horizontal="center" vertical="center"/>
    </xf>
    <xf numFmtId="0" fontId="16" fillId="13" borderId="40" xfId="8" applyFont="1" applyFill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/>
    </xf>
    <xf numFmtId="0" fontId="17" fillId="0" borderId="40" xfId="8" applyFont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 wrapText="1"/>
    </xf>
    <xf numFmtId="0" fontId="20" fillId="4" borderId="40" xfId="8" applyFont="1" applyFill="1" applyBorder="1" applyAlignment="1">
      <alignment horizontal="center" vertical="center" wrapText="1"/>
    </xf>
    <xf numFmtId="0" fontId="17" fillId="4" borderId="40" xfId="8" applyFont="1" applyFill="1" applyBorder="1" applyAlignment="1">
      <alignment horizontal="center" vertical="center"/>
    </xf>
    <xf numFmtId="0" fontId="25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/>
    </xf>
    <xf numFmtId="0" fontId="20" fillId="4" borderId="40" xfId="8" applyFont="1" applyFill="1" applyBorder="1" applyAlignment="1">
      <alignment horizontal="center" vertical="center"/>
    </xf>
    <xf numFmtId="0" fontId="17" fillId="4" borderId="40" xfId="8" applyFont="1" applyFill="1" applyBorder="1" applyAlignment="1">
      <alignment horizontal="center" vertical="center" wrapText="1"/>
    </xf>
    <xf numFmtId="0" fontId="17" fillId="0" borderId="37" xfId="8" applyFont="1" applyBorder="1" applyAlignment="1">
      <alignment horizontal="center" vertical="center"/>
    </xf>
    <xf numFmtId="0" fontId="16" fillId="2" borderId="37" xfId="8" applyFont="1" applyFill="1" applyBorder="1" applyAlignment="1">
      <alignment horizontal="center" vertical="center"/>
    </xf>
    <xf numFmtId="0" fontId="17" fillId="0" borderId="29" xfId="8" applyFont="1" applyBorder="1" applyAlignment="1">
      <alignment horizontal="center" vertical="center"/>
    </xf>
    <xf numFmtId="0" fontId="2" fillId="15" borderId="38" xfId="8" applyFont="1" applyFill="1" applyBorder="1" applyAlignment="1">
      <alignment horizontal="center" vertical="center"/>
    </xf>
    <xf numFmtId="3" fontId="12" fillId="0" borderId="42" xfId="2" applyNumberFormat="1" applyFont="1" applyBorder="1" applyAlignment="1">
      <alignment horizontal="center" vertical="center"/>
    </xf>
    <xf numFmtId="49" fontId="6" fillId="3" borderId="43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16" borderId="44" xfId="0" applyFont="1" applyFill="1" applyBorder="1"/>
    <xf numFmtId="0" fontId="2" fillId="16" borderId="0" xfId="0" applyFont="1" applyFill="1"/>
    <xf numFmtId="4" fontId="0" fillId="0" borderId="0" xfId="0" applyNumberFormat="1"/>
    <xf numFmtId="4" fontId="2" fillId="16" borderId="45" xfId="0" applyNumberFormat="1" applyFont="1" applyFill="1" applyBorder="1"/>
    <xf numFmtId="165" fontId="0" fillId="0" borderId="0" xfId="0" applyNumberFormat="1"/>
    <xf numFmtId="49" fontId="7" fillId="0" borderId="43" xfId="1" applyNumberFormat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vertical="center" wrapText="1"/>
    </xf>
    <xf numFmtId="4" fontId="6" fillId="0" borderId="3" xfId="1" applyNumberFormat="1" applyFont="1" applyBorder="1" applyAlignment="1">
      <alignment horizontal="center" vertical="center" wrapText="1"/>
    </xf>
    <xf numFmtId="4" fontId="6" fillId="0" borderId="3" xfId="1" applyNumberFormat="1" applyFont="1" applyBorder="1" applyAlignment="1">
      <alignment vertical="center" wrapText="1"/>
    </xf>
    <xf numFmtId="4" fontId="8" fillId="0" borderId="3" xfId="1" applyNumberFormat="1" applyFont="1" applyBorder="1" applyAlignment="1">
      <alignment vertical="top"/>
    </xf>
    <xf numFmtId="4" fontId="6" fillId="17" borderId="3" xfId="1" applyNumberFormat="1" applyFont="1" applyFill="1" applyBorder="1" applyAlignment="1">
      <alignment horizontal="center" vertical="center" wrapText="1"/>
    </xf>
    <xf numFmtId="4" fontId="7" fillId="17" borderId="3" xfId="1" applyNumberFormat="1" applyFont="1" applyFill="1" applyBorder="1" applyAlignment="1">
      <alignment horizontal="center" vertical="center" wrapText="1"/>
    </xf>
    <xf numFmtId="4" fontId="7" fillId="0" borderId="3" xfId="1" applyNumberFormat="1" applyFont="1" applyBorder="1" applyAlignment="1">
      <alignment vertical="center" wrapText="1"/>
    </xf>
    <xf numFmtId="4" fontId="7" fillId="0" borderId="17" xfId="1" applyNumberFormat="1" applyFont="1" applyBorder="1" applyAlignment="1">
      <alignment vertical="center" wrapText="1"/>
    </xf>
    <xf numFmtId="4" fontId="7" fillId="0" borderId="3" xfId="1" applyNumberFormat="1" applyFont="1" applyBorder="1" applyAlignment="1">
      <alignment horizontal="center" vertical="center" wrapText="1"/>
    </xf>
    <xf numFmtId="4" fontId="4" fillId="3" borderId="3" xfId="1" applyNumberFormat="1" applyFont="1" applyFill="1" applyBorder="1" applyAlignment="1">
      <alignment horizontal="center" vertical="center" wrapText="1"/>
    </xf>
    <xf numFmtId="4" fontId="6" fillId="0" borderId="43" xfId="1" applyNumberFormat="1" applyFont="1" applyBorder="1" applyAlignment="1">
      <alignment horizontal="center" vertical="center" wrapText="1"/>
    </xf>
    <xf numFmtId="4" fontId="7" fillId="17" borderId="43" xfId="1" applyNumberFormat="1" applyFont="1" applyFill="1" applyBorder="1" applyAlignment="1">
      <alignment horizontal="center" vertical="center" wrapText="1"/>
    </xf>
    <xf numFmtId="4" fontId="7" fillId="0" borderId="43" xfId="1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4" fontId="30" fillId="0" borderId="2" xfId="0" applyNumberFormat="1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4" fontId="30" fillId="0" borderId="46" xfId="0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4" fontId="32" fillId="18" borderId="46" xfId="0" applyNumberFormat="1" applyFont="1" applyFill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4" fontId="32" fillId="19" borderId="46" xfId="0" applyNumberFormat="1" applyFont="1" applyFill="1" applyBorder="1" applyAlignment="1">
      <alignment horizontal="center" vertical="center"/>
    </xf>
    <xf numFmtId="0" fontId="34" fillId="18" borderId="46" xfId="0" applyFont="1" applyFill="1" applyBorder="1" applyAlignment="1">
      <alignment horizontal="center" vertical="center"/>
    </xf>
    <xf numFmtId="9" fontId="30" fillId="0" borderId="46" xfId="11" applyFont="1" applyBorder="1" applyAlignment="1">
      <alignment horizontal="center" vertical="center"/>
    </xf>
    <xf numFmtId="49" fontId="6" fillId="0" borderId="43" xfId="1" applyNumberFormat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 wrapText="1"/>
    </xf>
    <xf numFmtId="4" fontId="7" fillId="0" borderId="43" xfId="1" applyNumberFormat="1" applyFont="1" applyBorder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3" borderId="4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35" fillId="2" borderId="3" xfId="1" applyFont="1" applyFill="1" applyBorder="1" applyAlignment="1">
      <alignment horizontal="center" vertical="center" wrapText="1"/>
    </xf>
    <xf numFmtId="2" fontId="35" fillId="2" borderId="3" xfId="1" applyNumberFormat="1" applyFont="1" applyFill="1" applyBorder="1" applyAlignment="1">
      <alignment horizontal="center" vertical="center" wrapText="1"/>
    </xf>
    <xf numFmtId="2" fontId="35" fillId="2" borderId="43" xfId="1" applyNumberFormat="1" applyFont="1" applyFill="1" applyBorder="1" applyAlignment="1">
      <alignment horizontal="center" vertical="center" wrapText="1"/>
    </xf>
    <xf numFmtId="4" fontId="35" fillId="2" borderId="3" xfId="1" applyNumberFormat="1" applyFont="1" applyFill="1" applyBorder="1" applyAlignment="1">
      <alignment horizontal="center" vertical="center" wrapText="1"/>
    </xf>
    <xf numFmtId="4" fontId="35" fillId="2" borderId="3" xfId="3" applyNumberFormat="1" applyFont="1" applyFill="1" applyBorder="1" applyAlignment="1">
      <alignment horizontal="center" vertical="center" wrapText="1"/>
    </xf>
    <xf numFmtId="0" fontId="36" fillId="0" borderId="0" xfId="0" applyFont="1"/>
    <xf numFmtId="4" fontId="7" fillId="3" borderId="3" xfId="1" applyNumberFormat="1" applyFont="1" applyFill="1" applyBorder="1" applyAlignment="1">
      <alignment horizontal="left" wrapText="1"/>
    </xf>
    <xf numFmtId="4" fontId="7" fillId="0" borderId="3" xfId="1" applyNumberFormat="1" applyFont="1" applyBorder="1" applyAlignment="1">
      <alignment horizontal="left" wrapText="1"/>
    </xf>
    <xf numFmtId="0" fontId="37" fillId="0" borderId="40" xfId="8" applyFont="1" applyBorder="1" applyAlignment="1">
      <alignment horizontal="center" vertical="center"/>
    </xf>
    <xf numFmtId="0" fontId="38" fillId="12" borderId="17" xfId="10" applyFont="1" applyFill="1" applyBorder="1" applyAlignment="1">
      <alignment horizontal="left" vertical="center" wrapText="1"/>
    </xf>
    <xf numFmtId="4" fontId="7" fillId="4" borderId="3" xfId="4" applyNumberFormat="1" applyFont="1" applyFill="1" applyBorder="1" applyAlignment="1">
      <alignment horizontal="center" vertical="center"/>
    </xf>
    <xf numFmtId="0" fontId="7" fillId="0" borderId="33" xfId="10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center"/>
    </xf>
    <xf numFmtId="0" fontId="11" fillId="0" borderId="43" xfId="6" applyBorder="1"/>
    <xf numFmtId="0" fontId="7" fillId="0" borderId="43" xfId="10" applyFont="1" applyBorder="1" applyAlignment="1">
      <alignment horizontal="left" vertical="center" wrapText="1"/>
    </xf>
    <xf numFmtId="0" fontId="7" fillId="4" borderId="43" xfId="10" applyFont="1" applyFill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 vertical="center" wrapText="1"/>
    </xf>
    <xf numFmtId="49" fontId="8" fillId="3" borderId="3" xfId="1" applyNumberFormat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/>
    </xf>
    <xf numFmtId="4" fontId="8" fillId="3" borderId="3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" fontId="7" fillId="0" borderId="43" xfId="1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/>
    </xf>
    <xf numFmtId="0" fontId="38" fillId="0" borderId="17" xfId="10" applyFont="1" applyBorder="1" applyAlignment="1">
      <alignment horizontal="left" vertical="center" wrapText="1"/>
    </xf>
    <xf numFmtId="0" fontId="36" fillId="0" borderId="43" xfId="0" applyFont="1" applyBorder="1" applyAlignment="1">
      <alignment horizontal="center"/>
    </xf>
    <xf numFmtId="0" fontId="7" fillId="0" borderId="17" xfId="10" applyFont="1" applyBorder="1" applyAlignment="1">
      <alignment horizontal="left" vertical="center" wrapText="1"/>
    </xf>
    <xf numFmtId="4" fontId="7" fillId="4" borderId="43" xfId="4" applyNumberFormat="1" applyFont="1" applyFill="1" applyBorder="1" applyAlignment="1">
      <alignment horizontal="center" vertical="center"/>
    </xf>
    <xf numFmtId="0" fontId="36" fillId="0" borderId="40" xfId="8" applyFont="1" applyBorder="1" applyAlignment="1">
      <alignment horizontal="center" vertical="center"/>
    </xf>
    <xf numFmtId="0" fontId="37" fillId="4" borderId="40" xfId="8" applyFont="1" applyFill="1" applyBorder="1" applyAlignment="1">
      <alignment horizontal="center" vertical="center"/>
    </xf>
    <xf numFmtId="0" fontId="37" fillId="0" borderId="40" xfId="8" applyFont="1" applyBorder="1" applyAlignment="1">
      <alignment horizontal="center" vertical="center" wrapText="1"/>
    </xf>
    <xf numFmtId="0" fontId="38" fillId="0" borderId="43" xfId="10" applyFont="1" applyBorder="1" applyAlignment="1">
      <alignment horizontal="center" vertical="center" wrapText="1"/>
    </xf>
    <xf numFmtId="0" fontId="39" fillId="0" borderId="0" xfId="1" applyFont="1" applyAlignment="1">
      <alignment vertical="top"/>
    </xf>
    <xf numFmtId="0" fontId="38" fillId="0" borderId="0" xfId="10" applyFont="1" applyAlignment="1">
      <alignment horizontal="left" vertical="center" wrapText="1"/>
    </xf>
    <xf numFmtId="4" fontId="38" fillId="0" borderId="0" xfId="10" applyNumberFormat="1" applyFont="1" applyAlignment="1">
      <alignment horizontal="center" vertical="center" wrapText="1"/>
    </xf>
    <xf numFmtId="4" fontId="39" fillId="0" borderId="0" xfId="1" applyNumberFormat="1" applyFont="1" applyAlignment="1">
      <alignment vertical="top"/>
    </xf>
    <xf numFmtId="4" fontId="38" fillId="0" borderId="0" xfId="10" applyNumberFormat="1" applyFont="1" applyAlignment="1">
      <alignment horizontal="center" wrapText="1"/>
    </xf>
    <xf numFmtId="4" fontId="36" fillId="0" borderId="0" xfId="0" applyNumberFormat="1" applyFont="1"/>
    <xf numFmtId="0" fontId="8" fillId="5" borderId="5" xfId="7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horizontal="center" vertical="center" wrapText="1"/>
    </xf>
    <xf numFmtId="49" fontId="6" fillId="6" borderId="1" xfId="7" applyNumberFormat="1" applyFont="1" applyFill="1" applyBorder="1" applyAlignment="1">
      <alignment horizontal="center" vertical="center"/>
    </xf>
    <xf numFmtId="0" fontId="6" fillId="7" borderId="7" xfId="7" applyFont="1" applyFill="1" applyBorder="1" applyAlignment="1">
      <alignment horizontal="center" vertical="center"/>
    </xf>
    <xf numFmtId="4" fontId="6" fillId="6" borderId="8" xfId="7" applyNumberFormat="1" applyFont="1" applyFill="1" applyBorder="1" applyAlignment="1">
      <alignment horizontal="center" vertical="center"/>
    </xf>
    <xf numFmtId="4" fontId="6" fillId="6" borderId="9" xfId="7" applyNumberFormat="1" applyFont="1" applyFill="1" applyBorder="1" applyAlignment="1">
      <alignment horizontal="center" vertical="center" wrapText="1"/>
    </xf>
    <xf numFmtId="1" fontId="6" fillId="8" borderId="10" xfId="7" applyNumberFormat="1" applyFont="1" applyFill="1" applyBorder="1" applyAlignment="1">
      <alignment horizontal="center" vertical="center" wrapText="1"/>
    </xf>
    <xf numFmtId="1" fontId="6" fillId="8" borderId="11" xfId="7" applyNumberFormat="1" applyFont="1" applyFill="1" applyBorder="1" applyAlignment="1">
      <alignment horizontal="center" vertical="center" wrapText="1"/>
    </xf>
    <xf numFmtId="4" fontId="6" fillId="8" borderId="12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vertical="center" wrapText="1"/>
    </xf>
    <xf numFmtId="4" fontId="6" fillId="8" borderId="13" xfId="7" applyNumberFormat="1" applyFont="1" applyFill="1" applyBorder="1" applyAlignment="1">
      <alignment horizontal="right" vertical="center" wrapText="1"/>
    </xf>
    <xf numFmtId="0" fontId="40" fillId="0" borderId="15" xfId="7" applyFont="1" applyBorder="1" applyAlignment="1">
      <alignment horizontal="center" vertical="center"/>
    </xf>
    <xf numFmtId="49" fontId="7" fillId="0" borderId="14" xfId="7" applyNumberFormat="1" applyFont="1" applyBorder="1" applyAlignment="1">
      <alignment vertical="center"/>
    </xf>
    <xf numFmtId="4" fontId="40" fillId="0" borderId="15" xfId="7" applyNumberFormat="1" applyFont="1" applyBorder="1" applyAlignment="1">
      <alignment horizontal="center" vertical="center"/>
    </xf>
    <xf numFmtId="4" fontId="7" fillId="0" borderId="16" xfId="7" applyNumberFormat="1" applyFont="1" applyBorder="1" applyAlignment="1">
      <alignment horizontal="center" vertical="center"/>
    </xf>
    <xf numFmtId="4" fontId="7" fillId="17" borderId="17" xfId="7" applyNumberFormat="1" applyFont="1" applyFill="1" applyBorder="1" applyAlignment="1">
      <alignment horizontal="center" vertical="center"/>
    </xf>
    <xf numFmtId="4" fontId="7" fillId="0" borderId="17" xfId="7" applyNumberFormat="1" applyFont="1" applyBorder="1" applyAlignment="1">
      <alignment horizontal="center" vertical="center"/>
    </xf>
    <xf numFmtId="4" fontId="7" fillId="0" borderId="4" xfId="7" applyNumberFormat="1" applyFont="1" applyBorder="1" applyAlignment="1">
      <alignment horizontal="center" vertical="center"/>
    </xf>
    <xf numFmtId="1" fontId="6" fillId="9" borderId="18" xfId="7" applyNumberFormat="1" applyFont="1" applyFill="1" applyBorder="1"/>
    <xf numFmtId="1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left"/>
    </xf>
    <xf numFmtId="4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center" vertical="center"/>
    </xf>
    <xf numFmtId="0" fontId="39" fillId="0" borderId="0" xfId="1" applyFont="1" applyAlignment="1">
      <alignment horizontal="center" vertical="top"/>
    </xf>
    <xf numFmtId="4" fontId="9" fillId="18" borderId="0" xfId="0" applyNumberFormat="1" applyFont="1" applyFill="1"/>
    <xf numFmtId="0" fontId="41" fillId="4" borderId="43" xfId="10" applyFont="1" applyFill="1" applyBorder="1" applyAlignment="1">
      <alignment horizontal="left" vertical="center" wrapText="1"/>
    </xf>
    <xf numFmtId="0" fontId="41" fillId="0" borderId="47" xfId="10" applyFont="1" applyBorder="1" applyAlignment="1">
      <alignment horizontal="left" vertical="center" wrapText="1"/>
    </xf>
    <xf numFmtId="0" fontId="41" fillId="4" borderId="48" xfId="10" applyFont="1" applyFill="1" applyBorder="1" applyAlignment="1">
      <alignment horizontal="center" vertical="center" wrapText="1"/>
    </xf>
    <xf numFmtId="0" fontId="41" fillId="4" borderId="43" xfId="10" applyFont="1" applyFill="1" applyBorder="1" applyAlignment="1">
      <alignment horizontal="center" vertical="center" wrapText="1"/>
    </xf>
    <xf numFmtId="4" fontId="42" fillId="0" borderId="43" xfId="10" applyNumberFormat="1" applyFont="1" applyBorder="1" applyAlignment="1">
      <alignment horizontal="center" vertical="center" wrapText="1"/>
    </xf>
    <xf numFmtId="0" fontId="45" fillId="0" borderId="42" xfId="12" applyFont="1" applyFill="1" applyBorder="1" applyAlignment="1">
      <alignment vertical="center" wrapText="1"/>
    </xf>
    <xf numFmtId="0" fontId="45" fillId="0" borderId="49" xfId="12" applyFont="1" applyFill="1" applyBorder="1" applyAlignment="1">
      <alignment vertical="center" wrapText="1"/>
    </xf>
    <xf numFmtId="0" fontId="42" fillId="0" borderId="0" xfId="13" applyFont="1"/>
    <xf numFmtId="0" fontId="3" fillId="0" borderId="0" xfId="1"/>
    <xf numFmtId="0" fontId="46" fillId="18" borderId="42" xfId="13" applyFont="1" applyFill="1" applyBorder="1" applyAlignment="1">
      <alignment vertical="center" wrapText="1"/>
    </xf>
    <xf numFmtId="0" fontId="46" fillId="18" borderId="49" xfId="13" applyFont="1" applyFill="1" applyBorder="1" applyAlignment="1">
      <alignment vertical="center" wrapText="1"/>
    </xf>
    <xf numFmtId="4" fontId="42" fillId="18" borderId="0" xfId="13" applyNumberFormat="1" applyFont="1" applyFill="1" applyAlignment="1">
      <alignment horizontal="center" vertical="center"/>
    </xf>
    <xf numFmtId="0" fontId="47" fillId="0" borderId="43" xfId="13" applyFont="1" applyBorder="1" applyAlignment="1">
      <alignment horizontal="center" vertical="center" wrapText="1"/>
    </xf>
    <xf numFmtId="0" fontId="47" fillId="0" borderId="43" xfId="10" applyFont="1" applyBorder="1" applyAlignment="1">
      <alignment horizontal="center" vertical="center" wrapText="1"/>
    </xf>
    <xf numFmtId="166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 wrapText="1"/>
    </xf>
    <xf numFmtId="167" fontId="47" fillId="0" borderId="49" xfId="13" applyNumberFormat="1" applyFont="1" applyBorder="1" applyAlignment="1">
      <alignment horizontal="center" vertical="center" wrapText="1"/>
    </xf>
    <xf numFmtId="0" fontId="42" fillId="0" borderId="0" xfId="13" applyFont="1" applyAlignment="1">
      <alignment vertical="center"/>
    </xf>
    <xf numFmtId="0" fontId="47" fillId="0" borderId="0" xfId="13" applyFont="1" applyAlignment="1">
      <alignment vertical="center"/>
    </xf>
    <xf numFmtId="4" fontId="49" fillId="18" borderId="43" xfId="1" applyNumberFormat="1" applyFont="1" applyFill="1" applyBorder="1" applyAlignment="1">
      <alignment vertical="center" wrapText="1"/>
    </xf>
    <xf numFmtId="0" fontId="49" fillId="18" borderId="43" xfId="1" applyFont="1" applyFill="1" applyBorder="1" applyAlignment="1">
      <alignment wrapText="1"/>
    </xf>
    <xf numFmtId="0" fontId="41" fillId="0" borderId="0" xfId="13" applyFont="1" applyAlignment="1">
      <alignment vertical="center"/>
    </xf>
    <xf numFmtId="0" fontId="50" fillId="0" borderId="50" xfId="1" applyFont="1" applyBorder="1" applyAlignment="1">
      <alignment horizontal="left" vertical="center" wrapText="1" indent="1" readingOrder="1"/>
    </xf>
    <xf numFmtId="4" fontId="51" fillId="0" borderId="50" xfId="1" applyNumberFormat="1" applyFont="1" applyBorder="1" applyAlignment="1">
      <alignment horizontal="left" vertical="center" wrapText="1" indent="1" readingOrder="1"/>
    </xf>
    <xf numFmtId="0" fontId="52" fillId="0" borderId="50" xfId="1" applyFont="1" applyBorder="1" applyAlignment="1">
      <alignment horizontal="left" vertical="center" wrapText="1" indent="1" readingOrder="1"/>
    </xf>
    <xf numFmtId="0" fontId="53" fillId="18" borderId="48" xfId="13" applyFont="1" applyFill="1" applyBorder="1" applyAlignment="1">
      <alignment vertical="center" wrapText="1"/>
    </xf>
    <xf numFmtId="0" fontId="53" fillId="18" borderId="42" xfId="13" applyFont="1" applyFill="1" applyBorder="1" applyAlignment="1">
      <alignment vertical="center" wrapText="1"/>
    </xf>
    <xf numFmtId="0" fontId="53" fillId="18" borderId="49" xfId="13" applyFont="1" applyFill="1" applyBorder="1" applyAlignment="1">
      <alignment vertical="center" wrapText="1"/>
    </xf>
    <xf numFmtId="4" fontId="48" fillId="18" borderId="43" xfId="13" applyNumberFormat="1" applyFont="1" applyFill="1" applyBorder="1" applyAlignment="1">
      <alignment horizontal="center" wrapText="1"/>
    </xf>
    <xf numFmtId="4" fontId="49" fillId="18" borderId="48" xfId="1" applyNumberFormat="1" applyFont="1" applyFill="1" applyBorder="1" applyAlignment="1">
      <alignment vertical="center" wrapText="1"/>
    </xf>
    <xf numFmtId="4" fontId="49" fillId="18" borderId="42" xfId="1" applyNumberFormat="1" applyFont="1" applyFill="1" applyBorder="1" applyAlignment="1">
      <alignment vertical="center" wrapText="1"/>
    </xf>
    <xf numFmtId="4" fontId="49" fillId="18" borderId="49" xfId="1" applyNumberFormat="1" applyFont="1" applyFill="1" applyBorder="1" applyAlignment="1">
      <alignment vertical="center" wrapText="1"/>
    </xf>
    <xf numFmtId="0" fontId="53" fillId="18" borderId="43" xfId="13" applyFont="1" applyFill="1" applyBorder="1" applyAlignment="1">
      <alignment vertical="center" wrapText="1"/>
    </xf>
    <xf numFmtId="0" fontId="49" fillId="18" borderId="51" xfId="1" applyFont="1" applyFill="1" applyBorder="1" applyAlignment="1">
      <alignment wrapText="1"/>
    </xf>
    <xf numFmtId="4" fontId="51" fillId="0" borderId="52" xfId="1" applyNumberFormat="1" applyFont="1" applyBorder="1" applyAlignment="1">
      <alignment horizontal="left" vertical="center" wrapText="1" indent="1" readingOrder="1"/>
    </xf>
    <xf numFmtId="4" fontId="54" fillId="0" borderId="11" xfId="13" applyNumberFormat="1" applyFont="1" applyBorder="1" applyAlignment="1">
      <alignment horizontal="center" wrapText="1"/>
    </xf>
    <xf numFmtId="4" fontId="54" fillId="0" borderId="38" xfId="13" applyNumberFormat="1" applyFont="1" applyBorder="1" applyAlignment="1">
      <alignment horizontal="center" wrapText="1"/>
    </xf>
    <xf numFmtId="0" fontId="55" fillId="0" borderId="50" xfId="1" applyFont="1" applyBorder="1" applyAlignment="1">
      <alignment horizontal="right" vertical="center" wrapText="1" indent="1" readingOrder="1"/>
    </xf>
    <xf numFmtId="4" fontId="51" fillId="17" borderId="50" xfId="1" applyNumberFormat="1" applyFont="1" applyFill="1" applyBorder="1" applyAlignment="1">
      <alignment horizontal="center" vertical="center" wrapText="1" readingOrder="1"/>
    </xf>
    <xf numFmtId="4" fontId="54" fillId="0" borderId="4" xfId="13" applyNumberFormat="1" applyFont="1" applyBorder="1" applyAlignment="1">
      <alignment horizontal="center" wrapText="1"/>
    </xf>
    <xf numFmtId="0" fontId="43" fillId="0" borderId="0" xfId="13" applyFont="1" applyAlignment="1">
      <alignment vertical="center" wrapText="1"/>
    </xf>
    <xf numFmtId="4" fontId="56" fillId="0" borderId="43" xfId="13" applyNumberFormat="1" applyFont="1" applyBorder="1" applyAlignment="1">
      <alignment horizontal="center" vertical="center"/>
    </xf>
    <xf numFmtId="4" fontId="9" fillId="0" borderId="43" xfId="1" applyNumberFormat="1" applyFont="1" applyBorder="1" applyAlignment="1">
      <alignment horizontal="center"/>
    </xf>
    <xf numFmtId="0" fontId="57" fillId="0" borderId="48" xfId="1" applyFont="1" applyBorder="1" applyAlignment="1">
      <alignment vertical="center" wrapText="1"/>
    </xf>
    <xf numFmtId="0" fontId="57" fillId="0" borderId="42" xfId="1" applyFont="1" applyBorder="1" applyAlignment="1">
      <alignment vertical="center" wrapText="1"/>
    </xf>
    <xf numFmtId="0" fontId="58" fillId="0" borderId="42" xfId="1" applyFont="1" applyBorder="1" applyAlignment="1">
      <alignment vertical="center" wrapText="1"/>
    </xf>
    <xf numFmtId="0" fontId="58" fillId="0" borderId="49" xfId="1" applyFont="1" applyBorder="1" applyAlignment="1">
      <alignment vertical="center" wrapText="1"/>
    </xf>
    <xf numFmtId="4" fontId="59" fillId="0" borderId="43" xfId="1" applyNumberFormat="1" applyFont="1" applyBorder="1" applyAlignment="1">
      <alignment horizontal="center"/>
    </xf>
    <xf numFmtId="0" fontId="60" fillId="0" borderId="43" xfId="1" applyFont="1" applyBorder="1"/>
    <xf numFmtId="4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/>
    </xf>
    <xf numFmtId="4" fontId="9" fillId="0" borderId="43" xfId="14" applyNumberFormat="1" applyFont="1" applyBorder="1" applyAlignment="1">
      <alignment horizontal="center"/>
    </xf>
    <xf numFmtId="4" fontId="59" fillId="0" borderId="43" xfId="1" applyNumberFormat="1" applyFont="1" applyBorder="1" applyAlignment="1">
      <alignment horizontal="center" vertical="center"/>
    </xf>
    <xf numFmtId="4" fontId="48" fillId="18" borderId="43" xfId="13" applyNumberFormat="1" applyFont="1" applyFill="1" applyBorder="1" applyAlignment="1">
      <alignment horizontal="center" vertical="center"/>
    </xf>
    <xf numFmtId="0" fontId="3" fillId="0" borderId="43" xfId="14" applyBorder="1"/>
    <xf numFmtId="0" fontId="3" fillId="0" borderId="43" xfId="14" applyBorder="1" applyAlignment="1">
      <alignment horizontal="center"/>
    </xf>
    <xf numFmtId="4" fontId="48" fillId="20" borderId="43" xfId="13" applyNumberFormat="1" applyFont="1" applyFill="1" applyBorder="1" applyAlignment="1">
      <alignment horizontal="center" vertical="center"/>
    </xf>
    <xf numFmtId="3" fontId="47" fillId="0" borderId="53" xfId="13" applyNumberFormat="1" applyFont="1" applyBorder="1" applyAlignment="1">
      <alignment horizontal="center" vertical="center"/>
    </xf>
    <xf numFmtId="0" fontId="3" fillId="0" borderId="0" xfId="14"/>
    <xf numFmtId="4" fontId="9" fillId="18" borderId="43" xfId="1" applyNumberFormat="1" applyFont="1" applyFill="1" applyBorder="1" applyAlignment="1">
      <alignment horizontal="center"/>
    </xf>
    <xf numFmtId="0" fontId="61" fillId="0" borderId="43" xfId="1" applyFont="1" applyBorder="1" applyAlignment="1">
      <alignment vertical="center" wrapText="1"/>
    </xf>
    <xf numFmtId="4" fontId="62" fillId="0" borderId="43" xfId="14" applyNumberFormat="1" applyFont="1" applyBorder="1" applyAlignment="1">
      <alignment horizontal="center" vertical="center"/>
    </xf>
    <xf numFmtId="4" fontId="62" fillId="0" borderId="43" xfId="14" applyNumberFormat="1" applyFont="1" applyBorder="1" applyAlignment="1">
      <alignment horizontal="center"/>
    </xf>
    <xf numFmtId="4" fontId="49" fillId="21" borderId="54" xfId="1" applyNumberFormat="1" applyFont="1" applyFill="1" applyBorder="1" applyAlignment="1">
      <alignment vertical="center" wrapText="1"/>
    </xf>
    <xf numFmtId="4" fontId="49" fillId="21" borderId="8" xfId="1" applyNumberFormat="1" applyFont="1" applyFill="1" applyBorder="1" applyAlignment="1">
      <alignment vertical="center" wrapText="1"/>
    </xf>
    <xf numFmtId="0" fontId="49" fillId="21" borderId="9" xfId="1" applyFont="1" applyFill="1" applyBorder="1" applyAlignment="1">
      <alignment wrapText="1"/>
    </xf>
    <xf numFmtId="0" fontId="49" fillId="21" borderId="55" xfId="1" applyFont="1" applyFill="1" applyBorder="1" applyAlignment="1">
      <alignment wrapText="1"/>
    </xf>
    <xf numFmtId="0" fontId="63" fillId="0" borderId="50" xfId="1" applyFont="1" applyBorder="1" applyAlignment="1">
      <alignment horizontal="left" vertical="center" wrapText="1" indent="1" readingOrder="1"/>
    </xf>
    <xf numFmtId="4" fontId="64" fillId="0" borderId="50" xfId="1" applyNumberFormat="1" applyFont="1" applyBorder="1" applyAlignment="1">
      <alignment horizontal="left" vertical="center" wrapText="1" indent="1" readingOrder="1"/>
    </xf>
    <xf numFmtId="0" fontId="63" fillId="18" borderId="50" xfId="1" applyFont="1" applyFill="1" applyBorder="1" applyAlignment="1">
      <alignment horizontal="left" vertical="center" wrapText="1" indent="1" readingOrder="1"/>
    </xf>
    <xf numFmtId="0" fontId="65" fillId="18" borderId="50" xfId="1" applyFont="1" applyFill="1" applyBorder="1" applyAlignment="1">
      <alignment horizontal="left" vertical="center" wrapText="1" indent="1" readingOrder="1"/>
    </xf>
    <xf numFmtId="4" fontId="51" fillId="18" borderId="50" xfId="1" applyNumberFormat="1" applyFont="1" applyFill="1" applyBorder="1" applyAlignment="1">
      <alignment horizontal="left" vertical="center" wrapText="1" indent="1" readingOrder="1"/>
    </xf>
    <xf numFmtId="0" fontId="65" fillId="0" borderId="50" xfId="1" applyFont="1" applyBorder="1" applyAlignment="1">
      <alignment horizontal="left" vertical="center" wrapText="1" indent="1" readingOrder="1"/>
    </xf>
    <xf numFmtId="167" fontId="3" fillId="0" borderId="0" xfId="14" applyNumberFormat="1"/>
    <xf numFmtId="0" fontId="67" fillId="0" borderId="43" xfId="15" applyFont="1" applyBorder="1"/>
    <xf numFmtId="0" fontId="67" fillId="0" borderId="43" xfId="15" applyFont="1" applyBorder="1" applyAlignment="1">
      <alignment horizontal="center"/>
    </xf>
    <xf numFmtId="4" fontId="68" fillId="0" borderId="43" xfId="15" applyNumberFormat="1" applyFont="1" applyBorder="1" applyAlignment="1">
      <alignment horizontal="center" vertical="center"/>
    </xf>
    <xf numFmtId="4" fontId="68" fillId="0" borderId="43" xfId="15" applyNumberFormat="1" applyFont="1" applyBorder="1" applyAlignment="1">
      <alignment horizontal="center"/>
    </xf>
    <xf numFmtId="0" fontId="67" fillId="0" borderId="0" xfId="15" applyFont="1"/>
    <xf numFmtId="0" fontId="55" fillId="0" borderId="50" xfId="1" applyFont="1" applyBorder="1" applyAlignment="1">
      <alignment horizontal="left" vertical="center" wrapText="1" indent="1" readingOrder="1"/>
    </xf>
    <xf numFmtId="4" fontId="55" fillId="0" borderId="50" xfId="1" applyNumberFormat="1" applyFont="1" applyBorder="1" applyAlignment="1">
      <alignment horizontal="left" vertical="center" wrapText="1" indent="1" readingOrder="1"/>
    </xf>
    <xf numFmtId="4" fontId="53" fillId="18" borderId="43" xfId="13" applyNumberFormat="1" applyFont="1" applyFill="1" applyBorder="1" applyAlignment="1">
      <alignment horizontal="right" wrapText="1" indent="1"/>
    </xf>
    <xf numFmtId="0" fontId="41" fillId="0" borderId="0" xfId="13" applyFont="1" applyAlignment="1">
      <alignment vertical="center" wrapText="1"/>
    </xf>
    <xf numFmtId="0" fontId="69" fillId="0" borderId="0" xfId="1" applyFont="1"/>
    <xf numFmtId="0" fontId="60" fillId="0" borderId="0" xfId="1" applyFont="1"/>
    <xf numFmtId="4" fontId="47" fillId="0" borderId="43" xfId="13" applyNumberFormat="1" applyFont="1" applyBorder="1" applyAlignment="1">
      <alignment horizontal="center" vertical="center"/>
    </xf>
    <xf numFmtId="3" fontId="47" fillId="0" borderId="8" xfId="13" applyNumberFormat="1" applyFont="1" applyBorder="1" applyAlignment="1">
      <alignment horizontal="center" vertical="center"/>
    </xf>
    <xf numFmtId="4" fontId="46" fillId="18" borderId="43" xfId="13" applyNumberFormat="1" applyFont="1" applyFill="1" applyBorder="1" applyAlignment="1">
      <alignment horizontal="center" vertical="center"/>
    </xf>
    <xf numFmtId="4" fontId="46" fillId="20" borderId="43" xfId="13" applyNumberFormat="1" applyFont="1" applyFill="1" applyBorder="1" applyAlignment="1">
      <alignment horizontal="center" vertical="center"/>
    </xf>
    <xf numFmtId="4" fontId="70" fillId="18" borderId="43" xfId="1" applyNumberFormat="1" applyFont="1" applyFill="1" applyBorder="1" applyAlignment="1">
      <alignment horizontal="center"/>
    </xf>
    <xf numFmtId="0" fontId="61" fillId="0" borderId="51" xfId="1" applyFont="1" applyBorder="1" applyAlignment="1">
      <alignment vertical="center" wrapText="1"/>
    </xf>
    <xf numFmtId="0" fontId="3" fillId="0" borderId="51" xfId="14" applyBorder="1" applyAlignment="1">
      <alignment horizontal="center"/>
    </xf>
    <xf numFmtId="4" fontId="3" fillId="0" borderId="51" xfId="14" applyNumberFormat="1" applyBorder="1" applyAlignment="1">
      <alignment horizontal="center" vertical="center"/>
    </xf>
    <xf numFmtId="4" fontId="3" fillId="0" borderId="51" xfId="14" applyNumberFormat="1" applyBorder="1"/>
    <xf numFmtId="0" fontId="63" fillId="0" borderId="56" xfId="1" applyFont="1" applyBorder="1" applyAlignment="1">
      <alignment horizontal="left" vertical="center" wrapText="1" indent="1" readingOrder="1"/>
    </xf>
    <xf numFmtId="4" fontId="65" fillId="0" borderId="50" xfId="1" applyNumberFormat="1" applyFont="1" applyBorder="1" applyAlignment="1">
      <alignment horizontal="left" vertical="center" wrapText="1" indent="1" readingOrder="1"/>
    </xf>
    <xf numFmtId="4" fontId="63" fillId="0" borderId="50" xfId="1" applyNumberFormat="1" applyFont="1" applyBorder="1" applyAlignment="1">
      <alignment horizontal="left" vertical="center" wrapText="1" indent="1" readingOrder="1"/>
    </xf>
    <xf numFmtId="4" fontId="3" fillId="0" borderId="43" xfId="14" applyNumberFormat="1" applyBorder="1" applyAlignment="1">
      <alignment horizontal="center" vertical="center"/>
    </xf>
    <xf numFmtId="4" fontId="3" fillId="0" borderId="43" xfId="14" applyNumberFormat="1" applyBorder="1"/>
    <xf numFmtId="4" fontId="67" fillId="0" borderId="43" xfId="15" applyNumberFormat="1" applyFont="1" applyBorder="1" applyAlignment="1">
      <alignment horizontal="center" vertical="center"/>
    </xf>
    <xf numFmtId="4" fontId="67" fillId="0" borderId="43" xfId="15" applyNumberFormat="1" applyFont="1" applyBorder="1"/>
    <xf numFmtId="0" fontId="38" fillId="0" borderId="43" xfId="10" applyFont="1" applyBorder="1" applyAlignment="1">
      <alignment horizontal="left" vertical="center" wrapText="1"/>
    </xf>
    <xf numFmtId="0" fontId="37" fillId="0" borderId="42" xfId="8" applyFont="1" applyBorder="1" applyAlignment="1">
      <alignment horizontal="center" vertical="center"/>
    </xf>
    <xf numFmtId="0" fontId="72" fillId="22" borderId="43" xfId="16" applyFont="1" applyFill="1" applyBorder="1" applyAlignment="1">
      <alignment horizontal="center" vertical="top" wrapText="1"/>
    </xf>
    <xf numFmtId="0" fontId="73" fillId="22" borderId="43" xfId="16" applyFont="1" applyFill="1" applyBorder="1" applyAlignment="1">
      <alignment horizontal="center" vertical="top" wrapText="1"/>
    </xf>
    <xf numFmtId="0" fontId="71" fillId="0" borderId="0" xfId="16"/>
    <xf numFmtId="0" fontId="74" fillId="23" borderId="43" xfId="16" applyFont="1" applyFill="1" applyBorder="1" applyAlignment="1">
      <alignment horizontal="center" vertical="top" wrapText="1"/>
    </xf>
    <xf numFmtId="166" fontId="74" fillId="23" borderId="43" xfId="16" applyNumberFormat="1" applyFont="1" applyFill="1" applyBorder="1" applyAlignment="1">
      <alignment horizontal="center" vertical="top"/>
    </xf>
    <xf numFmtId="4" fontId="74" fillId="23" borderId="43" xfId="16" applyNumberFormat="1" applyFont="1" applyFill="1" applyBorder="1" applyAlignment="1">
      <alignment horizontal="center" vertical="top"/>
    </xf>
    <xf numFmtId="0" fontId="74" fillId="23" borderId="43" xfId="16" applyFont="1" applyFill="1" applyBorder="1" applyAlignment="1">
      <alignment horizontal="center" vertical="top"/>
    </xf>
    <xf numFmtId="0" fontId="37" fillId="0" borderId="43" xfId="16" applyFont="1" applyBorder="1" applyAlignment="1">
      <alignment horizontal="center"/>
    </xf>
    <xf numFmtId="0" fontId="37" fillId="0" borderId="43" xfId="16" applyFont="1" applyBorder="1" applyAlignment="1">
      <alignment horizontal="center" vertical="top" wrapText="1"/>
    </xf>
    <xf numFmtId="166" fontId="37" fillId="0" borderId="43" xfId="16" applyNumberFormat="1" applyFont="1" applyBorder="1" applyAlignment="1">
      <alignment horizontal="center" vertical="top"/>
    </xf>
    <xf numFmtId="4" fontId="37" fillId="0" borderId="43" xfId="16" applyNumberFormat="1" applyFont="1" applyBorder="1" applyAlignment="1">
      <alignment horizontal="center" vertical="top"/>
    </xf>
    <xf numFmtId="0" fontId="37" fillId="0" borderId="43" xfId="16" applyFont="1" applyBorder="1" applyAlignment="1">
      <alignment horizontal="center" vertical="top"/>
    </xf>
    <xf numFmtId="0" fontId="36" fillId="0" borderId="43" xfId="0" applyFont="1" applyBorder="1" applyAlignment="1">
      <alignment horizontal="center" vertical="center"/>
    </xf>
    <xf numFmtId="0" fontId="36" fillId="4" borderId="43" xfId="0" applyFont="1" applyFill="1" applyBorder="1" applyAlignment="1">
      <alignment horizontal="center" vertical="center"/>
    </xf>
    <xf numFmtId="2" fontId="37" fillId="0" borderId="43" xfId="16" applyNumberFormat="1" applyFont="1" applyBorder="1" applyAlignment="1">
      <alignment horizontal="center" vertical="top"/>
    </xf>
    <xf numFmtId="0" fontId="0" fillId="0" borderId="49" xfId="0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168" fontId="74" fillId="23" borderId="43" xfId="16" applyNumberFormat="1" applyFont="1" applyFill="1" applyBorder="1" applyAlignment="1">
      <alignment horizontal="center" vertical="top"/>
    </xf>
    <xf numFmtId="168" fontId="37" fillId="0" borderId="43" xfId="16" applyNumberFormat="1" applyFont="1" applyBorder="1" applyAlignment="1">
      <alignment horizontal="center" vertical="top"/>
    </xf>
    <xf numFmtId="0" fontId="37" fillId="18" borderId="43" xfId="16" applyFont="1" applyFill="1" applyBorder="1" applyAlignment="1">
      <alignment horizontal="center" vertical="top"/>
    </xf>
    <xf numFmtId="2" fontId="74" fillId="23" borderId="43" xfId="16" applyNumberFormat="1" applyFont="1" applyFill="1" applyBorder="1" applyAlignment="1">
      <alignment horizontal="center" vertical="top"/>
    </xf>
    <xf numFmtId="0" fontId="72" fillId="24" borderId="43" xfId="16" applyFont="1" applyFill="1" applyBorder="1" applyAlignment="1">
      <alignment horizontal="center" vertical="top"/>
    </xf>
    <xf numFmtId="168" fontId="72" fillId="24" borderId="43" xfId="16" applyNumberFormat="1" applyFont="1" applyFill="1" applyBorder="1" applyAlignment="1">
      <alignment horizontal="center" vertical="top"/>
    </xf>
    <xf numFmtId="4" fontId="72" fillId="24" borderId="43" xfId="16" applyNumberFormat="1" applyFont="1" applyFill="1" applyBorder="1" applyAlignment="1">
      <alignment horizontal="center" vertical="top"/>
    </xf>
    <xf numFmtId="0" fontId="75" fillId="25" borderId="43" xfId="0" applyFont="1" applyFill="1" applyBorder="1" applyAlignment="1">
      <alignment horizontal="center"/>
    </xf>
    <xf numFmtId="0" fontId="76" fillId="25" borderId="43" xfId="0" applyFont="1" applyFill="1" applyBorder="1" applyAlignment="1">
      <alignment horizontal="center"/>
    </xf>
    <xf numFmtId="0" fontId="75" fillId="0" borderId="43" xfId="0" applyFont="1" applyBorder="1" applyAlignment="1">
      <alignment horizontal="center"/>
    </xf>
    <xf numFmtId="0" fontId="75" fillId="4" borderId="43" xfId="0" applyFont="1" applyFill="1" applyBorder="1" applyAlignment="1">
      <alignment horizontal="center"/>
    </xf>
    <xf numFmtId="0" fontId="75" fillId="4" borderId="43" xfId="0" applyFont="1" applyFill="1" applyBorder="1" applyAlignment="1">
      <alignment horizontal="center" vertical="center"/>
    </xf>
    <xf numFmtId="0" fontId="75" fillId="0" borderId="43" xfId="0" applyFont="1" applyBorder="1" applyAlignment="1">
      <alignment horizontal="center" vertical="center"/>
    </xf>
    <xf numFmtId="0" fontId="75" fillId="18" borderId="43" xfId="0" applyFont="1" applyFill="1" applyBorder="1" applyAlignment="1">
      <alignment horizontal="center"/>
    </xf>
    <xf numFmtId="0" fontId="35" fillId="2" borderId="43" xfId="1" applyFont="1" applyFill="1" applyBorder="1" applyAlignment="1">
      <alignment horizontal="center" vertical="center" wrapText="1"/>
    </xf>
    <xf numFmtId="4" fontId="35" fillId="2" borderId="43" xfId="1" applyNumberFormat="1" applyFont="1" applyFill="1" applyBorder="1" applyAlignment="1">
      <alignment horizontal="center" vertical="center" wrapText="1"/>
    </xf>
    <xf numFmtId="4" fontId="35" fillId="2" borderId="43" xfId="3" applyNumberFormat="1" applyFont="1" applyFill="1" applyBorder="1" applyAlignment="1">
      <alignment horizontal="center" vertical="center" wrapText="1"/>
    </xf>
    <xf numFmtId="0" fontId="6" fillId="3" borderId="43" xfId="1" applyFont="1" applyFill="1" applyBorder="1" applyAlignment="1">
      <alignment horizontal="center" vertical="center" wrapText="1"/>
    </xf>
    <xf numFmtId="4" fontId="6" fillId="3" borderId="43" xfId="1" applyNumberFormat="1" applyFont="1" applyFill="1" applyBorder="1" applyAlignment="1">
      <alignment horizontal="center" vertical="center" wrapText="1"/>
    </xf>
    <xf numFmtId="4" fontId="6" fillId="3" borderId="43" xfId="1" applyNumberFormat="1" applyFont="1" applyFill="1" applyBorder="1" applyAlignment="1">
      <alignment vertical="center" wrapText="1"/>
    </xf>
    <xf numFmtId="4" fontId="7" fillId="3" borderId="43" xfId="1" applyNumberFormat="1" applyFont="1" applyFill="1" applyBorder="1" applyAlignment="1">
      <alignment horizontal="left" wrapText="1"/>
    </xf>
    <xf numFmtId="4" fontId="6" fillId="0" borderId="43" xfId="1" applyNumberFormat="1" applyFont="1" applyBorder="1" applyAlignment="1">
      <alignment vertical="center" wrapText="1"/>
    </xf>
    <xf numFmtId="4" fontId="7" fillId="0" borderId="43" xfId="1" applyNumberFormat="1" applyFont="1" applyBorder="1" applyAlignment="1">
      <alignment horizontal="left" wrapText="1"/>
    </xf>
    <xf numFmtId="4" fontId="8" fillId="0" borderId="43" xfId="1" applyNumberFormat="1" applyFont="1" applyBorder="1" applyAlignment="1">
      <alignment vertical="top"/>
    </xf>
    <xf numFmtId="0" fontId="38" fillId="12" borderId="43" xfId="10" applyFont="1" applyFill="1" applyBorder="1" applyAlignment="1">
      <alignment horizontal="left" vertical="center" wrapText="1"/>
    </xf>
    <xf numFmtId="4" fontId="6" fillId="17" borderId="43" xfId="1" applyNumberFormat="1" applyFont="1" applyFill="1" applyBorder="1" applyAlignment="1">
      <alignment horizontal="center" vertical="center" wrapText="1"/>
    </xf>
    <xf numFmtId="49" fontId="8" fillId="3" borderId="43" xfId="1" applyNumberFormat="1" applyFont="1" applyFill="1" applyBorder="1" applyAlignment="1">
      <alignment horizontal="center" vertical="center"/>
    </xf>
    <xf numFmtId="0" fontId="8" fillId="3" borderId="43" xfId="1" applyFont="1" applyFill="1" applyBorder="1" applyAlignment="1">
      <alignment horizontal="center" vertical="center" wrapText="1"/>
    </xf>
    <xf numFmtId="4" fontId="8" fillId="3" borderId="43" xfId="1" applyNumberFormat="1" applyFont="1" applyFill="1" applyBorder="1" applyAlignment="1">
      <alignment horizontal="center" vertical="center" wrapText="1"/>
    </xf>
    <xf numFmtId="49" fontId="8" fillId="3" borderId="43" xfId="1" applyNumberFormat="1" applyFont="1" applyFill="1" applyBorder="1" applyAlignment="1">
      <alignment horizontal="center" vertical="center" wrapText="1"/>
    </xf>
    <xf numFmtId="4" fontId="4" fillId="3" borderId="43" xfId="1" applyNumberFormat="1" applyFont="1" applyFill="1" applyBorder="1" applyAlignment="1">
      <alignment horizontal="center" vertical="center" wrapText="1"/>
    </xf>
    <xf numFmtId="4" fontId="7" fillId="0" borderId="3" xfId="1" applyNumberFormat="1" applyFont="1" applyFill="1" applyBorder="1" applyAlignment="1">
      <alignment horizontal="center" vertical="center" wrapText="1"/>
    </xf>
    <xf numFmtId="4" fontId="49" fillId="21" borderId="54" xfId="1" applyNumberFormat="1" applyFont="1" applyFill="1" applyBorder="1" applyAlignment="1">
      <alignment horizontal="center" vertical="center" wrapText="1"/>
    </xf>
    <xf numFmtId="4" fontId="49" fillId="21" borderId="8" xfId="1" applyNumberFormat="1" applyFont="1" applyFill="1" applyBorder="1" applyAlignment="1">
      <alignment horizontal="center" vertical="center" wrapText="1"/>
    </xf>
    <xf numFmtId="0" fontId="49" fillId="21" borderId="9" xfId="1" applyFont="1" applyFill="1" applyBorder="1" applyAlignment="1">
      <alignment horizontal="center" wrapText="1"/>
    </xf>
    <xf numFmtId="0" fontId="49" fillId="21" borderId="55" xfId="1" applyFont="1" applyFill="1" applyBorder="1" applyAlignment="1">
      <alignment horizontal="center" wrapText="1"/>
    </xf>
    <xf numFmtId="4" fontId="49" fillId="18" borderId="43" xfId="1" applyNumberFormat="1" applyFont="1" applyFill="1" applyBorder="1" applyAlignment="1">
      <alignment horizontal="center" vertical="center" wrapText="1"/>
    </xf>
    <xf numFmtId="0" fontId="49" fillId="18" borderId="43" xfId="1" applyFont="1" applyFill="1" applyBorder="1" applyAlignment="1">
      <alignment horizontal="center" wrapText="1"/>
    </xf>
    <xf numFmtId="0" fontId="53" fillId="18" borderId="43" xfId="13" applyFont="1" applyFill="1" applyBorder="1" applyAlignment="1">
      <alignment horizontal="right" vertical="center" wrapText="1"/>
    </xf>
    <xf numFmtId="0" fontId="57" fillId="0" borderId="48" xfId="1" applyFont="1" applyBorder="1" applyAlignment="1">
      <alignment horizontal="right" vertical="center" wrapText="1"/>
    </xf>
    <xf numFmtId="0" fontId="57" fillId="0" borderId="42" xfId="1" applyFont="1" applyBorder="1" applyAlignment="1">
      <alignment horizontal="right" vertical="center" wrapText="1"/>
    </xf>
    <xf numFmtId="0" fontId="58" fillId="0" borderId="42" xfId="1" applyFont="1" applyBorder="1" applyAlignment="1">
      <alignment horizontal="right" vertical="center" wrapText="1"/>
    </xf>
    <xf numFmtId="0" fontId="58" fillId="0" borderId="49" xfId="1" applyFont="1" applyBorder="1" applyAlignment="1">
      <alignment horizontal="right" vertical="center" wrapText="1"/>
    </xf>
    <xf numFmtId="0" fontId="45" fillId="0" borderId="43" xfId="12" applyFont="1" applyFill="1" applyBorder="1" applyAlignment="1">
      <alignment horizontal="center" vertical="center" wrapText="1"/>
    </xf>
    <xf numFmtId="0" fontId="46" fillId="18" borderId="43" xfId="13" applyFont="1" applyFill="1" applyBorder="1" applyAlignment="1">
      <alignment horizontal="center" vertical="center" wrapText="1"/>
    </xf>
  </cellXfs>
  <cellStyles count="17">
    <cellStyle name="Гиперссылка" xfId="12" builtinId="8"/>
    <cellStyle name="Обычный" xfId="0" builtinId="0"/>
    <cellStyle name="Обычный 11 2" xfId="1" xr:uid="{1424C6A2-E270-446A-A8CE-252B24C30943}"/>
    <cellStyle name="Обычный 2" xfId="8" xr:uid="{39F897FE-B90D-4D4D-80E6-D835D5DE79B2}"/>
    <cellStyle name="Обычный 2 2" xfId="2" xr:uid="{0F4177A5-0264-4F43-95A6-92BEB2F55788}"/>
    <cellStyle name="Обычный 2 2 2" xfId="15" xr:uid="{F6409A33-3ADD-42F1-ADE9-068FA6821931}"/>
    <cellStyle name="Обычный 2 3" xfId="10" xr:uid="{B67E1512-502F-464B-AC67-7538F30F2EF1}"/>
    <cellStyle name="Обычный 2 3 2" xfId="13" xr:uid="{3102BF82-6B22-41FF-B3D4-BCD9E092F7EB}"/>
    <cellStyle name="Обычный 2 4" xfId="7" xr:uid="{3944335D-CAC8-450F-9C52-71AECC0453E1}"/>
    <cellStyle name="Обычный 3" xfId="6" xr:uid="{AE2101D6-F48F-40BB-8EA0-68A2806A1B82}"/>
    <cellStyle name="Обычный 3 2" xfId="14" xr:uid="{082D7BC6-EF10-469F-ACB2-407607CD9DEF}"/>
    <cellStyle name="Обычный 4" xfId="16" xr:uid="{675FEBEF-B701-4C3E-9A0F-667F1D14F277}"/>
    <cellStyle name="Обычный_МД ООН_2025" xfId="9" xr:uid="{65501396-BBF2-4F99-B076-F468CCFFFBE5}"/>
    <cellStyle name="Процентный" xfId="11" builtinId="5"/>
    <cellStyle name="Финансовый 10" xfId="3" xr:uid="{D93C4C81-6AE4-4419-A8CA-0CBBFF70537D}"/>
    <cellStyle name="Финансовый 2 2 2" xfId="4" xr:uid="{CB8BA4C7-2188-4192-9468-3D6DDB2EADEE}"/>
    <cellStyle name="Финансовый 2 7" xfId="5" xr:uid="{87639405-605F-4D26-A8C7-990697CE03F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30;&#1053;&#1064;&#1045;/&#1057;&#1042;%20&#1042;&#1080;&#1088;&#1086;&#1073;&#1085;&#1080;&#1094;&#1090;&#1074;&#1086;/&#1040;&#1089;&#1090;&#1072;&#1088;&#1090;&#1072;%20&#1058;&#1080;&#1097;&#1077;&#1085;&#1082;&#1086;/&#1057;&#1057;%20&#1058;&#1048;&#1097;&#1080;&#1085;&#1082;&#1080;_&#1040;&#1089;&#1090;&#1072;&#1088;&#1090;&#1072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&#1052;&#1086;&#1076;&#1091;&#1083;&#1100;%20&#1076;&#1086;&#1084;%20&#1062;&#1077;&#1093;/&#1050;&#1055;&#1055;%20&#1060;&#1072;&#1089;&#1090;&#1110;&#1074;/0912&#1057;&#1057;&#1050;&#1055;_v0%20&#1092;&#1072;&#1089;&#1090;&#1110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ОРМИ_МК"/>
      <sheetName val="СС на 1 т при отгрузки 100 т"/>
      <sheetName val="Сварочные "/>
      <sheetName val="Плазма ЧПУ"/>
      <sheetName val="ФОРМА_СС"/>
      <sheetName val="Lists"/>
    </sheetNames>
    <sheetDataSet>
      <sheetData sheetId="0">
        <row r="5">
          <cell r="F5" t="str">
            <v>Комплект форсунок на ЧПУ</v>
          </cell>
          <cell r="G5" t="str">
            <v>Комплект Сварочный МК балки, ферми</v>
          </cell>
          <cell r="H5" t="str">
            <v>Комплект Сварочный для Огородження</v>
          </cell>
          <cell r="I5" t="str">
            <v>Електроди д3 мм</v>
          </cell>
          <cell r="J5" t="str">
            <v>Обрізні диски 230 мм</v>
          </cell>
          <cell r="K5" t="str">
            <v>Зачисні диски 230 мм</v>
          </cell>
          <cell r="L5" t="str">
            <v>Свердла</v>
          </cell>
          <cell r="M5" t="str">
            <v>Зварна проволка 1,2 мм</v>
          </cell>
          <cell r="N5" t="str">
            <v>Суміш мікс</v>
          </cell>
          <cell r="O5" t="str">
            <v>Грунт ГФ 021</v>
          </cell>
          <cell r="P5" t="str">
            <v>Брус 70*70</v>
          </cell>
          <cell r="Q5" t="str">
            <v>Щітка торцева із плетеної проволки</v>
          </cell>
          <cell r="R5" t="str">
            <v>Сопло на фарбопульт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_СВОД"/>
      <sheetName val="Лот 1 (Тип 1)"/>
      <sheetName val="Лист1"/>
      <sheetName val="Лист4"/>
      <sheetName val="2н2"/>
      <sheetName val="3на1.5"/>
      <sheetName val="4на2"/>
      <sheetName val="6на2.5"/>
      <sheetName val="2на2.5"/>
      <sheetName val="3н2"/>
      <sheetName val="5 на 2"/>
    </sheetNames>
    <sheetDataSet>
      <sheetData sheetId="0">
        <row r="4">
          <cell r="B4" t="str">
            <v>Лот 1 (Тип 1)</v>
          </cell>
          <cell r="C4" t="str">
            <v>Лот 1 (Тип 1)
Модульна будівля 6000х2500 
DDP: ДОЛИНСЬКЕ (Одеська область)</v>
          </cell>
          <cell r="D4">
            <v>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твій Бутенко" refreshedDate="46185.566643981481" createdVersion="6" refreshedVersion="8" minRefreshableVersion="3" recordCount="317" xr:uid="{DFE2D331-AC59-4692-AA80-AC524D52DCBE}">
  <cacheSource type="worksheet">
    <worksheetSource ref="A1:O1048576" sheet="Проект СС"/>
  </cacheSource>
  <cacheFields count="15">
    <cacheField name="№_x000a_" numFmtId="0">
      <sharedItems containsBlank="1"/>
    </cacheField>
    <cacheField name="Стаття в ДДС" numFmtId="0">
      <sharedItems containsBlank="1"/>
    </cacheField>
    <cacheField name="Робота/матеріал/додаткові" numFmtId="0">
      <sharedItems containsBlank="1" count="3">
        <m/>
        <s v="Робота"/>
        <s v="Матеріал"/>
      </sharedItems>
    </cacheField>
    <cacheField name="Виробництво/Будівництво" numFmtId="0">
      <sharedItems containsBlank="1"/>
    </cacheField>
    <cacheField name="Тип робіт" numFmtId="0">
      <sharedItems containsBlank="1" count="10">
        <m/>
        <s v="Каркас"/>
        <s v="Отделка"/>
        <s v="Фасад"/>
        <s v="Окна/двери"/>
        <s v="Электрика/Подогрев"/>
        <s v="Сантехника"/>
        <s v="Дополнительная Комплектация"/>
        <s v="Монтаж будинку"/>
        <s v="Загальновиробничі витрати"/>
      </sharedItems>
    </cacheField>
    <cacheField name="№_x000a_з/п" numFmtId="0">
      <sharedItems containsBlank="1"/>
    </cacheField>
    <cacheField name="Найменування робіт/витрат/матеріалів" numFmtId="0">
      <sharedItems containsBlank="1" containsMixedTypes="1" containsNumber="1" containsInteger="1" minValue="1" maxValue="1"/>
    </cacheField>
    <cacheField name="Найменування робіт/витрат/матеріалів узагальнена " numFmtId="0">
      <sharedItems containsBlank="1" containsMixedTypes="1" containsNumber="1" containsInteger="1" minValue="2" maxValue="2"/>
    </cacheField>
    <cacheField name="Од. вим." numFmtId="0">
      <sharedItems containsBlank="1" containsMixedTypes="1" containsNumber="1" minValue="5.0000000000000001E-3" maxValue="3"/>
    </cacheField>
    <cacheField name="Кіль-_x000a_кість" numFmtId="0">
      <sharedItems containsBlank="1" containsMixedTypes="1" containsNumber="1" minValue="0" maxValue="1742"/>
    </cacheField>
    <cacheField name="Вартість робіт за од.виміру, грн. з ПДВ" numFmtId="0">
      <sharedItems containsBlank="1" containsMixedTypes="1" containsNumber="1" containsInteger="1" minValue="5" maxValue="54000"/>
    </cacheField>
    <cacheField name="Вартість матеріалів за од.виміру, грн. з ПДВ" numFmtId="4">
      <sharedItems containsBlank="1" containsMixedTypes="1" containsNumber="1" minValue="0" maxValue="70000"/>
    </cacheField>
    <cacheField name="Вартість робіт за повний обсяг, грн. з ПДВ" numFmtId="4">
      <sharedItems containsBlank="1" containsMixedTypes="1" containsNumber="1" containsInteger="1" minValue="0" maxValue="7"/>
    </cacheField>
    <cacheField name="Вартість матеріалів  за повний обсяг, грн. з ПДВ" numFmtId="4">
      <sharedItems containsBlank="1" containsMixedTypes="1" containsNumber="1" minValue="0" maxValue="70000"/>
    </cacheField>
    <cacheField name="Всього,   грн. з ПДВ" numFmtId="4">
      <sharedItems containsString="0" containsBlank="1" containsNumber="1" minValue="0" maxValue="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s v="І"/>
    <m/>
    <x v="0"/>
    <m/>
    <x v="0"/>
    <s v="І"/>
    <s v="Каркас"/>
    <m/>
    <m/>
    <n v="0"/>
    <m/>
    <m/>
    <m/>
    <m/>
    <m/>
  </r>
  <r>
    <s v="1.1"/>
    <m/>
    <x v="0"/>
    <m/>
    <x v="0"/>
    <s v="1.1"/>
    <s v="РОБОТА"/>
    <m/>
    <m/>
    <m/>
    <m/>
    <n v="0"/>
    <m/>
    <m/>
    <m/>
  </r>
  <r>
    <s v="1.1.1"/>
    <s v="Зарплата производственного персонала"/>
    <x v="1"/>
    <s v="Виробництво/Будівництво"/>
    <x v="1"/>
    <s v="1.1.1"/>
    <s v="Приймання матеріалу"/>
    <m/>
    <s v="чол/год"/>
    <m/>
    <n v="200"/>
    <m/>
    <n v="0"/>
    <n v="0"/>
    <n v="0"/>
  </r>
  <r>
    <s v="1.1.2"/>
    <s v="Зарплата производственного персонала"/>
    <x v="1"/>
    <s v="Виробництво/Будівництво"/>
    <x v="1"/>
    <s v="1.1.2"/>
    <s v="Обробка матеріалу (дерево)"/>
    <m/>
    <s v="чол/год"/>
    <m/>
    <n v="200"/>
    <m/>
    <n v="0"/>
    <n v="0"/>
    <n v="0"/>
  </r>
  <r>
    <s v="1.1.3"/>
    <s v="Зарплата производственного персонала"/>
    <x v="1"/>
    <s v="Виробництво/Будівництво"/>
    <x v="1"/>
    <s v="1.1.3"/>
    <s v="Нарізання деталей зігдно креслень"/>
    <m/>
    <s v="чол/год"/>
    <m/>
    <n v="200"/>
    <m/>
    <n v="0"/>
    <n v="0"/>
    <n v="0"/>
  </r>
  <r>
    <s v="1.1.4"/>
    <s v="Зарплата производственного персонала"/>
    <x v="1"/>
    <s v="Виробництво/Будівництво"/>
    <x v="1"/>
    <s v="1.1.4"/>
    <s v="Збирання деталей"/>
    <m/>
    <s v="чол/год"/>
    <m/>
    <n v="200"/>
    <m/>
    <n v="0"/>
    <n v="0"/>
    <n v="0"/>
  </r>
  <r>
    <s v="1.1.5"/>
    <s v="Зарплата производственного персонала"/>
    <x v="1"/>
    <s v="Виробництво/Будівництво"/>
    <x v="1"/>
    <s v="1.1.5"/>
    <s v="зварювання (дерево  зєдання)"/>
    <m/>
    <s v="чол/год"/>
    <m/>
    <n v="200"/>
    <m/>
    <n v="0"/>
    <n v="0"/>
    <n v="0"/>
  </r>
  <r>
    <s v="1.1.6"/>
    <s v="Зарплата производственного персонала"/>
    <x v="1"/>
    <s v="Виробництво/Будівництво"/>
    <x v="1"/>
    <s v="1.1.6"/>
    <s v="Влаштування підшиви модуля"/>
    <m/>
    <s v="чол/год"/>
    <m/>
    <n v="200"/>
    <m/>
    <n v="0"/>
    <n v="0"/>
    <n v="0"/>
  </r>
  <r>
    <s v="1.1.7"/>
    <s v="Зарплата производственного персонала"/>
    <x v="1"/>
    <s v="Виробництво/Будівництво"/>
    <x v="1"/>
    <s v="1.1.7"/>
    <s v="Грунтування металокаркасу"/>
    <m/>
    <s v="чол/год"/>
    <m/>
    <n v="200"/>
    <m/>
    <n v="0"/>
    <n v="0"/>
    <n v="0"/>
  </r>
  <r>
    <s v="1.1.8"/>
    <s v="Зарплата производственного персонала"/>
    <x v="1"/>
    <s v="Виробництво/Будівництво"/>
    <x v="1"/>
    <s v="1.1.8"/>
    <s v="Фарубування металокаркасу"/>
    <m/>
    <s v="чол/год"/>
    <m/>
    <n v="200"/>
    <m/>
    <n v="0"/>
    <n v="0"/>
    <n v="0"/>
  </r>
  <r>
    <s v="1.2"/>
    <m/>
    <x v="0"/>
    <m/>
    <x v="0"/>
    <s v="1.2"/>
    <s v="МАТЕРІАЛИ"/>
    <m/>
    <m/>
    <m/>
    <m/>
    <m/>
    <m/>
    <m/>
    <m/>
  </r>
  <r>
    <s v="1.2.1"/>
    <s v="Строительные материалы"/>
    <x v="2"/>
    <s v="Виробництво/Будівництво"/>
    <x v="1"/>
    <s v="1.2.1"/>
    <s v="Труба металева Ст3 100*100*3"/>
    <s v="Профільна труба"/>
    <s v="м.п"/>
    <n v="50.2"/>
    <m/>
    <n v="473"/>
    <n v="0"/>
    <n v="23744.600000000002"/>
    <n v="23744.600000000002"/>
  </r>
  <r>
    <s v="1.2.2"/>
    <s v="Строительные материалы"/>
    <x v="2"/>
    <s v="Виробництво/Будівництво"/>
    <x v="1"/>
    <s v="1.2.2"/>
    <s v="Труба металева Ст3 50*50*2"/>
    <s v="Профільна труба"/>
    <s v="м.п."/>
    <n v="175.2"/>
    <m/>
    <n v="157"/>
    <n v="0"/>
    <n v="27506.399999999998"/>
    <n v="27506.399999999998"/>
  </r>
  <r>
    <s v="1.2.3"/>
    <s v="Строительные материалы"/>
    <x v="2"/>
    <s v="Виробництво/Будівництво"/>
    <x v="1"/>
    <s v="1.2.3"/>
    <s v="Труба металева Ст3 дв 40 *3,5"/>
    <s v="Профільна труба"/>
    <s v="м.п"/>
    <n v="1.2"/>
    <m/>
    <n v="151"/>
    <n v="0"/>
    <n v="181.2"/>
    <n v="181.2"/>
  </r>
  <r>
    <s v="1.2.4"/>
    <s v="Строительные материалы"/>
    <x v="2"/>
    <s v="Виробництво/Будівництво"/>
    <x v="1"/>
    <s v="1.2.4"/>
    <s v="Труба металева Ст3 дв 89 *3,5"/>
    <s v="Профільна труба"/>
    <s v="м.п."/>
    <n v="1"/>
    <m/>
    <n v="339"/>
    <n v="0"/>
    <n v="339"/>
    <n v="339"/>
  </r>
  <r>
    <s v="1.2.5"/>
    <s v="Строительные материалы"/>
    <x v="2"/>
    <s v="Виробництво/Будівництво"/>
    <x v="1"/>
    <s v="1.2.5"/>
    <s v="Лист 4мм"/>
    <s v="Лист ГК"/>
    <s v="м.кв."/>
    <n v="0.68"/>
    <m/>
    <n v="1207"/>
    <n v="0"/>
    <n v="820.7600000000001"/>
    <n v="820.7600000000001"/>
  </r>
  <r>
    <s v="1.2.6"/>
    <s v="Строительные материалы"/>
    <x v="2"/>
    <s v="Виробництво/Будівництво"/>
    <x v="1"/>
    <s v="1.2.6"/>
    <s v="Лист 8мм"/>
    <s v="Лист ГК"/>
    <s v="м.кв."/>
    <n v="1.2150000000000001"/>
    <m/>
    <n v="2487"/>
    <n v="0"/>
    <n v="3021.7050000000004"/>
    <n v="3021.7050000000004"/>
  </r>
  <r>
    <s v="1.2.7"/>
    <s v="Строительные материалы"/>
    <x v="2"/>
    <s v="Виробництво/Будівництво"/>
    <x v="1"/>
    <s v="1.2.7"/>
    <s v="Лист 14мм"/>
    <s v="Лист ГК"/>
    <s v="м.кв."/>
    <n v="0.12"/>
    <m/>
    <n v="4976"/>
    <n v="0"/>
    <n v="597.12"/>
    <n v="597.12"/>
  </r>
  <r>
    <s v="1.2.8"/>
    <s v="Строительные материалы"/>
    <x v="2"/>
    <s v="Виробництво/Будівництво"/>
    <x v="1"/>
    <s v="1.2.8"/>
    <s v="Гайка М48"/>
    <s v="Гайка"/>
    <s v="шт"/>
    <n v="6"/>
    <m/>
    <n v="1740"/>
    <n v="0"/>
    <n v="10440"/>
    <n v="10440"/>
  </r>
  <r>
    <s v="1.2.9"/>
    <s v="Строительные материалы"/>
    <x v="2"/>
    <s v="Виробництво/Будівництво"/>
    <x v="1"/>
    <s v="1.2.9"/>
    <s v="Шпилька М48 довжина 1000 мм"/>
    <s v="Шпилька"/>
    <s v="шт"/>
    <n v="3"/>
    <m/>
    <n v="3600"/>
    <n v="0"/>
    <n v="10800"/>
    <n v="10800"/>
  </r>
  <r>
    <s v="1.2.10"/>
    <s v="Строительные материалы"/>
    <x v="2"/>
    <s v="Виробництво/Будівництво"/>
    <x v="1"/>
    <s v="1.2.10"/>
    <s v="Гайка М24"/>
    <s v="Гайка"/>
    <s v="шт"/>
    <n v="14"/>
    <m/>
    <n v="154"/>
    <n v="0"/>
    <n v="2156"/>
    <n v="2156"/>
  </r>
  <r>
    <s v="1.2.11"/>
    <s v="Строительные материалы"/>
    <x v="2"/>
    <s v="Виробництво/Будівництво"/>
    <x v="1"/>
    <s v="1.2.11"/>
    <s v="Болт М24х200"/>
    <s v="Болт"/>
    <s v="шт"/>
    <n v="4"/>
    <m/>
    <n v="168"/>
    <n v="0"/>
    <n v="672"/>
    <n v="672"/>
  </r>
  <r>
    <s v="1.2.12"/>
    <s v="Строительные материалы"/>
    <x v="2"/>
    <s v="Виробництво/Будівництво"/>
    <x v="1"/>
    <s v="1.2.12"/>
    <s v="Труба 40*40*3"/>
    <s v="Профільна труба"/>
    <s v="м.п."/>
    <n v="72"/>
    <m/>
    <n v="165"/>
    <n v="0"/>
    <n v="11880"/>
    <n v="11880"/>
  </r>
  <r>
    <s v="1.2.13"/>
    <s v="Строительные материалы"/>
    <x v="2"/>
    <s v="Виробництво/Будівництво"/>
    <x v="1"/>
    <s v="1.2.13"/>
    <s v="кутик 32*32 *3"/>
    <s v="Кутик"/>
    <s v="м.п."/>
    <n v="10"/>
    <m/>
    <n v="62"/>
    <n v="0"/>
    <n v="620"/>
    <n v="620"/>
  </r>
  <r>
    <s v="1.2.14"/>
    <s v="Строительные материалы"/>
    <x v="2"/>
    <s v="Виробництво/Будівництво"/>
    <x v="1"/>
    <s v="1.2.14"/>
    <s v="пвл 406 1,25*2,5"/>
    <s v="Лист ПВЛ"/>
    <s v="лист"/>
    <n v="2"/>
    <m/>
    <n v="1799.27"/>
    <n v="0"/>
    <n v="3598.54"/>
    <n v="3598.54"/>
  </r>
  <r>
    <s v="1.2.15"/>
    <s v="Строительные материалы"/>
    <x v="2"/>
    <s v="Виробництво/Будівництво"/>
    <x v="1"/>
    <s v="1.2.15"/>
    <s v="Труба 50*50*4"/>
    <s v="Профільна труба"/>
    <s v="м.п."/>
    <n v="2"/>
    <m/>
    <n v="285"/>
    <n v="0"/>
    <n v="570"/>
    <n v="570"/>
  </r>
  <r>
    <s v="1.2.16"/>
    <s v="Строительные материалы"/>
    <x v="2"/>
    <s v="Виробництво/Будівництво"/>
    <x v="1"/>
    <s v="1.2.16"/>
    <s v="Болт м12 (60мм)"/>
    <s v="Болт"/>
    <s v="шт"/>
    <n v="16"/>
    <m/>
    <n v="30"/>
    <n v="0"/>
    <n v="480"/>
    <n v="480"/>
  </r>
  <r>
    <s v="1.2.17"/>
    <s v="Строительные материалы"/>
    <x v="2"/>
    <s v="Виробництво/Будівництво"/>
    <x v="1"/>
    <s v="1.2.17"/>
    <s v="Болт м12 (90мм)"/>
    <s v="Болт"/>
    <s v="шт"/>
    <n v="18"/>
    <m/>
    <n v="49"/>
    <n v="0"/>
    <n v="882"/>
    <n v="882"/>
  </r>
  <r>
    <s v="1.2.18"/>
    <s v="Строительные материалы"/>
    <x v="2"/>
    <s v="Виробництво/Будівництво"/>
    <x v="1"/>
    <s v="1.2.18"/>
    <s v="Гайки м12"/>
    <s v="Гайка"/>
    <s v="шт"/>
    <n v="35"/>
    <m/>
    <n v="7.73"/>
    <n v="0"/>
    <n v="270.55"/>
    <n v="270.55"/>
  </r>
  <r>
    <s v="1.2.19"/>
    <s v="Строительные материалы"/>
    <x v="2"/>
    <s v="Виробництво/Будівництво"/>
    <x v="1"/>
    <s v="1.2.19"/>
    <s v="шайба м12"/>
    <s v="Шайба"/>
    <s v="шт"/>
    <n v="46"/>
    <m/>
    <n v="19.100000000000001"/>
    <n v="0"/>
    <n v="878.6"/>
    <n v="878.6"/>
  </r>
  <r>
    <s v="1.2.20"/>
    <s v="Строительные материалы"/>
    <x v="2"/>
    <s v="Виробництво/Будівництво"/>
    <x v="1"/>
    <s v="1.2.20"/>
    <s v="гровер м12"/>
    <s v="Гровер"/>
    <s v="шт"/>
    <n v="46"/>
    <m/>
    <n v="1.6"/>
    <n v="0"/>
    <n v="73.600000000000009"/>
    <n v="73.600000000000009"/>
  </r>
  <r>
    <s v="1.2.21"/>
    <s v="Строительные материалы"/>
    <x v="2"/>
    <s v="Виробництво/Будівництво"/>
    <x v="1"/>
    <s v="1.2.21"/>
    <s v="Завіса 16мм"/>
    <s v="Завіси"/>
    <s v="шт"/>
    <n v="16"/>
    <m/>
    <n v="86"/>
    <n v="0"/>
    <n v="1376"/>
    <n v="1376"/>
  </r>
  <r>
    <s v="1.2.22"/>
    <s v="Строительные материалы"/>
    <x v="2"/>
    <s v="Виробництво/Будівництво"/>
    <x v="1"/>
    <s v="1.2.22"/>
    <s v="Фарба 3 в 1 сіра"/>
    <s v="Фарба"/>
    <s v="кг"/>
    <n v="23"/>
    <m/>
    <n v="168"/>
    <n v="0"/>
    <n v="3864"/>
    <n v="3864"/>
  </r>
  <r>
    <s v="1.2.23"/>
    <s v="Строительные материалы"/>
    <x v="2"/>
    <s v="Виробництво/Будівництво"/>
    <x v="1"/>
    <s v="1.2.23"/>
    <s v="Розчинник"/>
    <s v="Розчинник"/>
    <s v="л"/>
    <n v="4"/>
    <m/>
    <n v="96"/>
    <n v="0"/>
    <n v="384"/>
    <n v="384"/>
  </r>
  <r>
    <s v="1.2.24"/>
    <s v="Строительные материалы"/>
    <x v="2"/>
    <s v="Виробництво/Будівництво"/>
    <x v="1"/>
    <s v="1.2.24"/>
    <s v="Пінополістірол 100 мм (500*1000)"/>
    <s v="Пінополістірол"/>
    <s v="шт"/>
    <n v="40"/>
    <m/>
    <n v="312"/>
    <n v="0"/>
    <n v="12480"/>
    <n v="12480"/>
  </r>
  <r>
    <s v="1.2.25"/>
    <s v="Строительные материалы"/>
    <x v="2"/>
    <s v="Виробництво/Будівництво"/>
    <x v="1"/>
    <s v="1.2.25"/>
    <s v="Електроди 3 мм"/>
    <s v="Електроди"/>
    <s v="кг"/>
    <n v="8"/>
    <m/>
    <n v="167"/>
    <n v="0"/>
    <n v="1336"/>
    <n v="1336"/>
  </r>
  <r>
    <s v="1.2.26"/>
    <s v="Строительные материалы"/>
    <x v="2"/>
    <s v="Виробництво/Будівництво"/>
    <x v="1"/>
    <s v="1.2.26"/>
    <s v="Проволка зварна 1,2 мм"/>
    <s v="Дріт"/>
    <s v="кг"/>
    <n v="10"/>
    <m/>
    <n v="164"/>
    <n v="0"/>
    <n v="1640"/>
    <n v="1640"/>
  </r>
  <r>
    <s v="1.2.27"/>
    <s v="Строительные материалы"/>
    <x v="2"/>
    <s v="Виробництво/Будівництво"/>
    <x v="1"/>
    <s v="1.2.27"/>
    <s v="Мікс балон"/>
    <s v="мшп"/>
    <s v="балон"/>
    <n v="0.5"/>
    <m/>
    <n v="1276"/>
    <n v="0"/>
    <n v="638"/>
    <n v="638"/>
  </r>
  <r>
    <s v="1.2.28"/>
    <s v="Строительные материалы"/>
    <x v="2"/>
    <s v="Виробництво/Будівництво"/>
    <x v="1"/>
    <s v="1.2.28"/>
    <s v="Обрізний диск 230 мм"/>
    <s v="Обрізні диски"/>
    <s v="шт"/>
    <n v="5"/>
    <m/>
    <n v="96"/>
    <n v="0"/>
    <n v="480"/>
    <n v="480"/>
  </r>
  <r>
    <s v="1.2.29"/>
    <s v="Строительные материалы"/>
    <x v="2"/>
    <s v="Виробництво/Будівництво"/>
    <x v="1"/>
    <s v="1.2.29"/>
    <s v="Брус 50*50 сосна стругана"/>
    <s v="Брус"/>
    <s v="м.п"/>
    <n v="345"/>
    <m/>
    <n v="67"/>
    <n v="0"/>
    <n v="23115"/>
    <n v="23115"/>
  </r>
  <r>
    <s v="1.2.30"/>
    <s v="Строительные материалы"/>
    <x v="2"/>
    <s v="Виробництво/Будівництво"/>
    <x v="1"/>
    <s v="1.2.30"/>
    <s v="Страж (оброблення деревини)"/>
    <s v="Вогнезахист"/>
    <s v="кг"/>
    <n v="1.18"/>
    <m/>
    <n v="186"/>
    <n v="0"/>
    <n v="219.48"/>
    <n v="219.48"/>
  </r>
  <r>
    <s v="1.2.31"/>
    <s v="Строительные материалы"/>
    <x v="2"/>
    <s v="Виробництво/Будівництво"/>
    <x v="1"/>
    <s v="1.2.31"/>
    <s v="Дошка 20*100"/>
    <s v="Дошка"/>
    <s v="м.п"/>
    <n v="40"/>
    <m/>
    <n v="39"/>
    <n v="0"/>
    <n v="1560"/>
    <n v="1560"/>
  </r>
  <r>
    <s v="1.2.32"/>
    <s v="Строительные материалы"/>
    <x v="2"/>
    <s v="Виробництво/Будівництво"/>
    <x v="1"/>
    <s v="1.2.32"/>
    <s v="Замок навісний"/>
    <s v="Замок навісний"/>
    <s v="шт"/>
    <n v="1"/>
    <m/>
    <n v="350"/>
    <n v="0"/>
    <n v="350"/>
    <n v="350"/>
  </r>
  <r>
    <s v="1.2.33"/>
    <s v="Строительные материалы"/>
    <x v="2"/>
    <s v="Виробництво/Будівництво"/>
    <x v="1"/>
    <s v="1.2.33"/>
    <s v="Саморіз RAL 9003 5,5*32"/>
    <s v="Саморіз"/>
    <s v="шт"/>
    <n v="800"/>
    <m/>
    <n v="1.1200000000000001"/>
    <n v="0"/>
    <n v="896.00000000000011"/>
    <n v="896.00000000000011"/>
  </r>
  <r>
    <s v="1.2.34"/>
    <s v="Строительные материалы"/>
    <x v="2"/>
    <s v="Виробництво/Будівництво"/>
    <x v="1"/>
    <s v="1.2.34"/>
    <s v="Шуруп універсальний 4,5*45"/>
    <s v="Саморіз"/>
    <s v="шт"/>
    <n v="680"/>
    <m/>
    <n v="0.54"/>
    <n v="0"/>
    <n v="367.20000000000005"/>
    <n v="367.20000000000005"/>
  </r>
  <r>
    <s v="1.2.35"/>
    <s v="Строительные материалы"/>
    <x v="2"/>
    <s v="Виробництво/Будівництво"/>
    <x v="1"/>
    <s v="1.2.35"/>
    <s v="Шуруп універсальний 5*70"/>
    <s v="Саморіз"/>
    <s v="шт"/>
    <n v="1400"/>
    <m/>
    <n v="0.76"/>
    <n v="0"/>
    <n v="1064"/>
    <n v="1064"/>
  </r>
  <r>
    <s v="1.2.36"/>
    <s v="Строительные материалы"/>
    <x v="2"/>
    <s v="Виробництво/Будівництво"/>
    <x v="1"/>
    <s v="1.2.36"/>
    <s v="Саморіз 5,5*70"/>
    <s v="Саморіз"/>
    <s v="шт"/>
    <n v="860"/>
    <m/>
    <n v="0.81"/>
    <n v="0"/>
    <n v="696.6"/>
    <n v="696.6"/>
  </r>
  <r>
    <s v="1.2.37"/>
    <s v="Строительные материалы"/>
    <x v="2"/>
    <s v="Виробництво/Будівництво"/>
    <x v="1"/>
    <s v="1.2.37"/>
    <s v="Саморіз чорний 25 мм"/>
    <s v="Саморіз"/>
    <s v="шт"/>
    <n v="1227"/>
    <m/>
    <n v="0.25"/>
    <n v="0"/>
    <n v="306.75"/>
    <n v="306.75"/>
  </r>
  <r>
    <s v="1.2.38"/>
    <s v="Строительные материалы"/>
    <x v="2"/>
    <s v="Виробництво/Будівництво"/>
    <x v="1"/>
    <s v="1.2.38"/>
    <s v="Саморіз покрівельний 4,8*50"/>
    <s v="Саморіз"/>
    <s v="шт"/>
    <n v="1742"/>
    <m/>
    <n v="0.81"/>
    <n v="0"/>
    <n v="1411.02"/>
    <n v="1411.02"/>
  </r>
  <r>
    <s v="1.2.39"/>
    <s v="Строительные материалы"/>
    <x v="2"/>
    <s v="Виробництво/Будівництво"/>
    <x v="1"/>
    <s v="1.2.39"/>
    <s v="Гвинт з прес-шайбою 4,2*19"/>
    <s v="Гвинт"/>
    <s v="шт"/>
    <n v="227"/>
    <m/>
    <n v="0.93"/>
    <n v="0"/>
    <n v="211.11"/>
    <n v="211.11"/>
  </r>
  <r>
    <s v="1.2.40"/>
    <s v="Строительные материалы"/>
    <x v="2"/>
    <s v="Виробництво/Будівництво"/>
    <x v="1"/>
    <s v="1.2.40"/>
    <s v="Гвинт з прес-шайбою 4,2*16"/>
    <s v="Гвинт"/>
    <s v="шт"/>
    <n v="60"/>
    <m/>
    <n v="0.32"/>
    <n v="0"/>
    <n v="19.2"/>
    <n v="19.2"/>
  </r>
  <r>
    <s v="ІІ"/>
    <m/>
    <x v="0"/>
    <m/>
    <x v="0"/>
    <s v="ІІ"/>
    <s v="Отделка"/>
    <m/>
    <m/>
    <m/>
    <m/>
    <m/>
    <n v="0"/>
    <n v="0"/>
    <n v="0"/>
  </r>
  <r>
    <s v="2.1"/>
    <m/>
    <x v="0"/>
    <m/>
    <x v="0"/>
    <s v="2.1"/>
    <s v="РОБОТА"/>
    <m/>
    <m/>
    <m/>
    <m/>
    <m/>
    <n v="0"/>
    <n v="0"/>
    <n v="0"/>
  </r>
  <r>
    <s v="2.1.1"/>
    <s v="Зарплата производственного персонала"/>
    <x v="1"/>
    <s v="Виробництво/Будівництво"/>
    <x v="2"/>
    <s v="2.1.1"/>
    <s v="Утеплення та гідроізоляція підлоги"/>
    <m/>
    <s v="чол/год"/>
    <m/>
    <n v="200"/>
    <m/>
    <n v="0"/>
    <n v="0"/>
    <n v="0"/>
  </r>
  <r>
    <s v="2.1.2"/>
    <s v="Зарплата производственного персонала"/>
    <x v="1"/>
    <s v="Виробництво/Будівництво"/>
    <x v="2"/>
    <s v="2.1.2"/>
    <s v="Монтаж брусу по каркасу"/>
    <m/>
    <s v="чол/год"/>
    <m/>
    <n v="200"/>
    <m/>
    <n v="0"/>
    <n v="0"/>
    <n v="0"/>
  </r>
  <r>
    <s v="2.1.3"/>
    <s v="Зарплата производственного персонала"/>
    <x v="1"/>
    <s v="Виробництво/Будівництво"/>
    <x v="2"/>
    <s v="2.1.3"/>
    <s v="Пароізоляційна мембрана; "/>
    <m/>
    <s v="чол/год"/>
    <m/>
    <n v="200"/>
    <m/>
    <n v="0"/>
    <n v="0"/>
    <n v="0"/>
  </r>
  <r>
    <s v="2.1.4"/>
    <s v="Зарплата производственного персонала"/>
    <x v="1"/>
    <s v="Виробництво/Будівництво"/>
    <x v="2"/>
    <s v="2.1.4"/>
    <s v="Укладання Настил підлоги "/>
    <m/>
    <s v="чол/год"/>
    <m/>
    <n v="200"/>
    <m/>
    <n v="0"/>
    <n v="0"/>
    <n v="0"/>
  </r>
  <r>
    <s v="2.1.5"/>
    <s v="Зарплата производственного персонала"/>
    <x v="1"/>
    <s v="Виробництво/Будівництво"/>
    <x v="2"/>
    <s v="2.1.5"/>
    <s v="Гідроізоляційна та пароізоляція стін та стелі"/>
    <m/>
    <s v="чол/год"/>
    <m/>
    <n v="200"/>
    <m/>
    <n v="0"/>
    <n v="0"/>
    <n v="0"/>
  </r>
  <r>
    <s v="2.1.6"/>
    <s v="Зарплата производственного персонала"/>
    <x v="1"/>
    <s v="Виробництво/Будівництво"/>
    <x v="2"/>
    <s v="2.1.6"/>
    <s v="Утеплення стеля та стіни"/>
    <m/>
    <s v="чол/год"/>
    <m/>
    <n v="200"/>
    <m/>
    <n v="0"/>
    <n v="0"/>
    <n v="0"/>
  </r>
  <r>
    <s v="2.1.7"/>
    <s v="Зарплата производственного персонала"/>
    <x v="1"/>
    <s v="Виробництво/Будівництво"/>
    <x v="2"/>
    <s v="2.1.7"/>
    <s v="Монтаж фінішного оздоблення"/>
    <m/>
    <s v="чол/год"/>
    <m/>
    <n v="200"/>
    <m/>
    <n v="0"/>
    <n v="0"/>
    <n v="0"/>
  </r>
  <r>
    <s v="2.2"/>
    <m/>
    <x v="0"/>
    <m/>
    <x v="2"/>
    <s v="2.2"/>
    <s v="МАТЕРІАЛИ"/>
    <m/>
    <m/>
    <m/>
    <m/>
    <m/>
    <n v="0"/>
    <n v="0"/>
    <n v="0"/>
  </r>
  <r>
    <s v="2.2.1"/>
    <s v="Строительные материалы"/>
    <x v="2"/>
    <s v="Виробництво/Будівництво"/>
    <x v="2"/>
    <s v="2.2.1"/>
    <s v="Вітробарєр"/>
    <s v="Вітробарєр"/>
    <s v="м2"/>
    <n v="42"/>
    <m/>
    <n v="29"/>
    <n v="0"/>
    <n v="1218"/>
    <n v="1218"/>
  </r>
  <r>
    <s v="2.2.2"/>
    <s v="Строительные материалы"/>
    <x v="2"/>
    <s v="Виробництво/Будівництво"/>
    <x v="2"/>
    <s v="2.2.2"/>
    <s v="Паро-гідро бар'єр"/>
    <s v="Паробар'єр"/>
    <s v="м2"/>
    <n v="120"/>
    <m/>
    <n v="13"/>
    <n v="0"/>
    <n v="1560"/>
    <n v="1560"/>
  </r>
  <r>
    <s v="2.2.3"/>
    <s v="Строительные материалы"/>
    <x v="2"/>
    <s v="Виробництво/Будівництво"/>
    <x v="2"/>
    <s v="2.2.3"/>
    <s v="Пінопласт товщина 50 мм"/>
    <s v="Пінопласт"/>
    <s v="м2"/>
    <n v="44"/>
    <m/>
    <n v="88"/>
    <n v="0"/>
    <n v="3872"/>
    <n v="3872"/>
  </r>
  <r>
    <s v="2.2.4"/>
    <s v="Строительные материалы"/>
    <x v="2"/>
    <s v="Виробництво/Будівництво"/>
    <x v="2"/>
    <s v="2.2.4"/>
    <s v="Мінеральна вата (100 мм)"/>
    <s v="Мінеральна вата"/>
    <s v="м2"/>
    <n v="55"/>
    <m/>
    <n v="176"/>
    <n v="0"/>
    <n v="9680"/>
    <n v="9680"/>
  </r>
  <r>
    <s v="2.2.5"/>
    <s v="Строительные материалы"/>
    <x v="2"/>
    <s v="Виробництво/Будівництво"/>
    <x v="2"/>
    <s v="2.2.5"/>
    <s v="Мінеральна вата (50 мм)"/>
    <s v="Мінеральна вата"/>
    <s v="м2"/>
    <n v="171"/>
    <m/>
    <n v="77"/>
    <n v="0"/>
    <n v="13167"/>
    <n v="13167"/>
  </r>
  <r>
    <s v="2.2.6"/>
    <s v="Строительные материалы"/>
    <x v="2"/>
    <s v="Виробництво/Будівництво"/>
    <x v="2"/>
    <s v="2.2.6"/>
    <s v="ЦСП панель 20 мм"/>
    <s v="Плита ЦСП"/>
    <s v="шт"/>
    <n v="5"/>
    <m/>
    <n v="7700"/>
    <n v="0"/>
    <n v="38500"/>
    <n v="38500"/>
  </r>
  <r>
    <s v="2.2.7"/>
    <s v="Строительные материалы"/>
    <x v="2"/>
    <s v="Виробництво/Будівництво"/>
    <x v="2"/>
    <s v="2.2.7"/>
    <s v="Лінолеум комерційний на підлогу"/>
    <s v="Лінолеум"/>
    <s v="м2"/>
    <n v="18"/>
    <m/>
    <n v="515"/>
    <n v="0"/>
    <n v="9270"/>
    <n v="9270"/>
  </r>
  <r>
    <s v="2.2.8"/>
    <s v="Строительные материалы"/>
    <x v="2"/>
    <s v="Виробництво/Будівництво"/>
    <x v="2"/>
    <s v="2.2.8"/>
    <s v="Лінолеум на стіни"/>
    <s v="Лінолеум"/>
    <s v="м2"/>
    <n v="80.099999999999994"/>
    <m/>
    <n v="429"/>
    <n v="0"/>
    <n v="34362.899999999994"/>
    <n v="34362.899999999994"/>
  </r>
  <r>
    <s v="2.2.9"/>
    <s v="Строительные материалы"/>
    <x v="2"/>
    <s v="Виробництво/Будівництво"/>
    <x v="2"/>
    <s v="2.2.9"/>
    <s v="Клей для лінолеума"/>
    <s v="Клей для лінолеума"/>
    <s v="кг"/>
    <n v="26"/>
    <m/>
    <n v="321.37"/>
    <n v="0"/>
    <n v="8355.6200000000008"/>
    <n v="8355.6200000000008"/>
  </r>
  <r>
    <s v="2.2.10"/>
    <s v="Строительные материалы"/>
    <x v="2"/>
    <s v="Виробництво/Будівництво"/>
    <x v="2"/>
    <s v="2.2.10"/>
    <s v="Плінтус"/>
    <s v="Плінтус"/>
    <s v="м.п"/>
    <n v="35"/>
    <m/>
    <n v="132.58000000000001"/>
    <n v="0"/>
    <n v="4640.3"/>
    <n v="4640.3"/>
  </r>
  <r>
    <s v="2.2.11"/>
    <s v="Строительные материалы"/>
    <x v="2"/>
    <s v="Виробництво/Будівництво"/>
    <x v="2"/>
    <s v="2.2.11"/>
    <s v="ПВХ вагонка 8мм біла"/>
    <s v="ПВХ вагонка"/>
    <s v="м2"/>
    <n v="18"/>
    <m/>
    <n v="229"/>
    <n v="0"/>
    <n v="4122"/>
    <n v="4122"/>
  </r>
  <r>
    <s v="2.2.12"/>
    <s v="Строительные материалы"/>
    <x v="2"/>
    <s v="Виробництво/Будівництво"/>
    <x v="2"/>
    <s v="2.2.12"/>
    <s v="Меблевий кутик"/>
    <s v="Кутик"/>
    <s v="м.п"/>
    <n v="84"/>
    <m/>
    <n v="75"/>
    <n v="0"/>
    <n v="6300"/>
    <n v="6300"/>
  </r>
  <r>
    <s v="2.2.13"/>
    <s v="Строительные материалы"/>
    <x v="2"/>
    <s v="Виробництво/Будівництво"/>
    <x v="2"/>
    <s v="2.2.13"/>
    <s v="Дверцята ревізійні пластикові"/>
    <s v="Дверцята ревізійні пластикові"/>
    <s v="шт"/>
    <n v="4"/>
    <m/>
    <n v="227"/>
    <n v="0"/>
    <n v="908"/>
    <n v="908"/>
  </r>
  <r>
    <s v="2.2.14"/>
    <s v="Строительные материалы"/>
    <x v="2"/>
    <s v="Виробництво/Будівництво"/>
    <x v="2"/>
    <s v="2.2.14"/>
    <s v="ОСБ плита 10 мм"/>
    <s v="Плита ОСБ"/>
    <s v="шт"/>
    <n v="25"/>
    <m/>
    <n v="635"/>
    <n v="0"/>
    <n v="15875"/>
    <n v="15875"/>
  </r>
  <r>
    <s v="2.2.15"/>
    <s v="Строительные материалы"/>
    <x v="2"/>
    <s v="Виробництво/Будівництво"/>
    <x v="2"/>
    <s v="2.2.15"/>
    <s v="Грунт під клей"/>
    <s v="Грунт"/>
    <s v="кг"/>
    <n v="20"/>
    <m/>
    <n v="226"/>
    <n v="0"/>
    <n v="4520"/>
    <n v="4520"/>
  </r>
  <r>
    <s v="2.2.16"/>
    <s v="Строительные материалы"/>
    <x v="2"/>
    <s v="Виробництво/Будівництво"/>
    <x v="2"/>
    <s v="2.2.16"/>
    <s v="Герметик акриловий"/>
    <s v="Герметик"/>
    <s v="шт"/>
    <n v="10"/>
    <m/>
    <n v="217"/>
    <n v="0"/>
    <n v="2170"/>
    <n v="2170"/>
  </r>
  <r>
    <s v="2.2.17"/>
    <s v="Строительные материалы"/>
    <x v="2"/>
    <s v="Виробництво/Будівництво"/>
    <x v="2"/>
    <s v="2.2.17"/>
    <s v="Клей монтажнй білий"/>
    <s v="клей"/>
    <s v="шт"/>
    <n v="4"/>
    <m/>
    <n v="267"/>
    <n v="0"/>
    <n v="1068"/>
    <n v="1068"/>
  </r>
  <r>
    <s v="2.2.18"/>
    <s v="Строительные материалы"/>
    <x v="2"/>
    <s v="Виробництво/Будівництво"/>
    <x v="2"/>
    <s v="2.2.18"/>
    <s v="Теплий відкос"/>
    <s v="Теплий відкос"/>
    <s v="лист"/>
    <n v="1"/>
    <m/>
    <n v="1670"/>
    <n v="0"/>
    <n v="1670"/>
    <n v="1670"/>
  </r>
  <r>
    <s v="2.2.19"/>
    <s v="Строительные материалы"/>
    <x v="2"/>
    <s v="Виробництво/Будівництво"/>
    <x v="2"/>
    <s v="2.2.19"/>
    <s v="Кутики білі 30*30 мм"/>
    <s v="Кутик"/>
    <s v="шт"/>
    <n v="15"/>
    <m/>
    <n v="56"/>
    <n v="0"/>
    <n v="840"/>
    <n v="840"/>
  </r>
  <r>
    <s v="2.2.20"/>
    <s v="Строительные материалы"/>
    <x v="2"/>
    <s v="Виробництво/Будівництво"/>
    <x v="2"/>
    <s v="2.2.20"/>
    <s v="Кутики білі 50*50 мм"/>
    <s v="Кутик"/>
    <s v="шт"/>
    <n v="6"/>
    <m/>
    <n v="103"/>
    <n v="0"/>
    <n v="618"/>
    <n v="618"/>
  </r>
  <r>
    <s v="2.2.21"/>
    <s v="Строительные материалы"/>
    <x v="2"/>
    <s v="Виробництво/Будівництво"/>
    <x v="2"/>
    <s v="2.2.21"/>
    <s v="Піна клей"/>
    <s v="Піна клей"/>
    <s v="шт"/>
    <n v="4"/>
    <m/>
    <n v="293"/>
    <n v="0"/>
    <n v="1172"/>
    <n v="1172"/>
  </r>
  <r>
    <s v="ІІІ"/>
    <m/>
    <x v="0"/>
    <m/>
    <x v="0"/>
    <s v="ІІІ"/>
    <s v="Фасад"/>
    <s v="Фасад"/>
    <m/>
    <m/>
    <m/>
    <m/>
    <n v="0"/>
    <n v="0"/>
    <n v="0"/>
  </r>
  <r>
    <s v="3.1"/>
    <m/>
    <x v="0"/>
    <m/>
    <x v="0"/>
    <s v="3.1"/>
    <s v="РОБОТА"/>
    <m/>
    <m/>
    <m/>
    <m/>
    <m/>
    <n v="0"/>
    <n v="0"/>
    <n v="0"/>
  </r>
  <r>
    <s v="3.1.1"/>
    <s v="Зарплата производственного персонала"/>
    <x v="1"/>
    <s v="Виробництво/Будівництво"/>
    <x v="3"/>
    <s v="3.1.1"/>
    <s v="монтаж обрешітки по  каркасу"/>
    <m/>
    <s v="чол/год"/>
    <m/>
    <n v="200"/>
    <m/>
    <n v="0"/>
    <n v="0"/>
    <n v="0"/>
  </r>
  <r>
    <s v="3.1.2"/>
    <s v="Зарплата производственного персонала"/>
    <x v="1"/>
    <s v="Виробництво/Будівництво"/>
    <x v="3"/>
    <s v="3.1.2"/>
    <s v="Гідроізоляційна плівка "/>
    <m/>
    <s v="чол/год"/>
    <m/>
    <n v="200"/>
    <m/>
    <n v="0"/>
    <n v="0"/>
    <n v="0"/>
  </r>
  <r>
    <s v="3.1.3"/>
    <s v="Зарплата производственного персонала"/>
    <x v="1"/>
    <s v="Виробництво/Будівництво"/>
    <x v="3"/>
    <s v="3.1.3"/>
    <s v="монтаж фасаду та покрівлі"/>
    <m/>
    <s v="чол/год"/>
    <m/>
    <n v="200"/>
    <m/>
    <n v="0"/>
    <n v="0"/>
    <n v="0"/>
  </r>
  <r>
    <s v="3.1"/>
    <m/>
    <x v="0"/>
    <m/>
    <x v="3"/>
    <s v="3.1"/>
    <s v="МАТЕРІАЛИ"/>
    <m/>
    <m/>
    <m/>
    <m/>
    <m/>
    <n v="0"/>
    <n v="0"/>
    <n v="0"/>
  </r>
  <r>
    <s v="3.1.1"/>
    <s v="Строительные материалы"/>
    <x v="2"/>
    <s v="Виробництво/Будівництво"/>
    <x v="3"/>
    <s v="3.1.1"/>
    <s v="Порфлист ПК 8"/>
    <s v="Профнастил"/>
    <s v="м2"/>
    <n v="16.5"/>
    <m/>
    <n v="286"/>
    <n v="0"/>
    <n v="4719"/>
    <n v="4719"/>
  </r>
  <r>
    <s v="3.1.2"/>
    <s v="Строительные материалы"/>
    <x v="2"/>
    <s v="Виробництво/Будівництво"/>
    <x v="3"/>
    <s v="3.1.2"/>
    <s v="Порфлист ПК 20 Покрівля"/>
    <s v="Профнастил"/>
    <s v="м2"/>
    <n v="21"/>
    <m/>
    <n v="289"/>
    <n v="0"/>
    <n v="6069"/>
    <n v="6069"/>
  </r>
  <r>
    <s v="3.1.3"/>
    <s v="Строительные материалы"/>
    <x v="2"/>
    <s v="Виробництво/Будівництво"/>
    <x v="3"/>
    <s v="3.1.3"/>
    <s v="Порфлист ПК 10 Стіни"/>
    <s v="Профнастил"/>
    <s v="м2"/>
    <n v="105"/>
    <m/>
    <n v="281"/>
    <n v="0"/>
    <n v="29505"/>
    <n v="29505"/>
  </r>
  <r>
    <s v="3.1.4"/>
    <s v="Строительные материалы"/>
    <x v="2"/>
    <s v="Виробництво/Будівництво"/>
    <x v="3"/>
    <s v="3.1.4"/>
    <s v="Гладкий лист білий"/>
    <s v="Гладкий лист метал"/>
    <s v="м2"/>
    <n v="23"/>
    <m/>
    <n v="277"/>
    <n v="0"/>
    <n v="6371"/>
    <n v="6371"/>
  </r>
  <r>
    <s v="3.1.5"/>
    <s v="Строительные материалы"/>
    <x v="2"/>
    <s v="Виробництво/Будівництво"/>
    <x v="3"/>
    <s v="3.1.5"/>
    <s v="Ринва"/>
    <s v="Ринва"/>
    <s v="шт"/>
    <n v="3"/>
    <m/>
    <n v="403"/>
    <n v="0"/>
    <n v="1209"/>
    <n v="1209"/>
  </r>
  <r>
    <s v="3.1.6"/>
    <s v="Строительные материалы"/>
    <x v="2"/>
    <s v="Виробництво/Будівництво"/>
    <x v="3"/>
    <s v="3.1.6"/>
    <s v="труба"/>
    <s v="Труба водостічна"/>
    <s v="шт"/>
    <n v="2"/>
    <m/>
    <n v="442"/>
    <n v="0"/>
    <n v="884"/>
    <n v="884"/>
  </r>
  <r>
    <s v="3.1.7"/>
    <s v="Строительные материалы"/>
    <x v="2"/>
    <s v="Виробництво/Будівництво"/>
    <x v="3"/>
    <s v="3.1.7"/>
    <s v="Злив лівий"/>
    <s v="Злив лівий"/>
    <s v="шт"/>
    <n v="2"/>
    <m/>
    <n v="495"/>
    <n v="0"/>
    <n v="990"/>
    <n v="990"/>
  </r>
  <r>
    <s v="3.1.8"/>
    <s v="Строительные материалы"/>
    <x v="2"/>
    <s v="Виробництво/Будівництво"/>
    <x v="3"/>
    <s v="3.1.8"/>
    <s v="Злив правий"/>
    <s v="Злив правий"/>
    <s v="шт"/>
    <n v="1"/>
    <m/>
    <n v="495"/>
    <n v="0"/>
    <n v="495"/>
    <n v="495"/>
  </r>
  <r>
    <s v="3.1.9"/>
    <s v="Строительные материалы"/>
    <x v="2"/>
    <s v="Виробництво/Будівництво"/>
    <x v="3"/>
    <s v="3.1.9"/>
    <s v="Відвід 45"/>
    <s v="Відвід"/>
    <s v="шт"/>
    <n v="2"/>
    <m/>
    <n v="196"/>
    <n v="0"/>
    <n v="392"/>
    <n v="392"/>
  </r>
  <r>
    <s v="3.1.10"/>
    <s v="Строительные материалы"/>
    <x v="2"/>
    <s v="Виробництво/Будівництво"/>
    <x v="3"/>
    <s v="3.1.10"/>
    <s v="кріплення ринви"/>
    <s v="Держак ринви"/>
    <s v="шт"/>
    <n v="8"/>
    <m/>
    <n v="123"/>
    <n v="0"/>
    <n v="984"/>
    <n v="984"/>
  </r>
  <r>
    <s v="3.1.11"/>
    <s v="Строительные материалы"/>
    <x v="2"/>
    <s v="Виробництво/Будівництво"/>
    <x v="3"/>
    <s v="3.1.11"/>
    <s v="кріплення труби"/>
    <s v="Комплект кріплення труб"/>
    <s v="шт"/>
    <n v="4"/>
    <m/>
    <n v="206"/>
    <n v="0"/>
    <n v="824"/>
    <n v="824"/>
  </r>
  <r>
    <s v="3.1.12"/>
    <s v="Строительные материалы"/>
    <x v="2"/>
    <s v="Виробництво/Будівництво"/>
    <x v="3"/>
    <s v="3.1.12"/>
    <s v="зєднувачі ринви"/>
    <s v="З'єднувач ринви"/>
    <s v="шт"/>
    <n v="2"/>
    <m/>
    <n v="365"/>
    <n v="0"/>
    <n v="730"/>
    <n v="730"/>
  </r>
  <r>
    <s v="IV"/>
    <m/>
    <x v="0"/>
    <m/>
    <x v="0"/>
    <s v="IV"/>
    <s v="Вікна/двері"/>
    <s v="Вікна"/>
    <m/>
    <m/>
    <m/>
    <m/>
    <n v="0"/>
    <n v="0"/>
    <n v="0"/>
  </r>
  <r>
    <s v="4.1"/>
    <m/>
    <x v="0"/>
    <m/>
    <x v="0"/>
    <s v="4.1"/>
    <s v="РОБОТА"/>
    <m/>
    <m/>
    <m/>
    <m/>
    <m/>
    <n v="0"/>
    <n v="0"/>
    <n v="0"/>
  </r>
  <r>
    <s v="4.1.1"/>
    <s v="Зарплата производственного персонала"/>
    <x v="1"/>
    <s v="Виробництво/Будівництво"/>
    <x v="4"/>
    <s v="4.1.1"/>
    <s v="монтаж  вікон "/>
    <m/>
    <s v="чол/год"/>
    <m/>
    <n v="200"/>
    <m/>
    <n v="0"/>
    <n v="0"/>
    <n v="0"/>
  </r>
  <r>
    <s v="4.1.2"/>
    <s v="Зарплата производственного персонала"/>
    <x v="1"/>
    <s v="Виробництво/Будівництво"/>
    <x v="4"/>
    <s v="4.1.2"/>
    <s v="монтаж вхідних  дверей"/>
    <m/>
    <s v="чол/год"/>
    <m/>
    <n v="200"/>
    <m/>
    <n v="0"/>
    <n v="0"/>
    <n v="0"/>
  </r>
  <r>
    <s v="4.1.3"/>
    <s v="Зарплата производственного персонала"/>
    <x v="1"/>
    <s v="Виробництво/Будівництво"/>
    <x v="4"/>
    <s v="4.1.3"/>
    <s v="монтаж  мдф дверей"/>
    <m/>
    <s v="чол/год"/>
    <m/>
    <n v="200"/>
    <m/>
    <n v="0"/>
    <n v="0"/>
    <n v="0"/>
  </r>
  <r>
    <s v="4.1.4"/>
    <s v="Зарплата производственного персонала"/>
    <x v="1"/>
    <s v="Виробництво/Будівництво"/>
    <x v="4"/>
    <s v="4.1.4"/>
    <s v="монтаж  металопластикових  дврей"/>
    <m/>
    <s v="чол/год"/>
    <m/>
    <n v="200"/>
    <m/>
    <n v="0"/>
    <n v="0"/>
    <n v="0"/>
  </r>
  <r>
    <s v="4.2"/>
    <m/>
    <x v="0"/>
    <m/>
    <x v="0"/>
    <s v="4.2"/>
    <s v="МАТЕРІАЛИ"/>
    <m/>
    <m/>
    <m/>
    <m/>
    <m/>
    <n v="0"/>
    <n v="0"/>
    <n v="0"/>
  </r>
  <r>
    <s v="4.2.1"/>
    <s v="Строительные материалы"/>
    <x v="2"/>
    <s v="Виробництво/Будівництво"/>
    <x v="4"/>
    <s v="4.2.1"/>
    <s v="Вікно металопластик 870*1140"/>
    <s v="Вікно металопластикове"/>
    <s v="шт"/>
    <n v="3"/>
    <m/>
    <n v="10240"/>
    <n v="0"/>
    <n v="30720"/>
    <n v="30720"/>
  </r>
  <r>
    <s v="4.2.2"/>
    <s v="Строительные материалы"/>
    <x v="2"/>
    <s v="Виробництво/Будівництво"/>
    <x v="4"/>
    <s v="4.2.2"/>
    <s v="Вхідні двері металеві"/>
    <s v="Вхідні двері металеві"/>
    <s v="шт"/>
    <n v="1"/>
    <m/>
    <n v="31000"/>
    <n v="0"/>
    <n v="31000"/>
    <n v="31000"/>
  </r>
  <r>
    <s v="4.2.3"/>
    <s v="Строительные материалы"/>
    <x v="2"/>
    <s v="Виробництво/Будівництво"/>
    <x v="4"/>
    <s v="4.2.3"/>
    <s v="Двері внутрішні"/>
    <s v="Внутрішні двері металопластикові"/>
    <s v="шт"/>
    <n v="3"/>
    <m/>
    <n v="12823"/>
    <n v="0"/>
    <n v="38469"/>
    <n v="38469"/>
  </r>
  <r>
    <s v="4.2.4"/>
    <s v="Строительные материалы"/>
    <x v="2"/>
    <s v="Виробництво/Будівництво"/>
    <x v="4"/>
    <s v="4.2.4"/>
    <s v="Підвіконик ПВХ"/>
    <s v="Підвіконик ПВХ"/>
    <s v="шт"/>
    <n v="3"/>
    <m/>
    <n v="573"/>
    <n v="0"/>
    <n v="1719"/>
    <n v="1719"/>
  </r>
  <r>
    <s v="4.2.5"/>
    <s v="Строительные материалы"/>
    <x v="2"/>
    <s v="Виробництво/Будівництво"/>
    <x v="4"/>
    <s v="4.2.5"/>
    <s v="Піна монтажна"/>
    <s v="мшп"/>
    <s v="балон"/>
    <n v="3"/>
    <m/>
    <n v="297"/>
    <n v="0"/>
    <n v="891"/>
    <n v="891"/>
  </r>
  <r>
    <s v="V"/>
    <m/>
    <x v="0"/>
    <m/>
    <x v="0"/>
    <s v="V"/>
    <s v="Электрика/Подогрев"/>
    <s v="Электрика"/>
    <m/>
    <m/>
    <m/>
    <m/>
    <n v="0"/>
    <n v="0"/>
    <n v="0"/>
  </r>
  <r>
    <s v="5.1"/>
    <m/>
    <x v="0"/>
    <m/>
    <x v="0"/>
    <s v="5.1"/>
    <s v="РОБОТА"/>
    <m/>
    <m/>
    <m/>
    <m/>
    <m/>
    <n v="0"/>
    <n v="0"/>
    <n v="0"/>
  </r>
  <r>
    <s v="5.1.1"/>
    <s v="Зарплата производственного персонала"/>
    <x v="1"/>
    <s v="Виробництво/Будівництво"/>
    <x v="5"/>
    <s v="5.1.1"/>
    <s v="монтаж електрокабеля"/>
    <m/>
    <s v="чол/год"/>
    <m/>
    <n v="15000"/>
    <m/>
    <n v="0"/>
    <n v="0"/>
    <n v="0"/>
  </r>
  <r>
    <s v="5.1.2"/>
    <s v="Зарплата производственного персонала"/>
    <x v="1"/>
    <s v="Виробництво/Будівництво"/>
    <x v="5"/>
    <s v="5.1.2"/>
    <s v="монтаж електрофурнітури"/>
    <m/>
    <s v="чол/год"/>
    <m/>
    <n v="15000"/>
    <m/>
    <n v="0"/>
    <n v="0"/>
    <n v="0"/>
  </r>
  <r>
    <s v="5.1.3"/>
    <s v="Зарплата производственного персонала"/>
    <x v="1"/>
    <s v="Виробництво/Будівництво"/>
    <x v="5"/>
    <s v="5.1.3"/>
    <s v="монтаж електроприборів"/>
    <m/>
    <s v="чол/год"/>
    <m/>
    <n v="15000"/>
    <m/>
    <n v="0"/>
    <n v="0"/>
    <n v="0"/>
  </r>
  <r>
    <s v="5.2"/>
    <m/>
    <x v="0"/>
    <m/>
    <x v="5"/>
    <s v="5.2"/>
    <s v="МАТЕРІАЛИ"/>
    <m/>
    <m/>
    <m/>
    <m/>
    <m/>
    <n v="0"/>
    <n v="0"/>
    <n v="0"/>
  </r>
  <r>
    <s v="5.2.1"/>
    <s v="Строительные материалы"/>
    <x v="2"/>
    <s v="Виробництво/Будівництво"/>
    <x v="5"/>
    <s v="5.2.1"/>
    <s v="Щиток пластиковий"/>
    <s v="Розподільчий щит"/>
    <s v="шт"/>
    <n v="1"/>
    <m/>
    <n v="928.01"/>
    <n v="0"/>
    <n v="928.01"/>
    <n v="928.01"/>
  </r>
  <r>
    <s v="5.2.2"/>
    <s v="Строительные материалы"/>
    <x v="2"/>
    <s v="Виробництво/Будівництво"/>
    <x v="5"/>
    <s v="5.2.2"/>
    <s v="ВВГнгд 3х4 кабель"/>
    <s v="Кабель"/>
    <s v="м.п"/>
    <n v="30"/>
    <m/>
    <n v="75.27"/>
    <n v="0"/>
    <n v="2258.1"/>
    <n v="2258.1"/>
  </r>
  <r>
    <s v="5.2.3"/>
    <s v="Строительные материалы"/>
    <x v="2"/>
    <s v="Виробництво/Будівництво"/>
    <x v="5"/>
    <s v="5.2.3"/>
    <s v="ВВГнгд 3х2,5"/>
    <s v="Кабель"/>
    <s v="м.п"/>
    <n v="60"/>
    <m/>
    <n v="61"/>
    <n v="0"/>
    <n v="3660"/>
    <n v="3660"/>
  </r>
  <r>
    <s v="5.2.4"/>
    <s v="Строительные материалы"/>
    <x v="2"/>
    <s v="Виробництво/Будівництво"/>
    <x v="5"/>
    <s v="5.2.4"/>
    <s v="ВВГнгд 3х1,5"/>
    <s v="Кабель"/>
    <s v="м.п"/>
    <n v="50"/>
    <m/>
    <n v="55"/>
    <n v="0"/>
    <n v="2750"/>
    <n v="2750"/>
  </r>
  <r>
    <s v="5.2.5"/>
    <s v="Строительные материалы"/>
    <x v="2"/>
    <s v="Виробництво/Будівництво"/>
    <x v="5"/>
    <s v="5.2.5"/>
    <s v="Труба ПВХ гнучка 20мм"/>
    <s v="Труба гофра"/>
    <s v="м"/>
    <n v="50"/>
    <m/>
    <n v="20"/>
    <n v="0"/>
    <n v="1000"/>
    <n v="1000"/>
  </r>
  <r>
    <s v="5.2.6"/>
    <s v="Строительные материалы"/>
    <x v="2"/>
    <s v="Виробництво/Будівництво"/>
    <x v="5"/>
    <s v="5.2.6"/>
    <s v="Модульний автомат 10А"/>
    <s v="Вимикач"/>
    <s v="шт"/>
    <n v="1"/>
    <m/>
    <n v="124"/>
    <n v="0"/>
    <n v="124"/>
    <n v="124"/>
  </r>
  <r>
    <s v="5.2.7"/>
    <s v="Строительные материалы"/>
    <x v="2"/>
    <s v="Виробництво/Будівництво"/>
    <x v="5"/>
    <s v="5.2.7"/>
    <s v="Модульний автомат 16А"/>
    <s v="Вимикач"/>
    <s v="шт"/>
    <n v="3"/>
    <m/>
    <n v="142.5"/>
    <n v="0"/>
    <n v="427.5"/>
    <n v="427.5"/>
  </r>
  <r>
    <s v="5.2.8"/>
    <s v="Строительные материалы"/>
    <x v="2"/>
    <s v="Виробництво/Будівництво"/>
    <x v="5"/>
    <s v="5.2.8"/>
    <s v="Модульний автомат 25А"/>
    <s v="Вимикач"/>
    <s v="шт"/>
    <n v="1"/>
    <m/>
    <n v="137.65"/>
    <n v="0"/>
    <n v="137.65"/>
    <n v="137.65"/>
  </r>
  <r>
    <s v="5.2.9"/>
    <s v="Строительные материалы"/>
    <x v="2"/>
    <s v="Виробництво/Будівництво"/>
    <x v="5"/>
    <s v="5.2.9"/>
    <s v="Шина нульова"/>
    <s v="Шина нульова на ізоляторі"/>
    <s v="шт"/>
    <n v="1"/>
    <m/>
    <n v="96"/>
    <n v="0"/>
    <n v="96"/>
    <n v="96"/>
  </r>
  <r>
    <s v="5.2.10"/>
    <s v="Строительные материалы"/>
    <x v="2"/>
    <s v="Виробництво/Будівництво"/>
    <x v="5"/>
    <s v="5.2.10"/>
    <s v="Розподільча коробка 100*100*45"/>
    <s v="Розподільча коробка"/>
    <s v="шт"/>
    <n v="3"/>
    <m/>
    <n v="107"/>
    <n v="0"/>
    <n v="321"/>
    <n v="321"/>
  </r>
  <r>
    <s v="5.2.11"/>
    <s v="Строительные материалы"/>
    <x v="2"/>
    <s v="Виробництво/Будівництво"/>
    <x v="5"/>
    <s v="5.2.11"/>
    <s v="Клема WGn-2"/>
    <s v="Клема з'єднувальна"/>
    <s v="шт"/>
    <n v="8"/>
    <m/>
    <n v="9.23"/>
    <n v="0"/>
    <n v="73.84"/>
    <n v="73.84"/>
  </r>
  <r>
    <s v="5.2.12"/>
    <s v="Строительные материалы"/>
    <x v="2"/>
    <s v="Виробництво/Будівництво"/>
    <x v="5"/>
    <s v="5.2.12"/>
    <s v="Клема WGn-3"/>
    <s v="Клема з'єднувальна"/>
    <s v="шт"/>
    <n v="7"/>
    <m/>
    <n v="12.36"/>
    <n v="0"/>
    <n v="86.52"/>
    <n v="86.52"/>
  </r>
  <r>
    <s v="5.2.13"/>
    <s v="Строительные материалы"/>
    <x v="2"/>
    <s v="Виробництво/Будівництво"/>
    <x v="5"/>
    <s v="5.2.13"/>
    <s v="Клема WGn-5"/>
    <s v="Клема з'єднувальна"/>
    <s v="шт"/>
    <n v="4"/>
    <m/>
    <n v="15.8"/>
    <n v="0"/>
    <n v="63.2"/>
    <n v="63.2"/>
  </r>
  <r>
    <s v="5.2.14"/>
    <s v="Строительные материалы"/>
    <x v="2"/>
    <s v="Виробництво/Будівництво"/>
    <x v="5"/>
    <s v="5.2.14"/>
    <s v="MB002 Коробка монтажна"/>
    <s v="Розподільча коробка"/>
    <s v="шт"/>
    <n v="14"/>
    <m/>
    <n v="99"/>
    <n v="0"/>
    <n v="1386"/>
    <n v="1386"/>
  </r>
  <r>
    <s v="5.2.15"/>
    <s v="Строительные материалы"/>
    <x v="2"/>
    <s v="Виробництво/Будівництво"/>
    <x v="5"/>
    <s v="5.2.15"/>
    <s v="Розетка стаціонарна 32А IP44"/>
    <s v="Розетка стаціонарна"/>
    <s v="шт"/>
    <n v="2"/>
    <m/>
    <n v="125"/>
    <n v="0"/>
    <n v="250"/>
    <n v="250"/>
  </r>
  <r>
    <s v="5.2.16"/>
    <s v="Строительные материалы"/>
    <x v="2"/>
    <s v="Виробництво/Будівництво"/>
    <x v="5"/>
    <s v="5.2.16"/>
    <s v="Вилка переносна 32А IP44"/>
    <s v="Вилка переносна"/>
    <s v="шт"/>
    <n v="2"/>
    <m/>
    <n v="69.38"/>
    <n v="0"/>
    <n v="138.76"/>
    <n v="138.76"/>
  </r>
  <r>
    <s v="5.2.17"/>
    <s v="Строительные материалы"/>
    <x v="2"/>
    <s v="Виробництво/Будівництво"/>
    <x v="5"/>
    <s v="5.2.17"/>
    <s v="LED світильник 12W"/>
    <s v="Світильник"/>
    <s v="шт"/>
    <n v="3"/>
    <m/>
    <n v="199"/>
    <n v="0"/>
    <n v="597"/>
    <n v="597"/>
  </r>
  <r>
    <s v="5.2.18"/>
    <s v="Строительные материалы"/>
    <x v="2"/>
    <s v="Виробництво/Будівництво"/>
    <x v="5"/>
    <s v="5.2.18"/>
    <s v="Лед.св.офісний PANEL 43 36W"/>
    <s v="Світильник"/>
    <s v="шт"/>
    <n v="2"/>
    <m/>
    <n v="681"/>
    <n v="0"/>
    <n v="1362"/>
    <n v="1362"/>
  </r>
  <r>
    <s v="5.2.19"/>
    <s v="Строительные материалы"/>
    <x v="2"/>
    <s v="Виробництво/Будівництво"/>
    <x v="5"/>
    <s v="5.2.19"/>
    <s v="Світлодіод.акс. Рамка"/>
    <s v="Світильник"/>
    <s v="шт"/>
    <n v="2"/>
    <m/>
    <n v="623"/>
    <n v="0"/>
    <n v="1246"/>
    <n v="1246"/>
  </r>
  <r>
    <s v="5.2.20"/>
    <s v="Строительные материалы"/>
    <x v="2"/>
    <s v="Виробництво/Будівництво"/>
    <x v="5"/>
    <s v="5.2.20"/>
    <s v="Світильник аварійний"/>
    <s v="Світильник"/>
    <s v="шт"/>
    <n v="1"/>
    <m/>
    <n v="326"/>
    <n v="0"/>
    <n v="326"/>
    <n v="326"/>
  </r>
  <r>
    <s v="5.2.21"/>
    <s v="Строительные материалы"/>
    <x v="2"/>
    <s v="Виробництво/Будівництво"/>
    <x v="5"/>
    <s v="5.2.21"/>
    <s v="Світ-к стінний_MAGNUM 60W"/>
    <s v="Світильник"/>
    <s v="шт"/>
    <n v="1"/>
    <m/>
    <n v="675"/>
    <n v="0"/>
    <n v="675"/>
    <n v="675"/>
  </r>
  <r>
    <s v="5.2.22"/>
    <s v="Строительные материалы"/>
    <x v="2"/>
    <s v="Виробництво/Будівництво"/>
    <x v="5"/>
    <s v="5.2.22"/>
    <s v="Світлодіод.лампа 15 Вт"/>
    <s v="Світильник"/>
    <s v="шт"/>
    <n v="1"/>
    <m/>
    <n v="547"/>
    <n v="0"/>
    <n v="547"/>
    <n v="547"/>
  </r>
  <r>
    <s v="5.2.23"/>
    <s v="Строительные материалы"/>
    <x v="2"/>
    <s v="Виробництво/Будівництво"/>
    <x v="5"/>
    <s v="5.2.23"/>
    <s v="Вимикач двоклавішний"/>
    <s v="Вимикач"/>
    <s v="шт"/>
    <n v="3"/>
    <m/>
    <n v="211"/>
    <n v="0"/>
    <n v="633"/>
    <n v="633"/>
  </r>
  <r>
    <s v="5.2.24"/>
    <s v="Строительные материалы"/>
    <x v="2"/>
    <s v="Виробництво/Будівництво"/>
    <x v="5"/>
    <s v="5.2.24"/>
    <s v="Рамка 1-постова"/>
    <s v="Рамка"/>
    <s v="шт"/>
    <n v="3"/>
    <m/>
    <n v="65"/>
    <n v="0"/>
    <n v="195"/>
    <n v="195"/>
  </r>
  <r>
    <s v="5.2.25"/>
    <s v="Строительные материалы"/>
    <x v="2"/>
    <s v="Виробництво/Будівництво"/>
    <x v="5"/>
    <s v="5.2.25"/>
    <s v="Вимикач 1-кл. 10A"/>
    <s v="Вимикач"/>
    <s v="шт"/>
    <n v="2"/>
    <m/>
    <n v="136"/>
    <n v="0"/>
    <n v="272"/>
    <n v="272"/>
  </r>
  <r>
    <s v="5.2.26"/>
    <s v="Строительные материалы"/>
    <x v="2"/>
    <s v="Виробництво/Будівництво"/>
    <x v="5"/>
    <s v="5.2.26"/>
    <s v="Розетка із заземленням"/>
    <s v="Розетка стаціонарна"/>
    <s v="шт"/>
    <n v="3"/>
    <m/>
    <n v="204"/>
    <n v="0"/>
    <n v="612"/>
    <n v="612"/>
  </r>
  <r>
    <s v="5.2.27"/>
    <s v="Строительные материалы"/>
    <x v="2"/>
    <s v="Виробництво/Будівництво"/>
    <x v="5"/>
    <s v="5.2.27"/>
    <s v="Розетка з з/к IP44"/>
    <s v="Розетка стаціонарна"/>
    <s v="шт"/>
    <n v="3"/>
    <m/>
    <n v="187"/>
    <n v="0"/>
    <n v="561"/>
    <n v="561"/>
  </r>
  <r>
    <s v="5.2.28"/>
    <s v="Строительные материалы"/>
    <x v="2"/>
    <s v="Виробництво/Будівництво"/>
    <x v="5"/>
    <s v="5.2.28"/>
    <s v="РОЗЕТКА ПОДВІЙНА"/>
    <s v="Розетка стаціонарна"/>
    <s v="шт"/>
    <n v="4"/>
    <m/>
    <n v="203"/>
    <n v="0"/>
    <n v="812"/>
    <n v="812"/>
  </r>
  <r>
    <s v="5.2.29"/>
    <s v="Строительные материалы"/>
    <x v="2"/>
    <s v="Виробництво/Будівництво"/>
    <x v="5"/>
    <s v="5.2.29"/>
    <s v="Комплект теплої підлоги"/>
    <s v="Комплект теплої підлоги"/>
    <s v="шт"/>
    <n v="1"/>
    <m/>
    <n v="2560"/>
    <n v="0"/>
    <n v="2560"/>
    <n v="2560"/>
  </r>
  <r>
    <s v="5.2.30"/>
    <s v="Строительные материалы"/>
    <x v="2"/>
    <s v="Виробництво/Будівництво"/>
    <x v="5"/>
    <s v="5.2.30"/>
    <s v="Вентилятор Домовент 100 СВ"/>
    <s v="Вентилятор"/>
    <s v="шт"/>
    <n v="2"/>
    <m/>
    <n v="560"/>
    <n v="0"/>
    <n v="1120"/>
    <n v="1120"/>
  </r>
  <r>
    <s v="5.2.31"/>
    <s v="Строительные материалы"/>
    <x v="2"/>
    <s v="Виробництво/Будівництво"/>
    <x v="5"/>
    <s v="5.2.31"/>
    <s v="KO100-1 Канал d100/1"/>
    <s v="Канал вентеляційний"/>
    <s v="шт"/>
    <n v="1"/>
    <m/>
    <n v="257.81"/>
    <n v="0"/>
    <n v="257.81"/>
    <n v="257.81"/>
  </r>
  <r>
    <s v="5.2.32"/>
    <s v="Строительные материалы"/>
    <x v="2"/>
    <s v="Виробництво/Будівництво"/>
    <x v="5"/>
    <s v="5.2.32"/>
    <s v="МВ 102 ВК АБС"/>
    <s v="Гратка"/>
    <s v="шт"/>
    <n v="3"/>
    <m/>
    <n v="220.32"/>
    <n v="0"/>
    <n v="660.96"/>
    <n v="660.96"/>
  </r>
  <r>
    <s v="5.2.33"/>
    <s v="Строительные материалы"/>
    <x v="2"/>
    <s v="Виробництво/Будівництво"/>
    <x v="5"/>
    <s v="5.2.33"/>
    <s v="Ізоляційна стрічка"/>
    <s v="Ізоляційна стрічка"/>
    <s v="шт"/>
    <n v="2"/>
    <m/>
    <n v="25"/>
    <n v="0"/>
    <n v="50"/>
    <n v="50"/>
  </r>
  <r>
    <s v="5.2.34"/>
    <s v="Строительные материалы"/>
    <x v="2"/>
    <s v="Виробництво/Будівництво"/>
    <x v="5"/>
    <s v="5.2.34"/>
    <s v="АВР"/>
    <s v="АВР"/>
    <s v="шт"/>
    <n v="1"/>
    <m/>
    <n v="2760"/>
    <n v="0"/>
    <n v="2760"/>
    <n v="2760"/>
  </r>
  <r>
    <s v="5.2.35"/>
    <s v="Строительные материалы"/>
    <x v="2"/>
    <s v="Виробництво/Будівництво"/>
    <x v="5"/>
    <s v="5.2.35"/>
    <s v="Обігрівач керамічний"/>
    <s v="Обігрівач"/>
    <s v="шт"/>
    <n v="4"/>
    <m/>
    <n v="2500"/>
    <n v="0"/>
    <n v="10000"/>
    <n v="10000"/>
  </r>
  <r>
    <s v="VI"/>
    <m/>
    <x v="0"/>
    <m/>
    <x v="0"/>
    <s v="VI"/>
    <s v="Сантехника"/>
    <m/>
    <m/>
    <m/>
    <m/>
    <m/>
    <n v="0"/>
    <n v="0"/>
    <n v="0"/>
  </r>
  <r>
    <s v="6.1"/>
    <m/>
    <x v="0"/>
    <m/>
    <x v="0"/>
    <s v="6.1"/>
    <s v="РОБОТА"/>
    <m/>
    <m/>
    <m/>
    <m/>
    <m/>
    <n v="0"/>
    <n v="0"/>
    <n v="0"/>
  </r>
  <r>
    <s v="6.1.1"/>
    <s v="Зарплата производственного персонала"/>
    <x v="1"/>
    <s v="Виробництво/Будівництво"/>
    <x v="6"/>
    <s v="6.1.1"/>
    <s v="монтаж  трубопроводів"/>
    <m/>
    <s v="чол/год"/>
    <m/>
    <n v="200"/>
    <m/>
    <n v="0"/>
    <n v="0"/>
    <n v="0"/>
  </r>
  <r>
    <s v="6.1.2"/>
    <s v="Зарплата производственного персонала"/>
    <x v="1"/>
    <s v="Виробництво/Будівництво"/>
    <x v="6"/>
    <s v="6.1.2"/>
    <s v="монтаж  каналізаційних  труб"/>
    <m/>
    <s v="чол/год"/>
    <m/>
    <n v="200"/>
    <m/>
    <n v="0"/>
    <n v="0"/>
    <n v="0"/>
  </r>
  <r>
    <s v="6.1.3"/>
    <s v="Зарплата производственного персонала"/>
    <x v="1"/>
    <s v="Виробництво/Будівництво"/>
    <x v="6"/>
    <s v="6.1.3"/>
    <s v="монтаж  сантехнічних  приборів"/>
    <m/>
    <s v="чол/год"/>
    <m/>
    <n v="200"/>
    <m/>
    <n v="0"/>
    <n v="0"/>
    <n v="0"/>
  </r>
  <r>
    <s v="6.1.4"/>
    <s v="Зарплата производственного персонала"/>
    <x v="1"/>
    <s v="Виробництво/Будівництво"/>
    <x v="6"/>
    <s v="6.1.4"/>
    <s v="підключення та перевірка сантехнічного  обладнання"/>
    <m/>
    <s v="чол/год"/>
    <m/>
    <n v="200"/>
    <m/>
    <n v="0"/>
    <n v="0"/>
    <n v="0"/>
  </r>
  <r>
    <s v="6.2"/>
    <m/>
    <x v="0"/>
    <m/>
    <x v="0"/>
    <s v="6.2"/>
    <s v="МАТЕРІАЛИ"/>
    <m/>
    <m/>
    <m/>
    <m/>
    <m/>
    <n v="0"/>
    <n v="0"/>
    <n v="0"/>
  </r>
  <r>
    <s v="6.2.1"/>
    <s v="Строительные материалы"/>
    <x v="2"/>
    <s v="Виробництво/Будівництво"/>
    <x v="6"/>
    <s v="6.2.1"/>
    <s v="Труба ПВХ д32 (500мм)"/>
    <s v="Труба каналізаційна"/>
    <s v="шт"/>
    <n v="1"/>
    <m/>
    <n v="115"/>
    <n v="0"/>
    <n v="115"/>
    <n v="115"/>
  </r>
  <r>
    <s v="6.2.2"/>
    <s v="Строительные материалы"/>
    <x v="2"/>
    <s v="Виробництво/Будівництво"/>
    <x v="6"/>
    <s v="6.2.2"/>
    <s v="Труба ПВХ д32 (1000мм)"/>
    <s v="Труба каналізаційна"/>
    <s v="шт"/>
    <n v="1"/>
    <m/>
    <n v="201"/>
    <n v="0"/>
    <n v="201"/>
    <n v="201"/>
  </r>
  <r>
    <s v="6.2.3"/>
    <s v="Строительные материалы"/>
    <x v="2"/>
    <s v="Виробництво/Будівництво"/>
    <x v="6"/>
    <s v="6.2.3"/>
    <s v="Труба ПВХ д110 (500мм)"/>
    <s v="Труба каналізаційна"/>
    <s v="шт"/>
    <n v="1"/>
    <m/>
    <n v="305"/>
    <n v="0"/>
    <n v="305"/>
    <n v="305"/>
  </r>
  <r>
    <s v="6.2.4"/>
    <s v="Строительные материалы"/>
    <x v="2"/>
    <s v="Виробництво/Будівництво"/>
    <x v="6"/>
    <s v="6.2.4"/>
    <s v="Труба ПВХ д110 (3000мм)"/>
    <s v="Труба каналізаційна"/>
    <s v="шт"/>
    <n v="1"/>
    <m/>
    <n v="622"/>
    <n v="0"/>
    <n v="622"/>
    <n v="622"/>
  </r>
  <r>
    <s v="6.2.5"/>
    <s v="Строительные материалы"/>
    <x v="2"/>
    <s v="Виробництво/Будівництво"/>
    <x v="6"/>
    <s v="6.2.5"/>
    <s v="Відвід ПВХ д110 45"/>
    <s v="відвід"/>
    <s v="шт"/>
    <n v="3"/>
    <m/>
    <n v="260"/>
    <n v="0"/>
    <n v="780"/>
    <n v="780"/>
  </r>
  <r>
    <s v="6.2.6"/>
    <s v="Строительные материалы"/>
    <x v="2"/>
    <s v="Виробництво/Будівництво"/>
    <x v="6"/>
    <s v="6.2.6"/>
    <s v="Відвід ПВХ д32 87"/>
    <s v="відвід"/>
    <s v="шт"/>
    <n v="2"/>
    <m/>
    <n v="98"/>
    <n v="0"/>
    <n v="196"/>
    <n v="196"/>
  </r>
  <r>
    <s v="6.2.7"/>
    <s v="Строительные материалы"/>
    <x v="2"/>
    <s v="Виробництво/Будівництво"/>
    <x v="6"/>
    <s v="6.2.7"/>
    <s v="Сантехнічна редукція 50х32"/>
    <s v="Сантехнічна редукція"/>
    <s v="шт"/>
    <n v="1"/>
    <m/>
    <n v="87"/>
    <n v="0"/>
    <n v="87"/>
    <n v="87"/>
  </r>
  <r>
    <s v="6.2.8"/>
    <s v="Строительные материалы"/>
    <x v="2"/>
    <s v="Виробництво/Будівництво"/>
    <x v="6"/>
    <s v="6.2.8"/>
    <s v="Перехід ексентричний 110х50"/>
    <s v="Перехід"/>
    <s v="шт"/>
    <n v="1"/>
    <m/>
    <n v="129"/>
    <n v="0"/>
    <n v="129"/>
    <n v="129"/>
  </r>
  <r>
    <s v="6.2.9"/>
    <s v="Строительные материалы"/>
    <x v="2"/>
    <s v="Виробництво/Будівництво"/>
    <x v="6"/>
    <s v="6.2.9"/>
    <s v="Трійник д110 87"/>
    <s v="Трійник"/>
    <s v="шт"/>
    <n v="1"/>
    <m/>
    <n v="268"/>
    <n v="0"/>
    <n v="268"/>
    <n v="268"/>
  </r>
  <r>
    <s v="6.2.10"/>
    <s v="Строительные материалы"/>
    <x v="2"/>
    <s v="Виробництво/Будівництво"/>
    <x v="6"/>
    <s v="6.2.10"/>
    <s v="Трійник д32 87"/>
    <s v="Трійник"/>
    <s v="шт"/>
    <n v="1"/>
    <m/>
    <n v="87"/>
    <n v="0"/>
    <n v="87"/>
    <n v="87"/>
  </r>
  <r>
    <s v="6.2.11"/>
    <s v="Строительные материалы"/>
    <x v="2"/>
    <s v="Виробництво/Будівництво"/>
    <x v="6"/>
    <s v="6.2.11"/>
    <s v="Заглушка д110"/>
    <s v="Заглушка"/>
    <s v="шт"/>
    <n v="1"/>
    <m/>
    <n v="125"/>
    <n v="0"/>
    <n v="125"/>
    <n v="125"/>
  </r>
  <r>
    <s v="6.2.12"/>
    <s v="Строительные материалы"/>
    <x v="2"/>
    <s v="Виробництво/Будівництво"/>
    <x v="6"/>
    <s v="6.2.12"/>
    <s v="Манжена для унітаза"/>
    <s v="Манжета для унітаза"/>
    <s v="шт"/>
    <n v="1"/>
    <m/>
    <n v="176.4"/>
    <n v="0"/>
    <n v="176.4"/>
    <n v="176.4"/>
  </r>
  <r>
    <s v="6.2.13"/>
    <s v="Строительные материалы"/>
    <x v="2"/>
    <s v="Виробництво/Будівництво"/>
    <x v="6"/>
    <s v="6.2.13"/>
    <s v="Сифон для раковини"/>
    <s v="Сифон"/>
    <s v="шт"/>
    <n v="1"/>
    <m/>
    <n v="267"/>
    <n v="0"/>
    <n v="267"/>
    <n v="267"/>
  </r>
  <r>
    <s v="6.2.14"/>
    <s v="Строительные материалы"/>
    <x v="2"/>
    <s v="Виробництво/Будівництво"/>
    <x v="6"/>
    <s v="6.2.14"/>
    <s v="Сифон для душ. Піддону"/>
    <s v="Сифон"/>
    <s v="шт"/>
    <n v="1"/>
    <m/>
    <n v="723"/>
    <n v="0"/>
    <n v="723"/>
    <n v="723"/>
  </r>
  <r>
    <s v="6.2.15"/>
    <s v="Строительные материалы"/>
    <x v="2"/>
    <s v="Виробництво/Будівництво"/>
    <x v="6"/>
    <s v="6.2.15"/>
    <s v="Комплект кріплень 104-112 мм"/>
    <s v="Кріплення"/>
    <s v="шт"/>
    <n v="3"/>
    <m/>
    <n v="117"/>
    <n v="0"/>
    <n v="351"/>
    <n v="351"/>
  </r>
  <r>
    <s v="6.2.16"/>
    <s v="Строительные материалы"/>
    <x v="2"/>
    <s v="Виробництво/Будівництво"/>
    <x v="6"/>
    <s v="6.2.16"/>
    <s v="Комплект кріплення труб 31-37мм"/>
    <s v="Кріплення"/>
    <s v="шт"/>
    <n v="5"/>
    <m/>
    <n v="77"/>
    <n v="0"/>
    <n v="385"/>
    <n v="385"/>
  </r>
  <r>
    <s v="6.2.17"/>
    <s v="Строительные материалы"/>
    <x v="2"/>
    <s v="Виробництво/Будівництво"/>
    <x v="6"/>
    <s v="6.2.17"/>
    <s v="Труба ППР д20"/>
    <s v="Труба ПВХ"/>
    <s v="м"/>
    <n v="14"/>
    <m/>
    <n v="87"/>
    <n v="0"/>
    <n v="1218"/>
    <n v="1218"/>
  </r>
  <r>
    <s v="6.2.18"/>
    <s v="Строительные материалы"/>
    <x v="2"/>
    <s v="Виробництво/Будівництво"/>
    <x v="6"/>
    <s v="6.2.18"/>
    <s v="Відвід ППР д20"/>
    <s v="відвід"/>
    <s v="шт"/>
    <n v="7"/>
    <m/>
    <n v="68"/>
    <n v="0"/>
    <n v="476"/>
    <n v="476"/>
  </r>
  <r>
    <s v="6.2.19"/>
    <s v="Строительные материалы"/>
    <x v="2"/>
    <s v="Виробництво/Будівництво"/>
    <x v="6"/>
    <s v="6.2.19"/>
    <s v="Обвід ППР д20"/>
    <s v="Коліно"/>
    <s v="шт"/>
    <n v="2"/>
    <m/>
    <n v="77"/>
    <n v="0"/>
    <n v="154"/>
    <n v="154"/>
  </r>
  <r>
    <s v="6.2.20"/>
    <s v="Строительные материалы"/>
    <x v="2"/>
    <s v="Виробництво/Будівництво"/>
    <x v="6"/>
    <s v="6.2.20"/>
    <s v="Трійник ППР д20"/>
    <s v="Трійник"/>
    <s v="шт"/>
    <n v="1"/>
    <m/>
    <n v="73.400000000000006"/>
    <n v="0"/>
    <n v="73.400000000000006"/>
    <n v="73.400000000000006"/>
  </r>
  <r>
    <s v="6.2.21"/>
    <s v="Строительные материалы"/>
    <x v="2"/>
    <s v="Виробництво/Будівництво"/>
    <x v="6"/>
    <s v="6.2.21"/>
    <s v="Трійник ППР д20х1,2&quot; зов"/>
    <s v="Трійник"/>
    <s v="шт"/>
    <n v="1"/>
    <m/>
    <n v="73.400000000000006"/>
    <n v="0"/>
    <n v="73.400000000000006"/>
    <n v="73.400000000000006"/>
  </r>
  <r>
    <s v="6.2.22"/>
    <s v="Строительные материалы"/>
    <x v="2"/>
    <s v="Виробництво/Будівництво"/>
    <x v="6"/>
    <s v="6.2.22"/>
    <s v="Перехід ППР д20х1,2&quot; зов"/>
    <s v="перехід"/>
    <s v="шт"/>
    <n v="7"/>
    <m/>
    <n v="67"/>
    <n v="0"/>
    <n v="469"/>
    <n v="469"/>
  </r>
  <r>
    <s v="6.2.23"/>
    <s v="Строительные материалы"/>
    <x v="2"/>
    <s v="Виробництво/Будівництво"/>
    <x v="6"/>
    <s v="6.2.23"/>
    <s v="Кран &quot;метелик&quot; 1,2&quot; ЗВ"/>
    <s v="Кран"/>
    <s v="шт"/>
    <n v="6"/>
    <m/>
    <n v="324"/>
    <n v="0"/>
    <n v="1944"/>
    <n v="1944"/>
  </r>
  <r>
    <s v="6.2.24"/>
    <s v="Строительные материалы"/>
    <x v="2"/>
    <s v="Виробництво/Будівництво"/>
    <x v="6"/>
    <s v="6.2.24"/>
    <s v="Шланг водяний 1,2&quot; ВВ 300мм"/>
    <s v="Шланг водяний"/>
    <s v="шт"/>
    <n v="3"/>
    <m/>
    <n v="116.4"/>
    <n v="0"/>
    <n v="349.20000000000005"/>
    <n v="349.20000000000005"/>
  </r>
  <r>
    <s v="6.2.25"/>
    <s v="Строительные материалы"/>
    <x v="2"/>
    <s v="Виробництво/Будівництво"/>
    <x v="6"/>
    <s v="6.2.25"/>
    <s v="Перехід латунний 1,2&quot;х3,4&quot;"/>
    <s v="перехід"/>
    <s v="шт"/>
    <n v="1"/>
    <m/>
    <n v="111"/>
    <n v="0"/>
    <n v="111"/>
    <n v="111"/>
  </r>
  <r>
    <s v="6.2.26"/>
    <s v="Строительные материалы"/>
    <x v="2"/>
    <s v="Виробництво/Будівництво"/>
    <x v="6"/>
    <s v="6.2.26"/>
    <s v="Зворотній клапан 1,2&quot; ВВ"/>
    <s v="Клапан зворотній"/>
    <s v="шт"/>
    <n v="1"/>
    <m/>
    <n v="196.6"/>
    <n v="0"/>
    <n v="196.6"/>
    <n v="196.6"/>
  </r>
  <r>
    <s v="6.2.27"/>
    <s v="Строительные материалы"/>
    <x v="2"/>
    <s v="Виробництво/Будівництво"/>
    <x v="6"/>
    <s v="6.2.27"/>
    <s v="З'єднувач компресійний 25 мм"/>
    <s v="з'єднувачі"/>
    <s v="шт"/>
    <n v="3"/>
    <m/>
    <n v="129.80000000000001"/>
    <n v="0"/>
    <n v="389.40000000000003"/>
    <n v="389.40000000000003"/>
  </r>
  <r>
    <s v="6.2.28"/>
    <s v="Строительные материалы"/>
    <x v="2"/>
    <s v="Виробництво/Будівництво"/>
    <x v="6"/>
    <s v="6.2.28"/>
    <s v="Труба ПЕ д25"/>
    <s v="Труба ПВХ"/>
    <s v="м"/>
    <n v="50"/>
    <m/>
    <n v="29"/>
    <n v="0"/>
    <n v="1450"/>
    <n v="1450"/>
  </r>
  <r>
    <s v="6.2.29"/>
    <s v="Строительные материалы"/>
    <x v="2"/>
    <s v="Виробництво/Будівництво"/>
    <x v="6"/>
    <s v="6.2.29"/>
    <s v="Хомут для труб PP-R д20"/>
    <s v="Хомут"/>
    <s v="шт"/>
    <n v="14"/>
    <m/>
    <n v="66"/>
    <n v="0"/>
    <n v="924"/>
    <n v="924"/>
  </r>
  <r>
    <s v="6.2.30"/>
    <s v="Строительные материалы"/>
    <x v="2"/>
    <s v="Виробництво/Будівництво"/>
    <x v="6"/>
    <s v="6.2.30"/>
    <s v="Підключення емкості"/>
    <s v="Комплект для підключення змішувача"/>
    <s v="шт"/>
    <n v="1"/>
    <m/>
    <n v="208"/>
    <n v="0"/>
    <n v="208"/>
    <n v="208"/>
  </r>
  <r>
    <s v="6.2.31"/>
    <s v="Строительные материалы"/>
    <x v="2"/>
    <s v="Виробництво/Будівництво"/>
    <x v="6"/>
    <s v="6.2.31"/>
    <s v="Насосна станція"/>
    <s v="Насосна станція"/>
    <s v="шт"/>
    <n v="1"/>
    <m/>
    <n v="6700"/>
    <n v="0"/>
    <n v="6700"/>
    <n v="6700"/>
  </r>
  <r>
    <s v="6.2.32"/>
    <s v="Строительные материалы"/>
    <x v="2"/>
    <s v="Виробництво/Будівництво"/>
    <x v="6"/>
    <s v="6.2.32"/>
    <s v="Бойлер на 82 л"/>
    <s v="Бойлер електричний"/>
    <s v="шт"/>
    <n v="1"/>
    <m/>
    <n v="9200"/>
    <n v="0"/>
    <n v="9200"/>
    <n v="9200"/>
  </r>
  <r>
    <s v="6.2.33"/>
    <s v="Строительные материалы"/>
    <x v="2"/>
    <s v="Виробництво/Будівництво"/>
    <x v="6"/>
    <s v="6.2.33"/>
    <s v="Раковина"/>
    <s v="Умивальник"/>
    <s v="шт"/>
    <n v="1"/>
    <m/>
    <n v="1200"/>
    <n v="0"/>
    <n v="1200"/>
    <n v="1200"/>
  </r>
  <r>
    <s v="6.2.34"/>
    <s v="Строительные материалы"/>
    <x v="2"/>
    <s v="Виробництво/Будівництво"/>
    <x v="6"/>
    <s v="6.2.34"/>
    <s v="Унітаз, косий"/>
    <s v="Унітаз-Компакт"/>
    <s v="шт"/>
    <n v="1"/>
    <m/>
    <n v="4230"/>
    <n v="0"/>
    <n v="4230"/>
    <n v="4230"/>
  </r>
  <r>
    <s v="6.2.35"/>
    <s v="Строительные материалы"/>
    <x v="2"/>
    <s v="Виробництво/Будівництво"/>
    <x v="6"/>
    <s v="6.2.35"/>
    <s v="Бойлер на 30 л"/>
    <s v="Бойлер електричний"/>
    <s v="шт"/>
    <n v="1"/>
    <m/>
    <n v="5600"/>
    <n v="0"/>
    <n v="5600"/>
    <n v="5600"/>
  </r>
  <r>
    <s v="VII"/>
    <m/>
    <x v="0"/>
    <m/>
    <x v="0"/>
    <s v="VII"/>
    <s v="Додаткова Комплектація"/>
    <m/>
    <m/>
    <m/>
    <m/>
    <m/>
    <n v="0"/>
    <n v="0"/>
    <n v="0"/>
  </r>
  <r>
    <s v="7.1"/>
    <m/>
    <x v="0"/>
    <m/>
    <x v="0"/>
    <s v="7.1"/>
    <s v="РОБОТА"/>
    <m/>
    <m/>
    <m/>
    <m/>
    <m/>
    <m/>
    <m/>
    <m/>
  </r>
  <r>
    <s v="7.1.1"/>
    <s v="Зарплата производственного персонала"/>
    <x v="1"/>
    <s v="Виробництво/Будівництво"/>
    <x v="7"/>
    <s v="7.1.1"/>
    <s v="збираня меблів"/>
    <m/>
    <s v="чол/год"/>
    <m/>
    <n v="200"/>
    <m/>
    <n v="0"/>
    <n v="0"/>
    <n v="0"/>
  </r>
  <r>
    <s v="7.1.2"/>
    <s v="Зарплата производственного персонала"/>
    <x v="1"/>
    <s v="Виробництво/Будівництво"/>
    <x v="7"/>
    <s v="7.1.2"/>
    <s v="монтаж  меблів"/>
    <m/>
    <s v="чол/год"/>
    <m/>
    <n v="200"/>
    <m/>
    <n v="0"/>
    <n v="0"/>
    <n v="0"/>
  </r>
  <r>
    <s v="7.1.3"/>
    <s v="Зарплата производственного персонала"/>
    <x v="1"/>
    <s v="Виробництво/Будівництво"/>
    <x v="7"/>
    <s v="7.1.3"/>
    <s v="монжа кондиціонеру"/>
    <m/>
    <s v="шт"/>
    <m/>
    <n v="5200"/>
    <m/>
    <n v="0"/>
    <n v="0"/>
    <n v="0"/>
  </r>
  <r>
    <s v="7.1.4"/>
    <s v="Зарплата производственного персонала"/>
    <x v="1"/>
    <s v="Виробництво/Будівництво"/>
    <x v="7"/>
    <s v="7.1.4"/>
    <s v="монтаж  відеонагляду"/>
    <m/>
    <s v="чол/год"/>
    <m/>
    <n v="200"/>
    <m/>
    <n v="0"/>
    <n v="0"/>
    <n v="0"/>
  </r>
  <r>
    <s v="7.1.5"/>
    <s v="Зарплата производственного персонала"/>
    <x v="1"/>
    <s v="Виробництво/Будівництво"/>
    <x v="7"/>
    <s v="7.1.5"/>
    <s v="монтаж  інтернету"/>
    <m/>
    <s v="чол/год"/>
    <m/>
    <n v="200"/>
    <m/>
    <n v="0"/>
    <n v="0"/>
    <n v="0"/>
  </r>
  <r>
    <s v="7.1.6"/>
    <s v="Зарплата производственного персонала"/>
    <x v="1"/>
    <s v="Виробництво/Будівництво"/>
    <x v="7"/>
    <s v="7.1.6"/>
    <s v="монжа пожежної  безпеки"/>
    <m/>
    <s v="чол/год"/>
    <m/>
    <n v="200"/>
    <m/>
    <n v="0"/>
    <n v="0"/>
    <n v="0"/>
  </r>
  <r>
    <s v="7.1.7"/>
    <s v="Зарплата производственного персонала"/>
    <x v="1"/>
    <s v="Виробництво/Будівництво"/>
    <x v="7"/>
    <s v="7.1.7"/>
    <s v="монтаж  заземелення"/>
    <m/>
    <s v="чол/год"/>
    <m/>
    <n v="200"/>
    <m/>
    <n v="0"/>
    <n v="0"/>
    <n v="0"/>
  </r>
  <r>
    <s v="7.2"/>
    <m/>
    <x v="0"/>
    <m/>
    <x v="0"/>
    <s v="7.2"/>
    <s v="МАТЕРІАЛИ"/>
    <m/>
    <m/>
    <m/>
    <m/>
    <m/>
    <n v="0"/>
    <n v="0"/>
    <n v="0"/>
  </r>
  <r>
    <s v="7.2.1"/>
    <s v="Строительные материалы"/>
    <x v="2"/>
    <s v="Виробництво/Будівництво"/>
    <x v="7"/>
    <s v="7.2.1"/>
    <s v="Вогнегасник (порошок 3 кг)"/>
    <s v="Вогнегасник"/>
    <s v="шт"/>
    <n v="1"/>
    <m/>
    <n v="560"/>
    <n v="0"/>
    <n v="560"/>
    <n v="560"/>
  </r>
  <r>
    <s v="7.2.2"/>
    <s v="Строительные материалы"/>
    <x v="2"/>
    <s v="Виробництво/Будівництво"/>
    <x v="7"/>
    <s v="7.2.2"/>
    <s v="Протипожежна ковдра"/>
    <s v="Протипожежна ковдра"/>
    <s v="шт"/>
    <n v="1"/>
    <m/>
    <n v="460"/>
    <n v="0"/>
    <n v="460"/>
    <n v="460"/>
  </r>
  <r>
    <s v="7.2.3"/>
    <s v="Строительные материалы"/>
    <x v="2"/>
    <s v="Виробництво/Будівництво"/>
    <x v="7"/>
    <s v="7.2.3"/>
    <s v="Килимок всередині"/>
    <s v="Килимок"/>
    <s v="шт"/>
    <n v="1"/>
    <m/>
    <n v="500"/>
    <n v="0"/>
    <n v="500"/>
    <n v="500"/>
  </r>
  <r>
    <s v="7.2.4"/>
    <s v="Строительные материалы"/>
    <x v="2"/>
    <s v="Виробництво/Будівництво"/>
    <x v="7"/>
    <s v="7.2.4"/>
    <s v="Кондиціонер"/>
    <s v="Кондиционер"/>
    <s v="шт"/>
    <n v="1"/>
    <m/>
    <n v="17000"/>
    <n v="0"/>
    <n v="17000"/>
    <n v="17000"/>
  </r>
  <r>
    <s v="7.2.5"/>
    <s v="Строительные материалы"/>
    <x v="2"/>
    <s v="Виробництво/Будівництво"/>
    <x v="7"/>
    <s v="7.2.5"/>
    <s v="Стільці для відвідувачів"/>
    <s v="Стілець"/>
    <s v="шт"/>
    <n v="3"/>
    <m/>
    <n v="1500"/>
    <n v="0"/>
    <n v="4500"/>
    <n v="4500"/>
  </r>
  <r>
    <s v="7.2.6"/>
    <s v="Строительные материалы"/>
    <x v="2"/>
    <s v="Виробництво/Будівництво"/>
    <x v="7"/>
    <s v="7.2.6"/>
    <s v="Сигналізація виявлення диму"/>
    <s v="Сигналізація виявлення диму"/>
    <s v="шт"/>
    <n v="3"/>
    <m/>
    <n v="340"/>
    <n v="0"/>
    <n v="1020"/>
    <n v="1020"/>
  </r>
  <r>
    <s v="7.2.7"/>
    <s v="Строительные материалы"/>
    <x v="2"/>
    <s v="Виробництво/Будівництво"/>
    <x v="7"/>
    <s v="7.2.7"/>
    <s v="Дозатор рідкого мила"/>
    <s v="Дозатор рідкого мила"/>
    <s v="шт"/>
    <n v="1"/>
    <m/>
    <n v="587"/>
    <n v="0"/>
    <n v="587"/>
    <n v="587"/>
  </r>
  <r>
    <s v="7.2.8"/>
    <s v="Строительные материалы"/>
    <x v="2"/>
    <s v="Виробництво/Будівництво"/>
    <x v="7"/>
    <s v="7.2.8"/>
    <s v="Дозатор рушників"/>
    <s v="Дозатор рушників"/>
    <s v="шт"/>
    <n v="1"/>
    <m/>
    <n v="360"/>
    <n v="0"/>
    <n v="360"/>
    <n v="360"/>
  </r>
  <r>
    <s v="7.2.9"/>
    <s v="Строительные материалы"/>
    <x v="2"/>
    <s v="Виробництво/Будівництво"/>
    <x v="7"/>
    <s v="7.2.9"/>
    <s v="Стіл офісний"/>
    <s v="Стіл"/>
    <s v="шт"/>
    <n v="1"/>
    <m/>
    <n v="3460"/>
    <n v="0"/>
    <n v="3460"/>
    <n v="3460"/>
  </r>
  <r>
    <s v="7.2.10"/>
    <s v="Строительные материалы"/>
    <x v="2"/>
    <s v="Виробництво/Будівництво"/>
    <x v="7"/>
    <s v="7.2.10"/>
    <s v="Кушетка медична"/>
    <s v="Кушетка медична"/>
    <s v="шт"/>
    <n v="1"/>
    <m/>
    <n v="6700"/>
    <n v="0"/>
    <n v="6700"/>
    <n v="6700"/>
  </r>
  <r>
    <s v="7.2.11"/>
    <s v="Строительные материалы"/>
    <x v="2"/>
    <s v="Виробництво/Будівництво"/>
    <x v="7"/>
    <s v="7.2.11"/>
    <s v="Вішалка для одягу стояча"/>
    <s v="Вішалка для одягу"/>
    <s v="шт"/>
    <n v="1"/>
    <m/>
    <n v="1500"/>
    <n v="0"/>
    <n v="1500"/>
    <n v="1500"/>
  </r>
  <r>
    <s v="7.2.12"/>
    <s v="Строительные материалы"/>
    <x v="2"/>
    <s v="Виробництво/Будівництво"/>
    <x v="7"/>
    <s v="7.2.12"/>
    <s v="Столик для огляду/ сповивання"/>
    <s v="Столик сповивальний"/>
    <s v="шт"/>
    <n v="1"/>
    <m/>
    <n v="7800"/>
    <n v="0"/>
    <n v="7800"/>
    <n v="7800"/>
  </r>
  <r>
    <s v="7.2.13"/>
    <s v="Строительные материалы"/>
    <x v="2"/>
    <s v="Виробництво/Будівництво"/>
    <x v="7"/>
    <s v="7.2.13"/>
    <s v="Тумба офісна"/>
    <s v="Тумбочка"/>
    <s v="шт"/>
    <n v="1"/>
    <m/>
    <n v="1260"/>
    <n v="0"/>
    <n v="1260"/>
    <n v="1260"/>
  </r>
  <r>
    <s v="7.2.14"/>
    <s v="Строительные материалы"/>
    <x v="2"/>
    <s v="Виробництво/Будівництво"/>
    <x v="7"/>
    <s v="7.2.14"/>
    <s v="Шафа для зберігання ліків"/>
    <s v="Шафа"/>
    <s v="шт"/>
    <n v="1"/>
    <m/>
    <n v="11200"/>
    <n v="0"/>
    <n v="11200"/>
    <n v="11200"/>
  </r>
  <r>
    <s v="7.2.15"/>
    <s v="Строительные материалы"/>
    <x v="2"/>
    <s v="Виробництво/Будівництво"/>
    <x v="7"/>
    <s v="7.2.15"/>
    <s v="УФ лампа бактерицидна"/>
    <s v="УФ лампа"/>
    <s v="шт"/>
    <n v="1"/>
    <m/>
    <n v="1600"/>
    <n v="0"/>
    <n v="1600"/>
    <n v="1600"/>
  </r>
  <r>
    <s v="7.2.16"/>
    <s v="Строительные материалы"/>
    <x v="2"/>
    <s v="Виробництво/Будівництво"/>
    <x v="7"/>
    <s v="7.2.16"/>
    <s v="Диспенсер для туалетного паперу"/>
    <s v="Диспенсер для туалетного паперу"/>
    <s v="шт"/>
    <n v="1"/>
    <m/>
    <n v="350"/>
    <n v="0"/>
    <n v="350"/>
    <n v="350"/>
  </r>
  <r>
    <s v="7.2.17"/>
    <s v="Строительные материалы"/>
    <x v="2"/>
    <s v="Виробництво/Будівництво"/>
    <x v="7"/>
    <s v="7.2.17"/>
    <s v="Генератор 7 (Квт.)"/>
    <s v="Генератор"/>
    <s v="шт"/>
    <n v="1"/>
    <m/>
    <n v="70000"/>
    <n v="0"/>
    <n v="70000"/>
    <n v="70000"/>
  </r>
  <r>
    <s v="7.2.18"/>
    <s v="Строительные материалы"/>
    <x v="2"/>
    <s v="Виробництво/Будівництво"/>
    <x v="7"/>
    <s v="7.2.18"/>
    <s v="Інформаційний банер зовнішній"/>
    <s v="Інформаційний банер"/>
    <s v="шт"/>
    <n v="1"/>
    <m/>
    <n v="6400"/>
    <n v="0"/>
    <n v="6400"/>
    <n v="6400"/>
  </r>
  <r>
    <s v="7.2.19"/>
    <s v="Строительные материалы"/>
    <x v="2"/>
    <s v="Виробництво/Будівництво"/>
    <x v="7"/>
    <s v="7.2.19"/>
    <s v="Ємність 1500 л."/>
    <s v="Ємність 1500 л"/>
    <s v="шт"/>
    <n v="1"/>
    <m/>
    <n v="7830"/>
    <n v="0"/>
    <n v="7830"/>
    <n v="7830"/>
  </r>
  <r>
    <s v="7.2.20"/>
    <s v="Строительные материалы"/>
    <x v="2"/>
    <s v="Виробництво/Будівництво"/>
    <x v="7"/>
    <s v="7.2.20"/>
    <s v="Комплект септика"/>
    <s v="Комплект септика"/>
    <s v="шт"/>
    <n v="1"/>
    <m/>
    <n v="12000"/>
    <n v="0"/>
    <n v="12000"/>
    <n v="12000"/>
  </r>
  <r>
    <s v="VIII"/>
    <m/>
    <x v="0"/>
    <m/>
    <x v="0"/>
    <s v="VIII"/>
    <s v="Монтаж будинку"/>
    <s v="Монтаж"/>
    <m/>
    <m/>
    <m/>
    <m/>
    <n v="0"/>
    <n v="0"/>
    <n v="0"/>
  </r>
  <r>
    <s v="8.1"/>
    <m/>
    <x v="0"/>
    <m/>
    <x v="0"/>
    <s v="8.1"/>
    <s v="РОБОТА"/>
    <m/>
    <m/>
    <m/>
    <m/>
    <m/>
    <n v="0"/>
    <n v="0"/>
    <n v="0"/>
  </r>
  <r>
    <s v="8.1.1"/>
    <s v="Зарплата производственного персонала"/>
    <x v="1"/>
    <s v="Виробництво/Будівництво"/>
    <x v="8"/>
    <s v="8.1.1"/>
    <s v="Монтаж  фундаменту"/>
    <m/>
    <s v="чол/год"/>
    <m/>
    <n v="350"/>
    <m/>
    <n v="0"/>
    <n v="0"/>
    <n v="0"/>
  </r>
  <r>
    <s v="8.1.2"/>
    <s v="Зарплата производственного персонала"/>
    <x v="1"/>
    <s v="Виробництво/Будівництво"/>
    <x v="8"/>
    <s v="8.1.2"/>
    <s v="Монтаж  модульного  будинку"/>
    <m/>
    <s v="чол/год"/>
    <m/>
    <n v="350"/>
    <m/>
    <n v="0"/>
    <n v="0"/>
    <n v="0"/>
  </r>
  <r>
    <s v="8.1.3"/>
    <s v="Зарплата производственного персонала"/>
    <x v="1"/>
    <s v="Виробництво/Будівництво"/>
    <x v="8"/>
    <s v="8.1.3"/>
    <s v="Фіншнє  заверешення монтажу (ззовні та всередні)"/>
    <m/>
    <s v="чол/год"/>
    <m/>
    <n v="350"/>
    <m/>
    <n v="0"/>
    <n v="0"/>
    <n v="0"/>
  </r>
  <r>
    <s v="8.1.4"/>
    <s v="Зарплата производственного персонала"/>
    <x v="1"/>
    <s v="Виробництво/Будівництво"/>
    <x v="8"/>
    <s v="8.1.4"/>
    <s v="Підключення електрики"/>
    <m/>
    <s v="чол/год"/>
    <m/>
    <n v="350"/>
    <m/>
    <n v="0"/>
    <n v="0"/>
    <n v="0"/>
  </r>
  <r>
    <s v="8.1.5"/>
    <s v="Зарплата производственного персонала"/>
    <x v="1"/>
    <s v="Виробництво/Будівництво"/>
    <x v="8"/>
    <s v="8.1.5"/>
    <s v="Підключення води"/>
    <m/>
    <s v="чол/год"/>
    <m/>
    <n v="350"/>
    <m/>
    <n v="0"/>
    <n v="0"/>
    <n v="0"/>
  </r>
  <r>
    <s v="8.1.6"/>
    <s v="Зарплата производственного персонала"/>
    <x v="1"/>
    <s v="Виробництво/Будівництво"/>
    <x v="8"/>
    <s v="8.1.6"/>
    <s v="Підключення каналізації"/>
    <m/>
    <s v="чол/год"/>
    <m/>
    <n v="350"/>
    <m/>
    <n v="0"/>
    <n v="0"/>
    <n v="0"/>
  </r>
  <r>
    <s v="8.1.7"/>
    <s v="Зарплата производственного персонала"/>
    <x v="1"/>
    <s v="Виробництво/Будівництво"/>
    <x v="8"/>
    <s v="8.1.7"/>
    <s v="Монтаж  септику"/>
    <m/>
    <s v="чол/год"/>
    <m/>
    <n v="350"/>
    <m/>
    <n v="0"/>
    <n v="0"/>
    <n v="0"/>
  </r>
  <r>
    <s v="8.1.8"/>
    <s v="Зарплата производственного персонала"/>
    <x v="1"/>
    <s v="Виробництво/Будівництво"/>
    <x v="8"/>
    <s v="8.1.8"/>
    <s v="інші роботи"/>
    <m/>
    <s v="чол/год"/>
    <m/>
    <n v="350"/>
    <m/>
    <n v="0"/>
    <n v="0"/>
    <n v="0"/>
  </r>
  <r>
    <s v="8.1.9"/>
    <s v="Зарплата производственного персонала"/>
    <x v="1"/>
    <s v="Виробництво/Будівництво"/>
    <x v="8"/>
    <s v="8.1.9"/>
    <m/>
    <m/>
    <m/>
    <m/>
    <m/>
    <m/>
    <n v="0"/>
    <n v="0"/>
    <n v="0"/>
  </r>
  <r>
    <s v="8.2"/>
    <m/>
    <x v="0"/>
    <m/>
    <x v="8"/>
    <s v="8.2"/>
    <s v="МАТЕРІАЛИ"/>
    <m/>
    <m/>
    <m/>
    <m/>
    <m/>
    <n v="0"/>
    <n v="0"/>
    <n v="0"/>
  </r>
  <r>
    <m/>
    <s v="Строительные материалы"/>
    <x v="2"/>
    <s v="Виробництво/Будівництво"/>
    <x v="8"/>
    <s v="8.2.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6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7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8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9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0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6"/>
    <m/>
    <m/>
    <s v="шт"/>
    <n v="0"/>
    <m/>
    <n v="0"/>
    <n v="0"/>
    <n v="0"/>
    <n v="0"/>
  </r>
  <r>
    <m/>
    <m/>
    <x v="0"/>
    <m/>
    <x v="0"/>
    <s v="8.2.17"/>
    <m/>
    <m/>
    <s v="шт"/>
    <n v="0"/>
    <m/>
    <n v="0"/>
    <n v="0"/>
    <n v="0"/>
    <n v="0"/>
  </r>
  <r>
    <m/>
    <m/>
    <x v="0"/>
    <m/>
    <x v="0"/>
    <s v="8.2.18"/>
    <m/>
    <m/>
    <s v="шт"/>
    <n v="0"/>
    <m/>
    <n v="0"/>
    <n v="0"/>
    <n v="0"/>
    <n v="0"/>
  </r>
  <r>
    <m/>
    <m/>
    <x v="0"/>
    <m/>
    <x v="0"/>
    <s v="8.2.19"/>
    <m/>
    <m/>
    <s v="шт"/>
    <n v="0"/>
    <m/>
    <n v="0"/>
    <n v="0"/>
    <n v="0"/>
    <n v="0"/>
  </r>
  <r>
    <m/>
    <m/>
    <x v="0"/>
    <m/>
    <x v="0"/>
    <s v="8.2.20"/>
    <m/>
    <m/>
    <s v="шт"/>
    <n v="0"/>
    <m/>
    <n v="0"/>
    <n v="0"/>
    <n v="0"/>
    <n v="0"/>
  </r>
  <r>
    <m/>
    <m/>
    <x v="0"/>
    <m/>
    <x v="0"/>
    <s v="8.2.21"/>
    <m/>
    <m/>
    <s v="шт"/>
    <n v="0"/>
    <m/>
    <n v="0"/>
    <n v="0"/>
    <n v="0"/>
    <n v="0"/>
  </r>
  <r>
    <m/>
    <m/>
    <x v="0"/>
    <m/>
    <x v="0"/>
    <s v="8.2.22"/>
    <m/>
    <m/>
    <s v="шт"/>
    <n v="0"/>
    <m/>
    <n v="0"/>
    <n v="0"/>
    <n v="0"/>
    <n v="0"/>
  </r>
  <r>
    <m/>
    <m/>
    <x v="0"/>
    <m/>
    <x v="0"/>
    <s v="8.2.23"/>
    <m/>
    <m/>
    <s v="шт"/>
    <n v="0"/>
    <m/>
    <n v="0"/>
    <n v="0"/>
    <n v="0"/>
    <n v="0"/>
  </r>
  <r>
    <m/>
    <m/>
    <x v="0"/>
    <m/>
    <x v="0"/>
    <s v="8.2.24"/>
    <m/>
    <m/>
    <s v="шт"/>
    <n v="0"/>
    <m/>
    <n v="0"/>
    <n v="0"/>
    <n v="0"/>
    <n v="0"/>
  </r>
  <r>
    <m/>
    <m/>
    <x v="0"/>
    <m/>
    <x v="0"/>
    <s v="8.2.25"/>
    <m/>
    <m/>
    <s v="шт"/>
    <n v="0"/>
    <m/>
    <n v="0"/>
    <n v="0"/>
    <n v="0"/>
    <n v="0"/>
  </r>
  <r>
    <m/>
    <m/>
    <x v="0"/>
    <m/>
    <x v="0"/>
    <s v="8.2.26"/>
    <m/>
    <m/>
    <s v="шт"/>
    <n v="0"/>
    <m/>
    <n v="0"/>
    <n v="0"/>
    <n v="0"/>
    <n v="0"/>
  </r>
  <r>
    <m/>
    <m/>
    <x v="0"/>
    <m/>
    <x v="0"/>
    <s v="8.2.27"/>
    <m/>
    <m/>
    <s v="шт"/>
    <n v="0"/>
    <m/>
    <n v="0"/>
    <n v="0"/>
    <n v="0"/>
    <n v="0"/>
  </r>
  <r>
    <m/>
    <m/>
    <x v="0"/>
    <m/>
    <x v="0"/>
    <s v="8.2.28"/>
    <m/>
    <m/>
    <s v="шт"/>
    <n v="0"/>
    <m/>
    <n v="0"/>
    <n v="0"/>
    <n v="0"/>
    <n v="0"/>
  </r>
  <r>
    <m/>
    <m/>
    <x v="0"/>
    <m/>
    <x v="0"/>
    <s v="8.2.29"/>
    <m/>
    <m/>
    <s v="шт"/>
    <n v="0"/>
    <m/>
    <n v="0"/>
    <n v="0"/>
    <n v="0"/>
    <n v="0"/>
  </r>
  <r>
    <m/>
    <m/>
    <x v="0"/>
    <m/>
    <x v="0"/>
    <s v="8.2.30"/>
    <m/>
    <m/>
    <s v="шт"/>
    <n v="0"/>
    <m/>
    <n v="0"/>
    <n v="0"/>
    <n v="0"/>
    <n v="0"/>
  </r>
  <r>
    <m/>
    <m/>
    <x v="0"/>
    <m/>
    <x v="0"/>
    <s v="8.2.31"/>
    <m/>
    <m/>
    <s v="шт"/>
    <n v="0"/>
    <m/>
    <n v="0"/>
    <n v="0"/>
    <n v="0"/>
    <n v="0"/>
  </r>
  <r>
    <m/>
    <m/>
    <x v="0"/>
    <m/>
    <x v="0"/>
    <s v="8.2.32"/>
    <m/>
    <m/>
    <s v="шт"/>
    <n v="0"/>
    <m/>
    <n v="0"/>
    <n v="0"/>
    <n v="0"/>
    <n v="0"/>
  </r>
  <r>
    <m/>
    <m/>
    <x v="0"/>
    <m/>
    <x v="0"/>
    <s v="8.2.33"/>
    <m/>
    <m/>
    <s v="шт"/>
    <n v="0"/>
    <m/>
    <n v="0"/>
    <n v="0"/>
    <n v="0"/>
    <n v="0"/>
  </r>
  <r>
    <m/>
    <m/>
    <x v="0"/>
    <m/>
    <x v="0"/>
    <s v="8.2.34"/>
    <m/>
    <m/>
    <s v="шт"/>
    <n v="0"/>
    <m/>
    <n v="0"/>
    <n v="0"/>
    <n v="0"/>
    <n v="0"/>
  </r>
  <r>
    <m/>
    <m/>
    <x v="0"/>
    <m/>
    <x v="0"/>
    <s v="8.2.35"/>
    <m/>
    <m/>
    <s v="шт"/>
    <n v="0"/>
    <m/>
    <n v="0"/>
    <n v="0"/>
    <n v="0"/>
    <n v="0"/>
  </r>
  <r>
    <m/>
    <m/>
    <x v="0"/>
    <m/>
    <x v="0"/>
    <s v="8.2.36"/>
    <m/>
    <m/>
    <s v="шт"/>
    <n v="0"/>
    <m/>
    <n v="0"/>
    <n v="0"/>
    <n v="0"/>
    <n v="0"/>
  </r>
  <r>
    <m/>
    <m/>
    <x v="0"/>
    <m/>
    <x v="0"/>
    <s v="8.2.37"/>
    <m/>
    <m/>
    <s v="м"/>
    <n v="0"/>
    <m/>
    <n v="0"/>
    <n v="0"/>
    <n v="0"/>
    <n v="0"/>
  </r>
  <r>
    <m/>
    <m/>
    <x v="0"/>
    <m/>
    <x v="0"/>
    <s v="8.2.38"/>
    <m/>
    <m/>
    <s v="шт"/>
    <n v="0"/>
    <m/>
    <n v="0"/>
    <n v="0"/>
    <n v="0"/>
    <n v="0"/>
  </r>
  <r>
    <s v="IX"/>
    <m/>
    <x v="0"/>
    <m/>
    <x v="0"/>
    <s v="IX"/>
    <s v="Загальновиробничі витрати"/>
    <s v="Загальновиробничі"/>
    <m/>
    <m/>
    <m/>
    <m/>
    <n v="0"/>
    <n v="0"/>
    <n v="0"/>
  </r>
  <r>
    <s v="9.1"/>
    <m/>
    <x v="0"/>
    <m/>
    <x v="0"/>
    <s v="9.1"/>
    <m/>
    <m/>
    <m/>
    <m/>
    <m/>
    <m/>
    <n v="0"/>
    <m/>
    <m/>
  </r>
  <r>
    <s v="9.1.1"/>
    <s v="Прочие производственные затраты"/>
    <x v="1"/>
    <s v="Виробництво/Будівництво"/>
    <x v="9"/>
    <s v="9.1.1"/>
    <s v="Загальновиробничі витрати"/>
    <m/>
    <n v="0.05"/>
    <m/>
    <m/>
    <m/>
    <n v="0"/>
    <m/>
    <n v="0"/>
  </r>
  <r>
    <s v="9.1.2"/>
    <s v="Зарплата производственного персонала"/>
    <x v="1"/>
    <s v="Виробництво/Будівництво"/>
    <x v="9"/>
    <s v="9.1.2"/>
    <s v="Транспортні витрати дільниці"/>
    <m/>
    <s v="міс"/>
    <m/>
    <m/>
    <m/>
    <n v="0"/>
    <m/>
    <n v="0"/>
  </r>
  <r>
    <s v="9.1.3"/>
    <s v="Зарплата производственного персонала"/>
    <x v="1"/>
    <s v="Виробництво/Будівництво"/>
    <x v="9"/>
    <s v="9.1.3"/>
    <s v="Заходи з охорони праці"/>
    <m/>
    <n v="5.0000000000000001E-3"/>
    <m/>
    <m/>
    <m/>
    <n v="0"/>
    <m/>
    <n v="0"/>
  </r>
  <r>
    <s v="9.1.4"/>
    <s v="ГСМ (топливо)"/>
    <x v="1"/>
    <s v="Виробництво/Будівництво"/>
    <x v="9"/>
    <s v="9.1.4"/>
    <s v="Приїзд робітників"/>
    <m/>
    <s v="посл"/>
    <m/>
    <n v="12240"/>
    <m/>
    <n v="0"/>
    <m/>
    <n v="0"/>
  </r>
  <r>
    <s v="9.1.5"/>
    <m/>
    <x v="1"/>
    <s v="Виробництво/Будівництво"/>
    <x v="9"/>
    <s v="9.1.5"/>
    <s v="Розробка ППРа, технолог карт"/>
    <m/>
    <s v="посл"/>
    <m/>
    <m/>
    <m/>
    <n v="0"/>
    <m/>
    <n v="0"/>
  </r>
  <r>
    <s v="9.1.6"/>
    <s v="Зарплата PM"/>
    <x v="1"/>
    <s v="Виробництво/Будівництво"/>
    <x v="9"/>
    <s v="9.1.6"/>
    <s v="Зарплата РМ (ф2)"/>
    <m/>
    <s v="міс"/>
    <m/>
    <m/>
    <m/>
    <n v="0"/>
    <m/>
    <n v="0"/>
  </r>
  <r>
    <s v="9.1.7"/>
    <s v="Зарплата PM"/>
    <x v="1"/>
    <s v="Виробництво/Будівництво"/>
    <x v="9"/>
    <s v="9.1.7"/>
    <s v="Зарплата РМ"/>
    <m/>
    <s v="міс"/>
    <m/>
    <m/>
    <m/>
    <n v="0"/>
    <m/>
    <n v="0"/>
  </r>
  <r>
    <s v="9.1.8"/>
    <s v="Начисления на зарплату PM"/>
    <x v="1"/>
    <s v="Виробництво/Будівництво"/>
    <x v="9"/>
    <s v="9.1.8"/>
    <s v="Начисления на зарплату PM"/>
    <m/>
    <s v="міс"/>
    <m/>
    <m/>
    <m/>
    <n v="0"/>
    <m/>
    <n v="0"/>
  </r>
  <r>
    <s v="9.1.9"/>
    <s v="Удержание с зарплаты РМ"/>
    <x v="1"/>
    <s v="Виробництво/Будівництво"/>
    <x v="9"/>
    <s v="9.1.9"/>
    <s v="Утримання зп РМ"/>
    <m/>
    <s v="міс"/>
    <m/>
    <m/>
    <m/>
    <n v="0"/>
    <m/>
    <n v="0"/>
  </r>
  <r>
    <s v="9.1.10"/>
    <s v="Зарплата ИТР"/>
    <x v="1"/>
    <s v="Виробництво/Будівництво"/>
    <x v="9"/>
    <s v="9.1.10"/>
    <s v="Зарплата ІТР ) (ф2)"/>
    <m/>
    <s v="міс"/>
    <m/>
    <m/>
    <m/>
    <n v="0"/>
    <m/>
    <n v="0"/>
  </r>
  <r>
    <s v="9.1.11"/>
    <s v="Зарплата ИТР"/>
    <x v="1"/>
    <s v="Виробництво/Будівництво"/>
    <x v="9"/>
    <s v="9.1.11"/>
    <s v="Зарплата ІТР "/>
    <m/>
    <s v="міс"/>
    <m/>
    <m/>
    <m/>
    <n v="0"/>
    <m/>
    <n v="0"/>
  </r>
  <r>
    <s v="9.1.12"/>
    <s v="Начисления на зарплату ИТР"/>
    <x v="1"/>
    <s v="Виробництво/Будівництво"/>
    <x v="9"/>
    <s v="9.1.12"/>
    <s v="Начисления на зарплату ИТР"/>
    <m/>
    <s v="міс"/>
    <m/>
    <m/>
    <m/>
    <n v="0"/>
    <m/>
    <n v="0"/>
  </r>
  <r>
    <s v="9.1.13"/>
    <s v="Удержание с зарплаты ИТР"/>
    <x v="1"/>
    <s v="Виробництво/Будівництво"/>
    <x v="9"/>
    <s v="9.1.13"/>
    <s v="Утримання зп ІТР "/>
    <m/>
    <s v="міс"/>
    <m/>
    <m/>
    <m/>
    <n v="0"/>
    <m/>
    <n v="0"/>
  </r>
  <r>
    <s v="9.1.14"/>
    <s v="Суточные"/>
    <x v="1"/>
    <s v="Виробництво/Будівництво"/>
    <x v="9"/>
    <s v="9.1.14"/>
    <s v="Відрядні ІТР"/>
    <m/>
    <s v="днів"/>
    <m/>
    <m/>
    <m/>
    <n v="0"/>
    <m/>
    <n v="0"/>
  </r>
  <r>
    <s v="9.1.15"/>
    <s v="Проживание"/>
    <x v="1"/>
    <s v="Виробництво/Будівництво"/>
    <x v="9"/>
    <s v="9.1.15"/>
    <s v="Оренда житла ІТР"/>
    <m/>
    <s v="міс"/>
    <m/>
    <m/>
    <m/>
    <n v="0"/>
    <m/>
    <n v="0"/>
  </r>
  <r>
    <s v="9.1.16"/>
    <s v="Проживание"/>
    <x v="1"/>
    <s v="Виробництво/Будівництво"/>
    <x v="9"/>
    <s v="9.1.16"/>
    <s v="Оренда житла робітників"/>
    <m/>
    <s v="днів"/>
    <m/>
    <n v="800"/>
    <m/>
    <n v="0"/>
    <m/>
    <n v="0"/>
  </r>
  <r>
    <s v="9.1.17"/>
    <s v="Зарплата подсобников"/>
    <x v="1"/>
    <s v="Виробництво/Будівництво"/>
    <x v="9"/>
    <s v="9.1.17"/>
    <s v="Зарплата підсобників"/>
    <m/>
    <s v="днів"/>
    <m/>
    <m/>
    <m/>
    <n v="0"/>
    <m/>
    <n v="0"/>
  </r>
  <r>
    <s v="9.1.18"/>
    <s v="Прочие налоги"/>
    <x v="1"/>
    <s v="Виробництво/Будівництво"/>
    <x v="9"/>
    <s v="9.1.18"/>
    <s v="Податки від суми надходжень"/>
    <m/>
    <n v="0.03"/>
    <m/>
    <m/>
    <m/>
    <n v="0"/>
    <m/>
    <n v="0"/>
  </r>
  <r>
    <s v="9.1.19"/>
    <s v="Комиссия по Фин агенту"/>
    <x v="1"/>
    <s v="Виробництво/Будівництво"/>
    <x v="9"/>
    <s v="9.1.19"/>
    <s v="Податки від Ф2"/>
    <m/>
    <n v="0.15"/>
    <m/>
    <m/>
    <m/>
    <n v="0"/>
    <m/>
    <n v="0"/>
  </r>
  <r>
    <s v="9.1.20"/>
    <s v="Аренда сторонней техники"/>
    <x v="1"/>
    <s v="Виробництво/Будівництво"/>
    <x v="9"/>
    <s v="9.1.20"/>
    <s v="Автокран"/>
    <m/>
    <s v="послуга"/>
    <m/>
    <n v="12000"/>
    <m/>
    <n v="0"/>
    <m/>
    <n v="0"/>
  </r>
  <r>
    <s v="9.1.21"/>
    <s v="Зарплата производственного персонала"/>
    <x v="1"/>
    <s v="Виробництво/Будівництво"/>
    <x v="9"/>
    <s v="9.1.21"/>
    <s v="Непередбачувана робота"/>
    <m/>
    <s v="послуга"/>
    <m/>
    <n v="10000"/>
    <m/>
    <n v="0"/>
    <m/>
    <n v="0"/>
  </r>
  <r>
    <s v="9.1.22"/>
    <s v="Прочие производственные затраты"/>
    <x v="1"/>
    <s v="Виробництво/Будівництво"/>
    <x v="9"/>
    <s v="9.1.22"/>
    <s v="Непередбачувані матеріали"/>
    <m/>
    <s v="послуга"/>
    <m/>
    <n v="10000"/>
    <m/>
    <n v="0"/>
    <m/>
    <n v="0"/>
  </r>
  <r>
    <s v="9.1.23"/>
    <s v="Аренда сторонней техники"/>
    <x v="1"/>
    <s v="Виробництво/Будівництво"/>
    <x v="9"/>
    <s v="9.1.23"/>
    <s v="Оренда Екскаватора"/>
    <m/>
    <s v="послуга"/>
    <m/>
    <n v="15000"/>
    <m/>
    <n v="0"/>
    <m/>
    <n v="0"/>
  </r>
  <r>
    <s v="9.1.24"/>
    <s v="Транспортные расходы"/>
    <x v="1"/>
    <s v="Виробництво/Будівництво"/>
    <x v="9"/>
    <s v="9.1.24"/>
    <s v="Траснпортны витрати"/>
    <m/>
    <s v="послуга"/>
    <m/>
    <n v="54000"/>
    <m/>
    <n v="0"/>
    <m/>
    <n v="0"/>
  </r>
  <r>
    <s v="9.1.25"/>
    <s v="Услуги сторонних организаций"/>
    <x v="1"/>
    <s v="Виробництво/Будівництво"/>
    <x v="9"/>
    <s v="9.1.25"/>
    <s v="Розробка креслень"/>
    <m/>
    <s v="послуга"/>
    <m/>
    <n v="50000"/>
    <m/>
    <n v="0"/>
    <m/>
    <n v="0"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s v="№"/>
    <s v="Ст.затрат Упр отч"/>
    <s v="Найменування роботи "/>
    <s v="Од. виміру"/>
    <s v="Об'єм"/>
    <s v="Одинична розцінка або ціна, грн. з ПДВ_x000a_З КОЕФ "/>
    <s v="Количество"/>
    <s v="Коефіцієнт"/>
    <m/>
  </r>
  <r>
    <m/>
    <m/>
    <x v="0"/>
    <m/>
    <x v="0"/>
    <m/>
    <n v="1"/>
    <n v="2"/>
    <n v="3"/>
    <n v="4"/>
    <n v="5"/>
    <n v="6"/>
    <n v="7"/>
    <n v="8"/>
    <n v="9"/>
  </r>
  <r>
    <m/>
    <s v="МШП"/>
    <x v="0"/>
    <m/>
    <x v="0"/>
    <m/>
    <m/>
    <s v="мшп"/>
    <s v="МШП"/>
    <s v="мес"/>
    <m/>
    <n v="4000"/>
    <n v="1"/>
    <n v="1.1499999999999999"/>
    <n v="0"/>
  </r>
  <r>
    <m/>
    <s v="Канцтовары"/>
    <x v="0"/>
    <m/>
    <x v="0"/>
    <m/>
    <m/>
    <s v="Канцтовары"/>
    <s v="Канцтовары"/>
    <s v="мес"/>
    <m/>
    <n v="1700"/>
    <n v="1"/>
    <n v="1"/>
    <n v="0"/>
  </r>
  <r>
    <m/>
    <s v="Другие хозтовары"/>
    <x v="0"/>
    <m/>
    <x v="0"/>
    <m/>
    <m/>
    <s v="Другие хозтовары"/>
    <s v="Чай, кофе"/>
    <s v="мес"/>
    <m/>
    <n v="1000"/>
    <n v="1"/>
    <n v="1.1499999999999999"/>
    <n v="0"/>
  </r>
  <r>
    <m/>
    <s v="Заправка картриджа"/>
    <x v="0"/>
    <m/>
    <x v="0"/>
    <m/>
    <m/>
    <s v="Заправка картриджа"/>
    <s v="Заправка картриджа"/>
    <s v="мес"/>
    <m/>
    <n v="400"/>
    <n v="1"/>
    <n v="1.1499999999999999"/>
    <n v="0"/>
  </r>
  <r>
    <m/>
    <s v="Питьевая вода"/>
    <x v="0"/>
    <m/>
    <x v="0"/>
    <m/>
    <m/>
    <s v="Питьевая вода"/>
    <s v="Питьевая вода"/>
    <s v="мес"/>
    <m/>
    <n v="1000"/>
    <n v="1"/>
    <n v="1"/>
    <n v="0"/>
  </r>
  <r>
    <m/>
    <s v="Курьерские и почтовые"/>
    <x v="0"/>
    <m/>
    <x v="0"/>
    <m/>
    <m/>
    <s v="Курьерские и почтовые"/>
    <s v="Курьерские и почтовые"/>
    <s v="мес"/>
    <m/>
    <n v="5000"/>
    <n v="1"/>
    <n v="1"/>
    <n v="0"/>
  </r>
  <r>
    <m/>
    <s v="Ремонты"/>
    <x v="0"/>
    <m/>
    <x v="0"/>
    <m/>
    <m/>
    <s v="Ремонты"/>
    <s v="Ремонты инструмента"/>
    <s v="мес"/>
    <m/>
    <n v="3000"/>
    <n v="1"/>
    <n v="1"/>
    <n v="0"/>
  </r>
  <r>
    <m/>
    <m/>
    <x v="0"/>
    <m/>
    <x v="0"/>
    <m/>
    <m/>
    <m/>
    <s v="Разом по розділу"/>
    <m/>
    <m/>
    <m/>
    <m/>
    <m/>
    <n v="0"/>
  </r>
  <r>
    <m/>
    <m/>
    <x v="0"/>
    <m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6B026-E993-486E-A142-22C26A8FC619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>
  <location ref="A3:D13" firstHeaderRow="1" firstDataRow="2" firstDataCol="1"/>
  <pivotFields count="15">
    <pivotField showAll="0"/>
    <pivotField showAll="0"/>
    <pivotField axis="axisCol" showAll="0">
      <items count="4">
        <item x="2"/>
        <item x="1"/>
        <item h="1" x="0"/>
        <item t="default"/>
      </items>
    </pivotField>
    <pivotField showAll="0"/>
    <pivotField axis="axisRow" showAll="0">
      <items count="11">
        <item x="7"/>
        <item h="1" x="9"/>
        <item x="1"/>
        <item x="8"/>
        <item x="4"/>
        <item x="2"/>
        <item x="6"/>
        <item x="3"/>
        <item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Сумма по полю Всього,   грн. з ПДВ" fld="14" baseField="0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E91C-5D3B-4020-85DD-A91D4E5CE424}">
  <sheetPr>
    <tabColor rgb="FF92D050"/>
    <pageSetUpPr fitToPage="1"/>
  </sheetPr>
  <dimension ref="A1:K160"/>
  <sheetViews>
    <sheetView showZeros="0" tabSelected="1" zoomScaleNormal="100" workbookViewId="0">
      <pane xSplit="1" ySplit="1" topLeftCell="B2" activePane="bottomRight" state="frozen"/>
      <selection activeCell="C103" sqref="C103"/>
      <selection pane="topRight" activeCell="C103" sqref="C103"/>
      <selection pane="bottomLeft" activeCell="C103" sqref="C103"/>
      <selection pane="bottomRight" activeCell="K19" sqref="K19"/>
    </sheetView>
  </sheetViews>
  <sheetFormatPr defaultColWidth="8.85546875" defaultRowHeight="12.75"/>
  <cols>
    <col min="1" max="1" width="39.7109375" style="7" bestFit="1" customWidth="1"/>
    <col min="2" max="3" width="15.28515625" style="7" customWidth="1"/>
    <col min="4" max="4" width="18.140625" style="7" customWidth="1"/>
    <col min="5" max="5" width="22.140625" style="7" customWidth="1"/>
    <col min="6" max="6" width="10.7109375" style="7" bestFit="1" customWidth="1"/>
    <col min="7" max="7" width="12.42578125" style="7" bestFit="1" customWidth="1"/>
    <col min="8" max="8" width="34.140625" style="7" bestFit="1" customWidth="1"/>
    <col min="9" max="9" width="20.5703125" style="7" bestFit="1" customWidth="1"/>
    <col min="10" max="16384" width="8.85546875" style="7"/>
  </cols>
  <sheetData>
    <row r="1" spans="1:11" ht="26.25" thickBot="1">
      <c r="A1" s="102" t="s">
        <v>63</v>
      </c>
      <c r="B1" s="8" t="s">
        <v>54</v>
      </c>
      <c r="C1" s="9" t="s">
        <v>52</v>
      </c>
      <c r="D1" s="10" t="s">
        <v>64</v>
      </c>
      <c r="E1" s="11" t="s">
        <v>65</v>
      </c>
      <c r="G1" s="128"/>
      <c r="H1" s="129" t="s">
        <v>510</v>
      </c>
      <c r="I1" s="130">
        <f>D101+D98</f>
        <v>705624.00500000012</v>
      </c>
    </row>
    <row r="2" spans="1:11" ht="16.5" thickBot="1">
      <c r="A2" s="83" t="s">
        <v>66</v>
      </c>
      <c r="B2" s="12">
        <f>B3+B10</f>
        <v>1232000</v>
      </c>
      <c r="C2" s="13">
        <f>C3+C10</f>
        <v>0</v>
      </c>
      <c r="D2" s="14">
        <f t="shared" ref="D2:D65" si="0">B2+C2</f>
        <v>1232000</v>
      </c>
      <c r="E2" s="15"/>
      <c r="G2" s="131"/>
      <c r="H2" s="132" t="s">
        <v>503</v>
      </c>
      <c r="I2" s="133">
        <f>D14-I1</f>
        <v>320996</v>
      </c>
    </row>
    <row r="3" spans="1:11" ht="16.5" thickBot="1">
      <c r="A3" s="87" t="s">
        <v>67</v>
      </c>
      <c r="B3" s="16">
        <f>SUM(B4:B9)</f>
        <v>1232000</v>
      </c>
      <c r="C3" s="17">
        <f>SUM(C4:C9)</f>
        <v>0</v>
      </c>
      <c r="D3" s="18">
        <f t="shared" si="0"/>
        <v>1232000</v>
      </c>
      <c r="E3" s="19"/>
      <c r="G3" s="131"/>
      <c r="H3" s="134" t="s">
        <v>504</v>
      </c>
      <c r="I3" s="133">
        <f>I4*3%</f>
        <v>36960</v>
      </c>
    </row>
    <row r="4" spans="1:11" ht="18.75" thickBot="1">
      <c r="A4" s="90" t="s">
        <v>68</v>
      </c>
      <c r="B4" s="20">
        <v>1232000</v>
      </c>
      <c r="C4" s="21"/>
      <c r="D4" s="22">
        <f t="shared" si="0"/>
        <v>1232000</v>
      </c>
      <c r="E4" s="23"/>
      <c r="G4" s="131"/>
      <c r="H4" s="134" t="s">
        <v>505</v>
      </c>
      <c r="I4" s="135">
        <f>B4</f>
        <v>1232000</v>
      </c>
    </row>
    <row r="5" spans="1:11" ht="18.75" thickBot="1">
      <c r="A5" s="90" t="s">
        <v>69</v>
      </c>
      <c r="B5" s="20"/>
      <c r="C5" s="21"/>
      <c r="D5" s="24">
        <f t="shared" si="0"/>
        <v>0</v>
      </c>
      <c r="E5" s="25"/>
      <c r="G5" s="136"/>
      <c r="H5" s="134" t="s">
        <v>506</v>
      </c>
      <c r="I5" s="137">
        <f>I4-I3-I2-I1</f>
        <v>168419.99499999988</v>
      </c>
    </row>
    <row r="6" spans="1:11" ht="16.5" thickBot="1">
      <c r="A6" s="90" t="s">
        <v>70</v>
      </c>
      <c r="B6" s="20"/>
      <c r="C6" s="21"/>
      <c r="D6" s="24">
        <f t="shared" si="0"/>
        <v>0</v>
      </c>
      <c r="E6" s="25"/>
      <c r="G6" s="136"/>
      <c r="H6" s="134" t="s">
        <v>507</v>
      </c>
      <c r="I6" s="139">
        <f>I5/I4</f>
        <v>0.1367045413961038</v>
      </c>
    </row>
    <row r="7" spans="1:11" ht="19.5" thickBot="1">
      <c r="A7" s="90" t="s">
        <v>186</v>
      </c>
      <c r="B7" s="20"/>
      <c r="C7" s="21"/>
      <c r="D7" s="24">
        <f t="shared" si="0"/>
        <v>0</v>
      </c>
      <c r="E7" s="25"/>
      <c r="G7" s="136"/>
      <c r="H7" s="134" t="s">
        <v>508</v>
      </c>
      <c r="I7" s="138">
        <v>1</v>
      </c>
    </row>
    <row r="8" spans="1:11" ht="18.75" thickBot="1">
      <c r="A8" s="90" t="s">
        <v>71</v>
      </c>
      <c r="B8" s="20"/>
      <c r="C8" s="21"/>
      <c r="D8" s="24">
        <f t="shared" si="0"/>
        <v>0</v>
      </c>
      <c r="E8" s="25"/>
      <c r="G8" s="136"/>
      <c r="H8" s="134" t="s">
        <v>509</v>
      </c>
      <c r="I8" s="137">
        <f>I7*I5</f>
        <v>168419.99499999988</v>
      </c>
      <c r="K8" s="7">
        <v>157130.10999999999</v>
      </c>
    </row>
    <row r="9" spans="1:11">
      <c r="A9" s="90" t="s">
        <v>72</v>
      </c>
      <c r="B9" s="20"/>
      <c r="C9" s="21"/>
      <c r="D9" s="24">
        <f t="shared" si="0"/>
        <v>0</v>
      </c>
      <c r="E9" s="25"/>
    </row>
    <row r="10" spans="1:11">
      <c r="A10" s="87" t="s">
        <v>73</v>
      </c>
      <c r="B10" s="16">
        <f>SUM(B11:B13)</f>
        <v>0</v>
      </c>
      <c r="C10" s="17">
        <f>SUM(C11:C13)</f>
        <v>0</v>
      </c>
      <c r="D10" s="18">
        <f t="shared" si="0"/>
        <v>0</v>
      </c>
      <c r="E10" s="19"/>
    </row>
    <row r="11" spans="1:11">
      <c r="A11" s="84" t="s">
        <v>187</v>
      </c>
      <c r="B11" s="20"/>
      <c r="C11" s="21"/>
      <c r="D11" s="24">
        <f t="shared" si="0"/>
        <v>0</v>
      </c>
      <c r="E11" s="25"/>
    </row>
    <row r="12" spans="1:11">
      <c r="A12" s="85" t="s">
        <v>75</v>
      </c>
      <c r="B12" s="20"/>
      <c r="C12" s="21">
        <f>B133</f>
        <v>0</v>
      </c>
      <c r="D12" s="24">
        <f t="shared" si="0"/>
        <v>0</v>
      </c>
      <c r="E12" s="25"/>
      <c r="G12" s="26"/>
      <c r="H12" s="26"/>
    </row>
    <row r="13" spans="1:11" ht="13.5" thickBot="1">
      <c r="A13" s="85" t="s">
        <v>188</v>
      </c>
      <c r="B13" s="27"/>
      <c r="C13" s="28"/>
      <c r="D13" s="29">
        <f t="shared" si="0"/>
        <v>0</v>
      </c>
      <c r="E13" s="30"/>
      <c r="G13" s="26"/>
      <c r="H13" s="26"/>
    </row>
    <row r="14" spans="1:11" ht="15.75">
      <c r="A14" s="86" t="s">
        <v>76</v>
      </c>
      <c r="B14" s="31">
        <f>B15+B128+B141</f>
        <v>832000.00500000012</v>
      </c>
      <c r="C14" s="32">
        <f>C15+C128+C141</f>
        <v>194620</v>
      </c>
      <c r="D14" s="33">
        <f t="shared" si="0"/>
        <v>1026620.0050000001</v>
      </c>
      <c r="E14" s="34"/>
      <c r="G14" s="26"/>
    </row>
    <row r="15" spans="1:11">
      <c r="A15" s="87" t="s">
        <v>67</v>
      </c>
      <c r="B15" s="16">
        <f>B16+B70+B93+B66</f>
        <v>802807.00500000012</v>
      </c>
      <c r="C15" s="17">
        <f>C16+C70+C93+C66</f>
        <v>194620</v>
      </c>
      <c r="D15" s="18">
        <f t="shared" si="0"/>
        <v>997427.00500000012</v>
      </c>
      <c r="E15" s="35"/>
      <c r="G15" s="26"/>
    </row>
    <row r="16" spans="1:11">
      <c r="A16" s="88" t="s">
        <v>77</v>
      </c>
      <c r="B16" s="36">
        <f>B17+B24+B29+B33+B41+B45+B49+B52+B58+B61+B21</f>
        <v>15000</v>
      </c>
      <c r="C16" s="37">
        <f>C17+C24+C29+C33+C41+C45+C49+C52+C58+C61+C21</f>
        <v>0</v>
      </c>
      <c r="D16" s="38">
        <f t="shared" si="0"/>
        <v>15000</v>
      </c>
      <c r="E16" s="39"/>
      <c r="G16" s="26"/>
    </row>
    <row r="17" spans="1:8">
      <c r="A17" s="89" t="s">
        <v>78</v>
      </c>
      <c r="B17" s="40">
        <f>SUM(B18:B20)</f>
        <v>0</v>
      </c>
      <c r="C17" s="41">
        <f>SUM(C18:C20)</f>
        <v>0</v>
      </c>
      <c r="D17" s="42">
        <f t="shared" si="0"/>
        <v>0</v>
      </c>
      <c r="E17" s="43"/>
      <c r="G17" s="26"/>
    </row>
    <row r="18" spans="1:8">
      <c r="A18" s="90" t="s">
        <v>78</v>
      </c>
      <c r="B18" s="20">
        <f>SUMIF('Проект СС'!$B:$B,$A18,'Проект СС'!$O:$O)</f>
        <v>0</v>
      </c>
      <c r="C18" s="21"/>
      <c r="D18" s="24">
        <f t="shared" si="0"/>
        <v>0</v>
      </c>
      <c r="E18" s="25"/>
    </row>
    <row r="19" spans="1:8">
      <c r="A19" s="90" t="s">
        <v>79</v>
      </c>
      <c r="B19" s="20">
        <f>SUMIF('Проект СС'!$B:$B,$A19,'Проект СС'!$O:$O)</f>
        <v>0</v>
      </c>
      <c r="C19" s="21"/>
      <c r="D19" s="24">
        <f t="shared" si="0"/>
        <v>0</v>
      </c>
      <c r="E19" s="25"/>
    </row>
    <row r="20" spans="1:8">
      <c r="A20" s="90" t="s">
        <v>80</v>
      </c>
      <c r="B20" s="20">
        <f>SUMIF('Проект СС'!$B:$B,$A20,'Проект СС'!$O:$O)</f>
        <v>0</v>
      </c>
      <c r="C20" s="21"/>
      <c r="D20" s="24">
        <f t="shared" si="0"/>
        <v>0</v>
      </c>
      <c r="E20" s="25"/>
    </row>
    <row r="21" spans="1:8">
      <c r="A21" s="89" t="s">
        <v>81</v>
      </c>
      <c r="B21" s="40">
        <f>SUM(B22:B23)</f>
        <v>0</v>
      </c>
      <c r="C21" s="41">
        <f>SUM(C22:C23)</f>
        <v>0</v>
      </c>
      <c r="D21" s="42">
        <f t="shared" si="0"/>
        <v>0</v>
      </c>
      <c r="E21" s="43"/>
      <c r="G21" s="26"/>
      <c r="H21" s="26"/>
    </row>
    <row r="22" spans="1:8">
      <c r="A22" s="90" t="s">
        <v>81</v>
      </c>
      <c r="B22" s="20">
        <f>SUMIF('Проект СС'!$B:$B,$A22,'Проект СС'!$O:$O)</f>
        <v>0</v>
      </c>
      <c r="C22" s="21"/>
      <c r="D22" s="24">
        <f t="shared" si="0"/>
        <v>0</v>
      </c>
      <c r="E22" s="25"/>
      <c r="F22" s="26"/>
      <c r="G22" s="26"/>
    </row>
    <row r="23" spans="1:8">
      <c r="A23" s="90" t="s">
        <v>82</v>
      </c>
      <c r="B23" s="20">
        <f>SUMIF('Проект СС'!$B:$B,$A23,'Проект СС'!$O:$O)</f>
        <v>0</v>
      </c>
      <c r="C23" s="21"/>
      <c r="D23" s="24">
        <f t="shared" si="0"/>
        <v>0</v>
      </c>
      <c r="E23" s="44"/>
      <c r="G23" s="26"/>
    </row>
    <row r="24" spans="1:8">
      <c r="A24" s="89" t="s">
        <v>83</v>
      </c>
      <c r="B24" s="40">
        <f>SUM(B25:B28)</f>
        <v>0</v>
      </c>
      <c r="C24" s="41">
        <f>SUM(C25:C28)</f>
        <v>0</v>
      </c>
      <c r="D24" s="42">
        <f t="shared" si="0"/>
        <v>0</v>
      </c>
      <c r="E24" s="43"/>
    </row>
    <row r="25" spans="1:8">
      <c r="A25" s="90" t="s">
        <v>84</v>
      </c>
      <c r="B25" s="20">
        <f>SUMIF('Проект СС'!$B:$B,$A25,'Проект СС'!$O:$O)</f>
        <v>0</v>
      </c>
      <c r="C25" s="21"/>
      <c r="D25" s="24">
        <f t="shared" si="0"/>
        <v>0</v>
      </c>
      <c r="E25" s="25"/>
    </row>
    <row r="26" spans="1:8">
      <c r="A26" s="90" t="s">
        <v>85</v>
      </c>
      <c r="B26" s="20">
        <f>SUMIF('Проект СС'!$B:$B,$A26,'Проект СС'!$O:$O)</f>
        <v>0</v>
      </c>
      <c r="C26" s="21"/>
      <c r="D26" s="24">
        <f t="shared" si="0"/>
        <v>0</v>
      </c>
      <c r="E26" s="25"/>
    </row>
    <row r="27" spans="1:8">
      <c r="A27" s="90" t="s">
        <v>86</v>
      </c>
      <c r="B27" s="20">
        <f>SUMIF('Проект СС'!$B:$B,$A27,'Проект СС'!$O:$O)</f>
        <v>0</v>
      </c>
      <c r="C27" s="21"/>
      <c r="D27" s="24">
        <f t="shared" si="0"/>
        <v>0</v>
      </c>
      <c r="E27" s="25"/>
    </row>
    <row r="28" spans="1:8">
      <c r="A28" s="90" t="s">
        <v>87</v>
      </c>
      <c r="B28" s="20">
        <f>SUMIF('Проект СС'!$B:$B,$A28,'Проект СС'!$O:$O)</f>
        <v>0</v>
      </c>
      <c r="C28" s="21"/>
      <c r="D28" s="24">
        <f t="shared" si="0"/>
        <v>0</v>
      </c>
      <c r="E28" s="25"/>
    </row>
    <row r="29" spans="1:8">
      <c r="A29" s="89" t="s">
        <v>88</v>
      </c>
      <c r="B29" s="40">
        <f>SUM(B30:B32)</f>
        <v>5000</v>
      </c>
      <c r="C29" s="41">
        <f>SUM(C30:C32)</f>
        <v>0</v>
      </c>
      <c r="D29" s="42">
        <f t="shared" si="0"/>
        <v>5000</v>
      </c>
      <c r="E29" s="43"/>
    </row>
    <row r="30" spans="1:8">
      <c r="A30" s="90" t="s">
        <v>89</v>
      </c>
      <c r="B30" s="20">
        <f>SUMIF('Проект СС'!$B:$B,$A30,'Проект СС'!$O:$O)</f>
        <v>0</v>
      </c>
      <c r="C30" s="21"/>
      <c r="D30" s="24"/>
      <c r="E30" s="25"/>
    </row>
    <row r="31" spans="1:8">
      <c r="A31" s="90" t="s">
        <v>90</v>
      </c>
      <c r="B31" s="20">
        <f>SUMIF('Проект СС'!$B:$B,$A31,'Проект СС'!$O:$O)</f>
        <v>5000</v>
      </c>
      <c r="C31" s="21"/>
      <c r="D31" s="24">
        <f t="shared" si="0"/>
        <v>5000</v>
      </c>
      <c r="E31" s="25"/>
    </row>
    <row r="32" spans="1:8">
      <c r="A32" s="90" t="s">
        <v>91</v>
      </c>
      <c r="B32" s="20">
        <f>SUMIF('Проект СС'!$B:$B,$A32,'Проект СС'!$O:$O)</f>
        <v>0</v>
      </c>
      <c r="C32" s="21"/>
      <c r="D32" s="24">
        <f t="shared" si="0"/>
        <v>0</v>
      </c>
      <c r="E32" s="45"/>
      <c r="G32" s="26"/>
    </row>
    <row r="33" spans="1:8" ht="25.5">
      <c r="A33" s="91" t="s">
        <v>189</v>
      </c>
      <c r="B33" s="40">
        <f>SUM(B34:B40)</f>
        <v>0</v>
      </c>
      <c r="C33" s="41">
        <f>SUM(C34:C40)</f>
        <v>0</v>
      </c>
      <c r="D33" s="42">
        <f t="shared" si="0"/>
        <v>0</v>
      </c>
      <c r="E33" s="43"/>
    </row>
    <row r="34" spans="1:8">
      <c r="A34" s="90" t="s">
        <v>92</v>
      </c>
      <c r="B34" s="20"/>
      <c r="C34" s="20">
        <f>SUMIF('Проект СС'!$B:$B,$A34,'Проект СС'!$O:$O)</f>
        <v>0</v>
      </c>
      <c r="D34" s="24">
        <f>B34+C34</f>
        <v>0</v>
      </c>
      <c r="E34" s="25" t="s">
        <v>93</v>
      </c>
      <c r="F34" s="26"/>
      <c r="G34" s="26"/>
      <c r="H34" s="26"/>
    </row>
    <row r="35" spans="1:8">
      <c r="A35" s="90" t="s">
        <v>94</v>
      </c>
      <c r="B35" s="20">
        <f>SUMIF('Проект СС'!$B:$B,$A35,'Проект СС'!$O:$O)</f>
        <v>0</v>
      </c>
      <c r="C35" s="21"/>
      <c r="D35" s="24">
        <f>B35+C35</f>
        <v>0</v>
      </c>
      <c r="E35" s="25"/>
      <c r="G35" s="26"/>
      <c r="H35" s="26"/>
    </row>
    <row r="36" spans="1:8">
      <c r="A36" s="90" t="s">
        <v>32</v>
      </c>
      <c r="B36" s="20">
        <f>SUMIF('Проект СС'!$B:$B,$A36,'Проект СС'!$O:$O)</f>
        <v>0</v>
      </c>
      <c r="C36" s="21"/>
      <c r="D36" s="24">
        <f>B36+C36</f>
        <v>0</v>
      </c>
      <c r="E36" s="25"/>
      <c r="G36" s="26"/>
      <c r="H36" s="26"/>
    </row>
    <row r="37" spans="1:8">
      <c r="A37" s="90" t="s">
        <v>95</v>
      </c>
      <c r="B37" s="20">
        <f>SUMIF('Проект СС'!$B:$B,$A37,'Проект СС'!$O:$O)</f>
        <v>0</v>
      </c>
      <c r="C37" s="21"/>
      <c r="D37" s="24">
        <f t="shared" si="0"/>
        <v>0</v>
      </c>
      <c r="E37" s="25"/>
    </row>
    <row r="38" spans="1:8">
      <c r="A38" s="90" t="s">
        <v>190</v>
      </c>
      <c r="B38" s="20">
        <f>SUMIF('Проект СС'!$B:$B,$A38,'Проект СС'!$O:$O)</f>
        <v>0</v>
      </c>
      <c r="C38" s="21"/>
      <c r="D38" s="24">
        <f t="shared" si="0"/>
        <v>0</v>
      </c>
      <c r="E38" s="25"/>
    </row>
    <row r="39" spans="1:8">
      <c r="A39" s="90" t="s">
        <v>96</v>
      </c>
      <c r="B39" s="20">
        <f>SUMIF('Проект СС'!$B:$B,$A39,'Проект СС'!$O:$O)</f>
        <v>0</v>
      </c>
      <c r="C39" s="21"/>
      <c r="D39" s="24">
        <f t="shared" si="0"/>
        <v>0</v>
      </c>
      <c r="E39" s="25"/>
    </row>
    <row r="40" spans="1:8">
      <c r="A40" s="90" t="s">
        <v>97</v>
      </c>
      <c r="B40" s="20">
        <f>SUMIF('Проект СС'!$B:$B,$A40,'Проект СС'!$O:$O)</f>
        <v>0</v>
      </c>
      <c r="C40" s="21"/>
      <c r="D40" s="24">
        <f t="shared" si="0"/>
        <v>0</v>
      </c>
      <c r="E40" s="25"/>
    </row>
    <row r="41" spans="1:8">
      <c r="A41" s="89" t="s">
        <v>98</v>
      </c>
      <c r="B41" s="40">
        <f>SUM(B42:B44)</f>
        <v>0</v>
      </c>
      <c r="C41" s="41">
        <f>SUM(C42:C44)</f>
        <v>0</v>
      </c>
      <c r="D41" s="42">
        <f t="shared" si="0"/>
        <v>0</v>
      </c>
      <c r="E41" s="43"/>
    </row>
    <row r="42" spans="1:8">
      <c r="A42" s="90" t="s">
        <v>99</v>
      </c>
      <c r="B42" s="20">
        <f>SUMIF('Проект СС'!$B:$B,$A42,'Проект СС'!$O:$O)</f>
        <v>0</v>
      </c>
      <c r="C42" s="21"/>
      <c r="D42" s="24">
        <f t="shared" si="0"/>
        <v>0</v>
      </c>
      <c r="E42" s="46"/>
    </row>
    <row r="43" spans="1:8">
      <c r="A43" s="90" t="s">
        <v>100</v>
      </c>
      <c r="B43" s="20">
        <f>SUMIF('Проект СС'!$B:$B,$A43,'Проект СС'!$O:$O)</f>
        <v>0</v>
      </c>
      <c r="C43" s="21"/>
      <c r="D43" s="24">
        <f t="shared" si="0"/>
        <v>0</v>
      </c>
      <c r="E43" s="25"/>
    </row>
    <row r="44" spans="1:8">
      <c r="A44" s="90" t="s">
        <v>101</v>
      </c>
      <c r="B44" s="20">
        <f>SUMIF('Проект СС'!$B:$B,$A44,'Проект СС'!$O:$O)</f>
        <v>0</v>
      </c>
      <c r="C44" s="21"/>
      <c r="D44" s="24">
        <f t="shared" si="0"/>
        <v>0</v>
      </c>
      <c r="E44" s="47">
        <v>0.03</v>
      </c>
      <c r="G44" s="26"/>
    </row>
    <row r="45" spans="1:8">
      <c r="A45" s="89" t="s">
        <v>102</v>
      </c>
      <c r="B45" s="40">
        <f>SUM(B46:B48)</f>
        <v>0</v>
      </c>
      <c r="C45" s="41">
        <f>SUM(C46:C48)</f>
        <v>0</v>
      </c>
      <c r="D45" s="42">
        <f t="shared" si="0"/>
        <v>0</v>
      </c>
      <c r="E45" s="43"/>
    </row>
    <row r="46" spans="1:8">
      <c r="A46" s="90" t="s">
        <v>103</v>
      </c>
      <c r="B46" s="20">
        <f>SUMIF('Проект СС'!$B:$B,$A46,'Проект СС'!$O:$O)</f>
        <v>0</v>
      </c>
      <c r="C46" s="21"/>
      <c r="D46" s="24">
        <f t="shared" si="0"/>
        <v>0</v>
      </c>
      <c r="E46" s="44"/>
    </row>
    <row r="47" spans="1:8">
      <c r="A47" s="90" t="s">
        <v>104</v>
      </c>
      <c r="B47" s="20">
        <f>SUMIF('Проект СС'!$B:$B,$A47,'Проект СС'!$O:$O)</f>
        <v>0</v>
      </c>
      <c r="C47" s="21"/>
      <c r="D47" s="24">
        <f t="shared" si="0"/>
        <v>0</v>
      </c>
      <c r="E47" s="25"/>
    </row>
    <row r="48" spans="1:8">
      <c r="A48" s="90" t="s">
        <v>105</v>
      </c>
      <c r="B48" s="20">
        <f>SUMIF('Проект СС'!$B:$B,$A48,'Проект СС'!$O:$O)</f>
        <v>0</v>
      </c>
      <c r="C48" s="21"/>
      <c r="D48" s="24">
        <f t="shared" si="0"/>
        <v>0</v>
      </c>
      <c r="E48" s="25"/>
    </row>
    <row r="49" spans="1:7">
      <c r="A49" s="89" t="s">
        <v>106</v>
      </c>
      <c r="B49" s="40">
        <f>B50+B51</f>
        <v>10000</v>
      </c>
      <c r="C49" s="41">
        <f>C50+C51</f>
        <v>0</v>
      </c>
      <c r="D49" s="42">
        <f t="shared" si="0"/>
        <v>10000</v>
      </c>
      <c r="E49" s="43"/>
    </row>
    <row r="50" spans="1:7">
      <c r="A50" s="90" t="s">
        <v>107</v>
      </c>
      <c r="B50" s="20">
        <f>SUMIF('Проект СС'!$B:$B,$A50,'Проект СС'!$O:$O)</f>
        <v>10000</v>
      </c>
      <c r="C50" s="21"/>
      <c r="D50" s="24">
        <f t="shared" si="0"/>
        <v>10000</v>
      </c>
      <c r="E50" s="25"/>
      <c r="F50" s="48"/>
      <c r="G50" s="26"/>
    </row>
    <row r="51" spans="1:7">
      <c r="A51" s="90" t="s">
        <v>108</v>
      </c>
      <c r="B51" s="20">
        <f>SUMIF('Проект СС'!$B:$B,$A51,'Проект СС'!$O:$O)</f>
        <v>0</v>
      </c>
      <c r="C51" s="21"/>
      <c r="D51" s="24">
        <f t="shared" si="0"/>
        <v>0</v>
      </c>
      <c r="E51" s="25"/>
    </row>
    <row r="52" spans="1:7">
      <c r="A52" s="89" t="s">
        <v>109</v>
      </c>
      <c r="B52" s="40">
        <f>SUM(B53:B57)</f>
        <v>0</v>
      </c>
      <c r="C52" s="41">
        <f>SUM(C53:C57)</f>
        <v>0</v>
      </c>
      <c r="D52" s="42">
        <f t="shared" si="0"/>
        <v>0</v>
      </c>
      <c r="E52" s="43"/>
    </row>
    <row r="53" spans="1:7">
      <c r="A53" s="90" t="s">
        <v>110</v>
      </c>
      <c r="B53" s="20">
        <f>SUMIF('Проект СС'!$B:$B,$A53,'Проект СС'!$O:$O)</f>
        <v>0</v>
      </c>
      <c r="C53" s="21"/>
      <c r="D53" s="24">
        <f t="shared" si="0"/>
        <v>0</v>
      </c>
      <c r="E53" s="25"/>
    </row>
    <row r="54" spans="1:7">
      <c r="A54" s="90" t="s">
        <v>111</v>
      </c>
      <c r="B54" s="20">
        <f>SUMIF('Проект СС'!$B:$B,$A54,'Проект СС'!$O:$O)</f>
        <v>0</v>
      </c>
      <c r="C54" s="21"/>
      <c r="D54" s="24">
        <f t="shared" si="0"/>
        <v>0</v>
      </c>
      <c r="E54" s="25"/>
    </row>
    <row r="55" spans="1:7">
      <c r="A55" s="90" t="s">
        <v>112</v>
      </c>
      <c r="B55" s="20">
        <f>SUMIF('Проект СС'!$B:$B,$A55,'Проект СС'!$O:$O)</f>
        <v>0</v>
      </c>
      <c r="C55" s="21"/>
      <c r="D55" s="24">
        <f t="shared" si="0"/>
        <v>0</v>
      </c>
      <c r="E55" s="25"/>
    </row>
    <row r="56" spans="1:7">
      <c r="A56" s="90" t="s">
        <v>113</v>
      </c>
      <c r="B56" s="20">
        <f>SUMIF('Проект СС'!$B:$B,$A56,'Проект СС'!$O:$O)</f>
        <v>0</v>
      </c>
      <c r="C56" s="21"/>
      <c r="D56" s="24">
        <f t="shared" si="0"/>
        <v>0</v>
      </c>
      <c r="E56" s="25"/>
    </row>
    <row r="57" spans="1:7">
      <c r="A57" s="90" t="s">
        <v>114</v>
      </c>
      <c r="B57" s="20">
        <f>SUMIF('Проект СС'!$B:$B,$A57,'Проект СС'!$O:$O)</f>
        <v>0</v>
      </c>
      <c r="C57" s="21"/>
      <c r="D57" s="24">
        <f t="shared" si="0"/>
        <v>0</v>
      </c>
      <c r="E57" s="25"/>
    </row>
    <row r="58" spans="1:7">
      <c r="A58" s="89" t="s">
        <v>115</v>
      </c>
      <c r="B58" s="40">
        <f>SUM(B59:B60)</f>
        <v>0</v>
      </c>
      <c r="C58" s="41">
        <f>SUM(C59:C60)</f>
        <v>0</v>
      </c>
      <c r="D58" s="42">
        <f t="shared" si="0"/>
        <v>0</v>
      </c>
      <c r="E58" s="43"/>
    </row>
    <row r="59" spans="1:7">
      <c r="A59" s="90" t="s">
        <v>116</v>
      </c>
      <c r="B59" s="20">
        <f>SUMIF('Проект СС'!$B:$B,$A59,'Проект СС'!$O:$O)</f>
        <v>0</v>
      </c>
      <c r="C59" s="21"/>
      <c r="D59" s="24">
        <f>B59+C59</f>
        <v>0</v>
      </c>
      <c r="E59" s="47"/>
    </row>
    <row r="60" spans="1:7">
      <c r="A60" s="90" t="s">
        <v>117</v>
      </c>
      <c r="B60" s="20">
        <f>SUMIF('Проект СС'!$B:$B,$A60,'Проект СС'!$O:$O)</f>
        <v>0</v>
      </c>
      <c r="C60" s="21"/>
      <c r="D60" s="24">
        <f t="shared" si="0"/>
        <v>0</v>
      </c>
      <c r="E60" s="25"/>
    </row>
    <row r="61" spans="1:7">
      <c r="A61" s="89" t="s">
        <v>118</v>
      </c>
      <c r="B61" s="40">
        <f>SUM(B62:B65)</f>
        <v>0</v>
      </c>
      <c r="C61" s="41">
        <f>SUM(C62:C65)</f>
        <v>0</v>
      </c>
      <c r="D61" s="42">
        <f t="shared" si="0"/>
        <v>0</v>
      </c>
      <c r="E61" s="43"/>
    </row>
    <row r="62" spans="1:7">
      <c r="A62" s="90" t="s">
        <v>119</v>
      </c>
      <c r="B62" s="20">
        <f>SUMIF('Проект СС'!$B:$B,$A62,'Проект СС'!$O:$O)</f>
        <v>0</v>
      </c>
      <c r="C62" s="21"/>
      <c r="D62" s="24">
        <f t="shared" si="0"/>
        <v>0</v>
      </c>
      <c r="E62" s="25"/>
    </row>
    <row r="63" spans="1:7">
      <c r="A63" s="90" t="s">
        <v>120</v>
      </c>
      <c r="B63" s="20">
        <f>SUMIF('Проект СС'!$B:$B,$A63,'Проект СС'!$O:$O)</f>
        <v>0</v>
      </c>
      <c r="C63" s="21"/>
      <c r="D63" s="24">
        <f t="shared" si="0"/>
        <v>0</v>
      </c>
      <c r="E63" s="25"/>
    </row>
    <row r="64" spans="1:7">
      <c r="A64" s="90" t="s">
        <v>121</v>
      </c>
      <c r="B64" s="20">
        <f>SUMIF('Проект СС'!$B:$B,$A64,'Проект СС'!$O:$O)</f>
        <v>0</v>
      </c>
      <c r="C64" s="21"/>
      <c r="D64" s="24">
        <f t="shared" si="0"/>
        <v>0</v>
      </c>
      <c r="E64" s="49"/>
    </row>
    <row r="65" spans="1:5">
      <c r="A65" s="90" t="s">
        <v>122</v>
      </c>
      <c r="B65" s="20">
        <f>SUMIF('Проект СС'!$B:$B,$A65,'Проект СС'!$O:$O)</f>
        <v>0</v>
      </c>
      <c r="C65" s="21"/>
      <c r="D65" s="24">
        <f t="shared" si="0"/>
        <v>0</v>
      </c>
      <c r="E65" s="49"/>
    </row>
    <row r="66" spans="1:5" ht="15">
      <c r="A66" s="88" t="s">
        <v>123</v>
      </c>
      <c r="B66" s="50">
        <f>B67</f>
        <v>0</v>
      </c>
      <c r="C66" s="51">
        <f>C67</f>
        <v>0</v>
      </c>
      <c r="D66" s="52">
        <f t="shared" ref="D66:D84" si="1">B66+C66</f>
        <v>0</v>
      </c>
      <c r="E66" s="53"/>
    </row>
    <row r="67" spans="1:5">
      <c r="A67" s="89" t="s">
        <v>123</v>
      </c>
      <c r="B67" s="54">
        <f>SUM(B68:B69)</f>
        <v>0</v>
      </c>
      <c r="C67" s="55">
        <f>SUM(C68:C69)</f>
        <v>0</v>
      </c>
      <c r="D67" s="56">
        <f t="shared" si="1"/>
        <v>0</v>
      </c>
      <c r="E67" s="57"/>
    </row>
    <row r="68" spans="1:5">
      <c r="A68" s="92" t="s">
        <v>124</v>
      </c>
      <c r="B68" s="20">
        <f>SUMIF('Проект СС'!$B:$B,$A68,'Проект СС'!$O:$O)</f>
        <v>0</v>
      </c>
      <c r="C68" s="21"/>
      <c r="D68" s="58">
        <f t="shared" si="1"/>
        <v>0</v>
      </c>
      <c r="E68" s="59"/>
    </row>
    <row r="69" spans="1:5">
      <c r="A69" s="93" t="s">
        <v>125</v>
      </c>
      <c r="B69" s="20">
        <f>SUMIF('Проект СС'!$B:$B,$A69,'Проект СС'!$O:$O)</f>
        <v>0</v>
      </c>
      <c r="C69" s="21"/>
      <c r="D69" s="60">
        <f t="shared" si="1"/>
        <v>0</v>
      </c>
      <c r="E69" s="61"/>
    </row>
    <row r="70" spans="1:5" ht="15">
      <c r="A70" s="88" t="s">
        <v>126</v>
      </c>
      <c r="B70" s="62">
        <f>B71+B76+B83+B86+B90</f>
        <v>0</v>
      </c>
      <c r="C70" s="63">
        <f>C71+C76+C83+C86+C90</f>
        <v>2800</v>
      </c>
      <c r="D70" s="64">
        <f t="shared" si="1"/>
        <v>2800</v>
      </c>
      <c r="E70" s="65"/>
    </row>
    <row r="71" spans="1:5">
      <c r="A71" s="89" t="s">
        <v>127</v>
      </c>
      <c r="B71" s="40">
        <f>SUM(B72:B75)</f>
        <v>0</v>
      </c>
      <c r="C71" s="41">
        <f>SUM(C72:C75)</f>
        <v>2800</v>
      </c>
      <c r="D71" s="42">
        <f t="shared" si="1"/>
        <v>2800</v>
      </c>
      <c r="E71" s="43"/>
    </row>
    <row r="72" spans="1:5">
      <c r="A72" s="90" t="s">
        <v>57</v>
      </c>
      <c r="B72" s="20">
        <f>SUMIF('Проект СС'!$B:$B,$A72,'Проект СС'!$O:$O)</f>
        <v>0</v>
      </c>
      <c r="C72" s="21">
        <v>2800</v>
      </c>
      <c r="D72" s="24">
        <f t="shared" si="1"/>
        <v>2800</v>
      </c>
      <c r="E72" s="25"/>
    </row>
    <row r="73" spans="1:5">
      <c r="A73" s="94" t="s">
        <v>128</v>
      </c>
      <c r="B73" s="20">
        <f>SUMIF('Проект СС'!$B:$B,$A73,'Проект СС'!$O:$O)</f>
        <v>0</v>
      </c>
      <c r="C73" s="21"/>
      <c r="D73" s="24">
        <f t="shared" si="1"/>
        <v>0</v>
      </c>
      <c r="E73" s="25"/>
    </row>
    <row r="74" spans="1:5">
      <c r="A74" s="90" t="s">
        <v>129</v>
      </c>
      <c r="B74" s="20">
        <f>SUMIF('Проект СС'!$B:$B,$A74,'Проект СС'!$O:$O)</f>
        <v>0</v>
      </c>
      <c r="C74" s="21"/>
      <c r="D74" s="24">
        <f t="shared" si="1"/>
        <v>0</v>
      </c>
      <c r="E74" s="25"/>
    </row>
    <row r="75" spans="1:5">
      <c r="A75" s="90" t="s">
        <v>130</v>
      </c>
      <c r="B75" s="20">
        <f>SUMIF('Проект СС'!$B:$B,$A75,'Проект СС'!$O:$O)</f>
        <v>0</v>
      </c>
      <c r="C75" s="21"/>
      <c r="D75" s="24">
        <f t="shared" si="1"/>
        <v>0</v>
      </c>
      <c r="E75" s="25"/>
    </row>
    <row r="76" spans="1:5">
      <c r="A76" s="89" t="s">
        <v>126</v>
      </c>
      <c r="B76" s="40">
        <f>SUM(B77:B82)</f>
        <v>0</v>
      </c>
      <c r="C76" s="41">
        <f>SUM(C77:C82)</f>
        <v>0</v>
      </c>
      <c r="D76" s="42">
        <f t="shared" si="1"/>
        <v>0</v>
      </c>
      <c r="E76" s="43"/>
    </row>
    <row r="77" spans="1:5">
      <c r="A77" s="90" t="s">
        <v>131</v>
      </c>
      <c r="B77" s="20">
        <f>SUMIF('Проект СС'!$B:$B,$A77,'Проект СС'!$O:$O)</f>
        <v>0</v>
      </c>
      <c r="C77" s="21"/>
      <c r="D77" s="24">
        <f t="shared" si="1"/>
        <v>0</v>
      </c>
      <c r="E77" s="25"/>
    </row>
    <row r="78" spans="1:5">
      <c r="A78" s="90" t="s">
        <v>53</v>
      </c>
      <c r="B78" s="20">
        <f>SUMIF('Проект СС'!$B:$B,$A78,'Проект СС'!$O:$O)</f>
        <v>0</v>
      </c>
      <c r="C78" s="21"/>
      <c r="D78" s="24">
        <f>B78+C78</f>
        <v>0</v>
      </c>
      <c r="E78" s="25"/>
    </row>
    <row r="79" spans="1:5">
      <c r="A79" s="90" t="s">
        <v>59</v>
      </c>
      <c r="B79" s="20">
        <f>SUMIF('Проект СС'!$B:$B,$A79,'Проект СС'!$O:$O)</f>
        <v>0</v>
      </c>
      <c r="C79" s="21"/>
      <c r="D79" s="24">
        <f>B79+C79</f>
        <v>0</v>
      </c>
      <c r="E79" s="25"/>
    </row>
    <row r="80" spans="1:5">
      <c r="A80" s="90" t="s">
        <v>58</v>
      </c>
      <c r="B80" s="20">
        <f>SUMIF('Проект СС'!$B:$B,$A80,'Проект СС'!$O:$O)</f>
        <v>0</v>
      </c>
      <c r="C80" s="21"/>
      <c r="D80" s="24">
        <f>B80+C80</f>
        <v>0</v>
      </c>
      <c r="E80" s="25"/>
    </row>
    <row r="81" spans="1:7">
      <c r="A81" s="90" t="s">
        <v>132</v>
      </c>
      <c r="B81" s="20">
        <f>SUMIF('Проект СС'!$B:$B,$A81,'Проект СС'!$O:$O)</f>
        <v>0</v>
      </c>
      <c r="C81" s="21"/>
      <c r="D81" s="24">
        <f t="shared" si="1"/>
        <v>0</v>
      </c>
      <c r="E81" s="25"/>
    </row>
    <row r="82" spans="1:7">
      <c r="A82" s="90" t="s">
        <v>133</v>
      </c>
      <c r="B82" s="20">
        <f>SUMIF('Проект СС'!$B:$B,$A82,'Проект СС'!$O:$O)</f>
        <v>0</v>
      </c>
      <c r="C82" s="21"/>
      <c r="D82" s="24">
        <f t="shared" si="1"/>
        <v>0</v>
      </c>
      <c r="E82" s="25"/>
    </row>
    <row r="83" spans="1:7">
      <c r="A83" s="89" t="s">
        <v>134</v>
      </c>
      <c r="B83" s="40">
        <f>SUM(B84:B85)</f>
        <v>0</v>
      </c>
      <c r="C83" s="41">
        <f>SUM(C84:C85)</f>
        <v>0</v>
      </c>
      <c r="D83" s="42">
        <f t="shared" si="1"/>
        <v>0</v>
      </c>
      <c r="E83" s="43"/>
    </row>
    <row r="84" spans="1:7">
      <c r="A84" s="90" t="s">
        <v>135</v>
      </c>
      <c r="B84" s="20">
        <f>SUMIF('Проект СС'!$B:$B,$A84,'Проект СС'!$O:$O)</f>
        <v>0</v>
      </c>
      <c r="C84" s="21"/>
      <c r="D84" s="24">
        <f t="shared" si="1"/>
        <v>0</v>
      </c>
      <c r="E84" s="66"/>
    </row>
    <row r="85" spans="1:7">
      <c r="A85" s="90" t="s">
        <v>55</v>
      </c>
      <c r="B85" s="20">
        <f>SUMIF('Проект СС'!$B:$B,$A85,'Проект СС'!$O:$O)</f>
        <v>0</v>
      </c>
      <c r="C85" s="21"/>
      <c r="D85" s="24">
        <f>B85+C85</f>
        <v>0</v>
      </c>
      <c r="E85" s="66" t="s">
        <v>136</v>
      </c>
    </row>
    <row r="86" spans="1:7">
      <c r="A86" s="89" t="s">
        <v>137</v>
      </c>
      <c r="B86" s="40">
        <f>SUM(B87:B89)</f>
        <v>0</v>
      </c>
      <c r="C86" s="41">
        <f>SUM(C87:C89)</f>
        <v>0</v>
      </c>
      <c r="D86" s="42">
        <f>SUM(D87:D89)</f>
        <v>0</v>
      </c>
      <c r="E86" s="67"/>
    </row>
    <row r="87" spans="1:7">
      <c r="A87" s="90" t="s">
        <v>138</v>
      </c>
      <c r="B87" s="20">
        <f>SUMIF('Проект СС'!$B:$B,$A87,'Проект СС'!$O:$O)</f>
        <v>0</v>
      </c>
      <c r="C87" s="21"/>
      <c r="D87" s="24">
        <f t="shared" ref="D87:D148" si="2">B87+C87</f>
        <v>0</v>
      </c>
      <c r="E87" s="68"/>
    </row>
    <row r="88" spans="1:7">
      <c r="A88" s="90" t="s">
        <v>139</v>
      </c>
      <c r="B88" s="20">
        <f>SUMIF('Проект СС'!$B:$B,$A88,'Проект СС'!$O:$O)</f>
        <v>0</v>
      </c>
      <c r="C88" s="21"/>
      <c r="D88" s="24">
        <f t="shared" si="2"/>
        <v>0</v>
      </c>
      <c r="E88" s="68"/>
    </row>
    <row r="89" spans="1:7">
      <c r="A89" s="90" t="s">
        <v>140</v>
      </c>
      <c r="B89" s="20">
        <f>SUMIF('Проект СС'!$B:$B,$A89,'Проект СС'!$O:$O)</f>
        <v>0</v>
      </c>
      <c r="C89" s="21"/>
      <c r="D89" s="24">
        <f>B89+C89</f>
        <v>0</v>
      </c>
      <c r="E89" s="66"/>
      <c r="F89" s="48"/>
      <c r="G89" s="26"/>
    </row>
    <row r="90" spans="1:7">
      <c r="A90" s="91" t="s">
        <v>141</v>
      </c>
      <c r="B90" s="40">
        <f>SUM(B91:B92)</f>
        <v>0</v>
      </c>
      <c r="C90" s="41">
        <f>SUM(C91:C92)</f>
        <v>0</v>
      </c>
      <c r="D90" s="42">
        <f t="shared" si="2"/>
        <v>0</v>
      </c>
      <c r="E90" s="43"/>
    </row>
    <row r="91" spans="1:7">
      <c r="A91" s="90" t="s">
        <v>141</v>
      </c>
      <c r="B91" s="20">
        <f>SUMIF('Проект СС'!$B:$B,$A91,'Проект СС'!$O:$O)</f>
        <v>0</v>
      </c>
      <c r="C91" s="21"/>
      <c r="D91" s="24">
        <f t="shared" si="2"/>
        <v>0</v>
      </c>
      <c r="E91" s="66"/>
    </row>
    <row r="92" spans="1:7">
      <c r="A92" s="90" t="s">
        <v>142</v>
      </c>
      <c r="B92" s="20">
        <f>SUMIF('Проект СС'!$B:$B,$A92,'Проект СС'!$O:$O)</f>
        <v>0</v>
      </c>
      <c r="C92" s="21"/>
      <c r="D92" s="24">
        <f t="shared" si="2"/>
        <v>0</v>
      </c>
      <c r="E92" s="25"/>
    </row>
    <row r="93" spans="1:7" ht="15">
      <c r="A93" s="88" t="s">
        <v>143</v>
      </c>
      <c r="B93" s="62">
        <f>B94+B105+B113+B117</f>
        <v>787807.00500000012</v>
      </c>
      <c r="C93" s="63">
        <f>C94+C105+C113+C117</f>
        <v>191820</v>
      </c>
      <c r="D93" s="64">
        <f t="shared" si="2"/>
        <v>979627.00500000012</v>
      </c>
      <c r="E93" s="65"/>
    </row>
    <row r="94" spans="1:7">
      <c r="A94" s="89" t="s">
        <v>144</v>
      </c>
      <c r="B94" s="40">
        <f>SUM(B95:B104)</f>
        <v>762207.00500000012</v>
      </c>
      <c r="C94" s="41">
        <f>SUM(C95:C104)</f>
        <v>0</v>
      </c>
      <c r="D94" s="42">
        <f t="shared" si="2"/>
        <v>762207.00500000012</v>
      </c>
      <c r="E94" s="43"/>
    </row>
    <row r="95" spans="1:7">
      <c r="A95" s="90" t="s">
        <v>145</v>
      </c>
      <c r="B95" s="20">
        <f>SUMIF('Проект СС'!$B:$B,$A95,'Проект СС'!$O:$O)</f>
        <v>0</v>
      </c>
      <c r="C95" s="21"/>
      <c r="D95" s="24">
        <f t="shared" si="2"/>
        <v>0</v>
      </c>
      <c r="E95" s="25"/>
    </row>
    <row r="96" spans="1:7">
      <c r="A96" s="90" t="s">
        <v>146</v>
      </c>
      <c r="B96" s="20">
        <f>SUMIF('Проект СС'!$B:$B,$A96,'Проект СС'!$O:$O)</f>
        <v>0</v>
      </c>
      <c r="C96" s="21"/>
      <c r="D96" s="24">
        <f t="shared" si="2"/>
        <v>0</v>
      </c>
      <c r="E96" s="25"/>
    </row>
    <row r="97" spans="1:8">
      <c r="A97" s="90" t="s">
        <v>147</v>
      </c>
      <c r="B97" s="20">
        <f>SUMIF('Проект СС'!$B:$B,$A97,'Проект СС'!$O:$O)</f>
        <v>0</v>
      </c>
      <c r="C97" s="21"/>
      <c r="D97" s="24">
        <f t="shared" si="2"/>
        <v>0</v>
      </c>
      <c r="E97" s="25"/>
    </row>
    <row r="98" spans="1:8">
      <c r="A98" s="90" t="s">
        <v>21</v>
      </c>
      <c r="B98" s="20">
        <f>SUMIF('Проект СС'!$B:$B,$A98,'Проект СС'!$O:$O)</f>
        <v>0</v>
      </c>
      <c r="C98" s="21"/>
      <c r="D98" s="24">
        <f t="shared" si="2"/>
        <v>0</v>
      </c>
      <c r="E98" s="25"/>
      <c r="G98" s="26"/>
      <c r="H98" s="26"/>
    </row>
    <row r="99" spans="1:8">
      <c r="A99" s="90" t="s">
        <v>148</v>
      </c>
      <c r="B99" s="20">
        <f>SUMIF('Проект СС'!$B:$B,$A99,'Проект СС'!$O:$O)</f>
        <v>2500</v>
      </c>
      <c r="C99" s="21"/>
      <c r="D99" s="24">
        <f t="shared" si="2"/>
        <v>2500</v>
      </c>
      <c r="E99" s="25"/>
      <c r="G99" s="26"/>
      <c r="H99" s="26"/>
    </row>
    <row r="100" spans="1:8">
      <c r="A100" s="90" t="s">
        <v>60</v>
      </c>
      <c r="B100" s="20">
        <f>SUMIF('Проект СС'!$B:$B,$A100,'Проект СС'!$O:$O)</f>
        <v>0</v>
      </c>
      <c r="C100" s="21"/>
      <c r="D100" s="24">
        <f t="shared" si="2"/>
        <v>0</v>
      </c>
      <c r="E100" s="25"/>
    </row>
    <row r="101" spans="1:8">
      <c r="A101" s="90" t="s">
        <v>149</v>
      </c>
      <c r="B101" s="20">
        <f>SUMIF('Проект СС'!$B:$B,$A101,'Проект СС'!$O:$O)</f>
        <v>705624.00500000012</v>
      </c>
      <c r="C101" s="21"/>
      <c r="D101" s="24">
        <f t="shared" si="2"/>
        <v>705624.00500000012</v>
      </c>
      <c r="E101" s="25"/>
    </row>
    <row r="102" spans="1:8">
      <c r="A102" s="90" t="s">
        <v>150</v>
      </c>
      <c r="B102" s="20">
        <f>SUMIF('Проект СС'!$B:$B,$A102,'Проект СС'!$O:$O)</f>
        <v>0</v>
      </c>
      <c r="C102" s="21"/>
      <c r="D102" s="24">
        <f t="shared" si="2"/>
        <v>0</v>
      </c>
      <c r="E102" s="25"/>
      <c r="H102" s="26"/>
    </row>
    <row r="103" spans="1:8">
      <c r="A103" s="90" t="s">
        <v>151</v>
      </c>
      <c r="B103" s="20">
        <f>SUMIF('Проект СС'!$B:$B,$A103,'Проект СС'!$O:$O)</f>
        <v>54083</v>
      </c>
      <c r="C103" s="21"/>
      <c r="D103" s="24">
        <f t="shared" si="2"/>
        <v>54083</v>
      </c>
      <c r="E103" s="69"/>
      <c r="G103" s="26"/>
      <c r="H103" s="26"/>
    </row>
    <row r="104" spans="1:8">
      <c r="A104" s="90" t="s">
        <v>191</v>
      </c>
      <c r="B104" s="20">
        <f>SUMIF('Проект СС'!$B:$B,$A104,'Проект СС'!$O:$O)</f>
        <v>0</v>
      </c>
      <c r="C104" s="21"/>
      <c r="D104" s="24">
        <f t="shared" si="2"/>
        <v>0</v>
      </c>
      <c r="E104" s="23"/>
      <c r="G104" s="26"/>
      <c r="H104" s="26"/>
    </row>
    <row r="105" spans="1:8">
      <c r="A105" s="89" t="s">
        <v>152</v>
      </c>
      <c r="B105" s="40">
        <f>SUM(B106:B112)</f>
        <v>25600</v>
      </c>
      <c r="C105" s="41">
        <f>SUM(C106:C112)</f>
        <v>0</v>
      </c>
      <c r="D105" s="42">
        <f t="shared" si="2"/>
        <v>25600</v>
      </c>
      <c r="E105" s="70"/>
    </row>
    <row r="106" spans="1:8">
      <c r="A106" s="90" t="s">
        <v>153</v>
      </c>
      <c r="B106" s="20">
        <f>SUMIF('Проект СС'!$B:$B,$A106,'Проект СС'!$O:$O)</f>
        <v>0</v>
      </c>
      <c r="C106" s="21"/>
      <c r="D106" s="22">
        <f t="shared" si="2"/>
        <v>0</v>
      </c>
      <c r="E106" s="23"/>
    </row>
    <row r="107" spans="1:8">
      <c r="A107" s="90" t="s">
        <v>154</v>
      </c>
      <c r="B107" s="20">
        <f>SUMIF('Проект СС'!$B:$B,$A107,'Проект СС'!$O:$O)</f>
        <v>25600</v>
      </c>
      <c r="C107" s="21"/>
      <c r="D107" s="22">
        <f t="shared" si="2"/>
        <v>25600</v>
      </c>
      <c r="E107" s="69"/>
      <c r="G107" s="26"/>
      <c r="H107" s="26"/>
    </row>
    <row r="108" spans="1:8">
      <c r="A108" s="90" t="s">
        <v>155</v>
      </c>
      <c r="B108" s="20">
        <f>SUMIF('Проект СС'!$B:$B,$A108,'Проект СС'!$O:$O)</f>
        <v>0</v>
      </c>
      <c r="C108" s="21"/>
      <c r="D108" s="24">
        <f t="shared" si="2"/>
        <v>0</v>
      </c>
      <c r="E108" s="25"/>
    </row>
    <row r="109" spans="1:8">
      <c r="A109" s="90" t="s">
        <v>156</v>
      </c>
      <c r="B109" s="20">
        <f>SUMIF('Проект СС'!$B:$B,$A109,'Проект СС'!$O:$O)</f>
        <v>0</v>
      </c>
      <c r="C109" s="21"/>
      <c r="D109" s="24">
        <f t="shared" si="2"/>
        <v>0</v>
      </c>
      <c r="E109" s="49"/>
    </row>
    <row r="110" spans="1:8">
      <c r="A110" s="90" t="s">
        <v>157</v>
      </c>
      <c r="B110" s="20">
        <f>SUMIF('Проект СС'!$B:$B,$A110,'Проект СС'!$O:$O)</f>
        <v>0</v>
      </c>
      <c r="C110" s="21"/>
      <c r="D110" s="24">
        <f t="shared" si="2"/>
        <v>0</v>
      </c>
      <c r="E110" s="49"/>
    </row>
    <row r="111" spans="1:8">
      <c r="A111" s="90" t="s">
        <v>158</v>
      </c>
      <c r="B111" s="20">
        <f>SUMIF('Проект СС'!$B:$B,$A111,'Проект СС'!$O:$O)</f>
        <v>0</v>
      </c>
      <c r="C111" s="21"/>
      <c r="D111" s="24">
        <f t="shared" si="2"/>
        <v>0</v>
      </c>
      <c r="E111" s="49"/>
    </row>
    <row r="112" spans="1:8">
      <c r="A112" s="90" t="s">
        <v>22</v>
      </c>
      <c r="B112" s="20">
        <f>SUMIF('Проект СС'!$B:$B,$A112,'Проект СС'!$O:$O)</f>
        <v>0</v>
      </c>
      <c r="C112" s="21"/>
      <c r="D112" s="24">
        <f t="shared" si="2"/>
        <v>0</v>
      </c>
      <c r="E112" s="25"/>
    </row>
    <row r="113" spans="1:7">
      <c r="A113" s="89" t="s">
        <v>159</v>
      </c>
      <c r="B113" s="40">
        <f>SUM(B114:B116)</f>
        <v>0</v>
      </c>
      <c r="C113" s="41">
        <f>SUM(C114:C116)</f>
        <v>0</v>
      </c>
      <c r="D113" s="42">
        <f t="shared" si="2"/>
        <v>0</v>
      </c>
      <c r="E113" s="43"/>
    </row>
    <row r="114" spans="1:7">
      <c r="A114" s="90" t="s">
        <v>160</v>
      </c>
      <c r="B114" s="20">
        <f>SUMIF('Проект СС'!$B:$B,$A114,'Проект СС'!$O:$O)</f>
        <v>0</v>
      </c>
      <c r="C114" s="21"/>
      <c r="D114" s="24">
        <f t="shared" si="2"/>
        <v>0</v>
      </c>
      <c r="E114" s="25"/>
    </row>
    <row r="115" spans="1:7">
      <c r="A115" s="90" t="s">
        <v>161</v>
      </c>
      <c r="B115" s="20">
        <f>SUMIF('Проект СС'!$B:$B,$A115,'Проект СС'!$O:$O)</f>
        <v>0</v>
      </c>
      <c r="C115" s="21"/>
      <c r="D115" s="24">
        <f t="shared" si="2"/>
        <v>0</v>
      </c>
      <c r="E115" s="25"/>
    </row>
    <row r="116" spans="1:7">
      <c r="A116" s="90" t="s">
        <v>162</v>
      </c>
      <c r="B116" s="20">
        <f>SUMIF('Проект СС'!$B:$B,$A116,'Проект СС'!$O:$O)</f>
        <v>0</v>
      </c>
      <c r="C116" s="21"/>
      <c r="D116" s="24">
        <f t="shared" si="2"/>
        <v>0</v>
      </c>
      <c r="E116" s="25"/>
    </row>
    <row r="117" spans="1:7" ht="25.5">
      <c r="A117" s="95" t="s">
        <v>192</v>
      </c>
      <c r="B117" s="40">
        <f>SUM(B118:B127)</f>
        <v>0</v>
      </c>
      <c r="C117" s="41">
        <f>SUM(C118:C127)</f>
        <v>191820</v>
      </c>
      <c r="D117" s="42">
        <f t="shared" si="2"/>
        <v>191820</v>
      </c>
      <c r="E117" s="43"/>
    </row>
    <row r="118" spans="1:7">
      <c r="A118" s="96" t="s">
        <v>193</v>
      </c>
      <c r="B118" s="20"/>
      <c r="C118" s="20">
        <f>SUMIF('Проект СС'!$B:$B,$A118,'Проект СС'!$O:$O)</f>
        <v>191820</v>
      </c>
      <c r="D118" s="24">
        <f t="shared" si="2"/>
        <v>191820</v>
      </c>
      <c r="E118" s="25"/>
    </row>
    <row r="119" spans="1:7">
      <c r="A119" s="92" t="s">
        <v>163</v>
      </c>
      <c r="B119" s="20">
        <f>SUMIF('Проект СС'!$B:$B,$A119,'Проект СС'!$O:$O)</f>
        <v>0</v>
      </c>
      <c r="C119" s="21"/>
      <c r="D119" s="24">
        <f t="shared" si="2"/>
        <v>0</v>
      </c>
      <c r="E119" s="25"/>
    </row>
    <row r="120" spans="1:7" ht="22.5">
      <c r="A120" s="92" t="s">
        <v>164</v>
      </c>
      <c r="B120" s="20">
        <f>SUMIF('Проект СС'!$B:$B,$A120,'Проект СС'!$O:$O)</f>
        <v>0</v>
      </c>
      <c r="C120" s="21"/>
      <c r="D120" s="24">
        <f t="shared" si="2"/>
        <v>0</v>
      </c>
      <c r="E120" s="25"/>
    </row>
    <row r="121" spans="1:7">
      <c r="A121" s="97" t="s">
        <v>165</v>
      </c>
      <c r="B121" s="20">
        <f>SUMIF('Проект СС'!$B:$B,$A121,'Проект СС'!$O:$O)</f>
        <v>0</v>
      </c>
      <c r="C121" s="21"/>
      <c r="D121" s="71">
        <f>B121+C121</f>
        <v>0</v>
      </c>
      <c r="E121" s="47"/>
      <c r="G121" s="26"/>
    </row>
    <row r="122" spans="1:7">
      <c r="A122" s="96" t="s">
        <v>166</v>
      </c>
      <c r="B122" s="20">
        <f>SUMIF('Проект СС'!$B:$B,$A122,'Проект СС'!$O:$O)</f>
        <v>0</v>
      </c>
      <c r="C122" s="21"/>
      <c r="D122" s="22">
        <f>B122+C122</f>
        <v>0</v>
      </c>
      <c r="E122" s="47"/>
      <c r="G122" s="26"/>
    </row>
    <row r="123" spans="1:7">
      <c r="A123" s="92" t="s">
        <v>167</v>
      </c>
      <c r="B123" s="20">
        <f>SUMIF('Проект СС'!$B:$B,$A123,'Проект СС'!$O:$O)</f>
        <v>0</v>
      </c>
      <c r="C123" s="21"/>
      <c r="D123" s="22">
        <f>B123+C123</f>
        <v>0</v>
      </c>
      <c r="E123" s="47"/>
      <c r="G123" s="26"/>
    </row>
    <row r="124" spans="1:7">
      <c r="A124" s="96" t="s">
        <v>194</v>
      </c>
      <c r="B124" s="20">
        <f>SUMIF('Проект СС'!$B:$B,$A124,'Проект СС'!$O:$O)</f>
        <v>0</v>
      </c>
      <c r="C124" s="21"/>
      <c r="D124" s="22">
        <f t="shared" si="2"/>
        <v>0</v>
      </c>
      <c r="E124" s="45"/>
    </row>
    <row r="125" spans="1:7">
      <c r="A125" s="96" t="s">
        <v>195</v>
      </c>
      <c r="B125" s="20">
        <f>SUMIF('Проект СС'!$B:$B,$A125,'Проект СС'!$O:$O)</f>
        <v>0</v>
      </c>
      <c r="C125" s="21"/>
      <c r="D125" s="22">
        <f>B125+C125</f>
        <v>0</v>
      </c>
      <c r="E125" s="45"/>
    </row>
    <row r="126" spans="1:7">
      <c r="A126" s="96" t="s">
        <v>168</v>
      </c>
      <c r="B126" s="20">
        <f>SUMIF('Проект СС'!$B:$B,$A126,'Проект СС'!$O:$O)</f>
        <v>0</v>
      </c>
      <c r="C126" s="21"/>
      <c r="D126" s="22">
        <f t="shared" si="2"/>
        <v>0</v>
      </c>
      <c r="E126" s="45"/>
    </row>
    <row r="127" spans="1:7">
      <c r="A127" s="96" t="s">
        <v>169</v>
      </c>
      <c r="B127" s="20">
        <f>SUMIF('Проект СС'!$B:$B,$A127,'Проект СС'!$O:$O)</f>
        <v>0</v>
      </c>
      <c r="C127" s="21"/>
      <c r="D127" s="24">
        <f t="shared" si="2"/>
        <v>0</v>
      </c>
      <c r="E127" s="44"/>
    </row>
    <row r="128" spans="1:7" ht="15">
      <c r="A128" s="87" t="s">
        <v>170</v>
      </c>
      <c r="B128" s="72">
        <f>B129+B134</f>
        <v>29193</v>
      </c>
      <c r="C128" s="73">
        <f>C129+C134</f>
        <v>0</v>
      </c>
      <c r="D128" s="74">
        <f t="shared" si="2"/>
        <v>29193</v>
      </c>
      <c r="E128" s="75"/>
    </row>
    <row r="129" spans="1:7">
      <c r="A129" s="91" t="s">
        <v>171</v>
      </c>
      <c r="B129" s="76">
        <f>SUM(B130:B133)</f>
        <v>29193</v>
      </c>
      <c r="C129" s="77">
        <f>SUM(C130:C133)</f>
        <v>0</v>
      </c>
      <c r="D129" s="78">
        <f t="shared" si="2"/>
        <v>29193</v>
      </c>
      <c r="E129" s="43"/>
    </row>
    <row r="130" spans="1:7">
      <c r="A130" s="98" t="s">
        <v>171</v>
      </c>
      <c r="B130" s="20">
        <f>SUMIF('Проект СС'!$B:$B,$A130,'Проект СС'!$O:$O)</f>
        <v>0</v>
      </c>
      <c r="C130" s="21"/>
      <c r="D130" s="24">
        <f t="shared" si="2"/>
        <v>0</v>
      </c>
      <c r="E130" s="46"/>
    </row>
    <row r="131" spans="1:7">
      <c r="A131" s="98" t="s">
        <v>172</v>
      </c>
      <c r="B131" s="20">
        <f>SUMIF('Проект СС'!$B:$B,$A131,'Проект СС'!$O:$O)</f>
        <v>0</v>
      </c>
      <c r="C131" s="21"/>
      <c r="D131" s="24">
        <f t="shared" si="2"/>
        <v>0</v>
      </c>
      <c r="E131" s="46"/>
    </row>
    <row r="132" spans="1:7">
      <c r="A132" s="90" t="s">
        <v>196</v>
      </c>
      <c r="B132" s="20">
        <f>C14*15%</f>
        <v>29193</v>
      </c>
      <c r="C132" s="21"/>
      <c r="D132" s="24">
        <f t="shared" si="2"/>
        <v>29193</v>
      </c>
      <c r="E132" s="79" t="s">
        <v>173</v>
      </c>
      <c r="F132" s="26"/>
      <c r="G132" s="26"/>
    </row>
    <row r="133" spans="1:7">
      <c r="A133" s="90" t="s">
        <v>174</v>
      </c>
      <c r="B133" s="20">
        <f>C14*0</f>
        <v>0</v>
      </c>
      <c r="C133" s="21"/>
      <c r="D133" s="24">
        <f t="shared" si="2"/>
        <v>0</v>
      </c>
      <c r="E133" s="25"/>
    </row>
    <row r="134" spans="1:7">
      <c r="A134" s="91" t="s">
        <v>175</v>
      </c>
      <c r="B134" s="76">
        <f>SUM(B135:B136)</f>
        <v>0</v>
      </c>
      <c r="C134" s="77">
        <f>SUM(C135:C136)</f>
        <v>0</v>
      </c>
      <c r="D134" s="78">
        <f t="shared" si="2"/>
        <v>0</v>
      </c>
      <c r="E134" s="43"/>
    </row>
    <row r="135" spans="1:7">
      <c r="A135" s="85" t="s">
        <v>175</v>
      </c>
      <c r="B135" s="20"/>
      <c r="C135" s="21"/>
      <c r="D135" s="24">
        <f t="shared" si="2"/>
        <v>0</v>
      </c>
      <c r="E135" s="46"/>
    </row>
    <row r="136" spans="1:7">
      <c r="A136" s="98" t="s">
        <v>176</v>
      </c>
      <c r="B136" s="20"/>
      <c r="C136" s="21"/>
      <c r="D136" s="24">
        <f t="shared" si="2"/>
        <v>0</v>
      </c>
      <c r="E136" s="46"/>
    </row>
    <row r="137" spans="1:7">
      <c r="A137" s="91" t="s">
        <v>74</v>
      </c>
      <c r="B137" s="20"/>
      <c r="C137" s="103"/>
      <c r="D137" s="24"/>
      <c r="E137" s="46"/>
    </row>
    <row r="138" spans="1:7">
      <c r="A138" s="98" t="s">
        <v>197</v>
      </c>
      <c r="B138" s="20"/>
      <c r="C138" s="103"/>
      <c r="D138" s="24"/>
      <c r="E138" s="46"/>
    </row>
    <row r="139" spans="1:7">
      <c r="A139" s="98" t="s">
        <v>198</v>
      </c>
      <c r="B139" s="20"/>
      <c r="C139" s="103"/>
      <c r="D139" s="24"/>
      <c r="E139" s="46"/>
    </row>
    <row r="140" spans="1:7">
      <c r="A140" s="98" t="s">
        <v>74</v>
      </c>
      <c r="B140" s="20"/>
      <c r="C140" s="103"/>
      <c r="D140" s="24"/>
      <c r="E140" s="46"/>
    </row>
    <row r="141" spans="1:7" ht="15">
      <c r="A141" s="87" t="s">
        <v>177</v>
      </c>
      <c r="B141" s="72">
        <f>SUM(B142:B145)</f>
        <v>0</v>
      </c>
      <c r="C141" s="73">
        <f>SUM(C142:C145)</f>
        <v>0</v>
      </c>
      <c r="D141" s="74">
        <f t="shared" si="2"/>
        <v>0</v>
      </c>
      <c r="E141" s="75"/>
    </row>
    <row r="142" spans="1:7">
      <c r="A142" s="99" t="s">
        <v>178</v>
      </c>
      <c r="B142" s="20">
        <f>SUMIF('Проект СС'!$B:$B,$A142,'Проект СС'!$O:$O)</f>
        <v>0</v>
      </c>
      <c r="C142" s="21"/>
      <c r="D142" s="24">
        <f t="shared" si="2"/>
        <v>0</v>
      </c>
      <c r="E142" s="80"/>
    </row>
    <row r="143" spans="1:7" ht="33.75">
      <c r="A143" s="90" t="s">
        <v>179</v>
      </c>
      <c r="B143" s="20">
        <f>SUMIF('Проект СС'!$B:$B,$A143,'Проект СС'!$O:$O)</f>
        <v>0</v>
      </c>
      <c r="C143" s="21"/>
      <c r="D143" s="24">
        <f t="shared" si="2"/>
        <v>0</v>
      </c>
      <c r="E143" s="47" t="s">
        <v>180</v>
      </c>
    </row>
    <row r="144" spans="1:7">
      <c r="A144" s="90" t="s">
        <v>181</v>
      </c>
      <c r="B144" s="20">
        <f>SUMIF('Проект СС'!$B:$B,$A144,'Проект СС'!$O:$O)</f>
        <v>0</v>
      </c>
      <c r="C144" s="21"/>
      <c r="D144" s="24">
        <f t="shared" si="2"/>
        <v>0</v>
      </c>
      <c r="E144" s="81"/>
    </row>
    <row r="145" spans="1:9">
      <c r="A145" s="100" t="s">
        <v>182</v>
      </c>
      <c r="B145" s="40">
        <f>SUM(B146:B148)</f>
        <v>0</v>
      </c>
      <c r="C145" s="41">
        <f>SUM(C146:C148)</f>
        <v>0</v>
      </c>
      <c r="D145" s="42">
        <f t="shared" si="2"/>
        <v>0</v>
      </c>
      <c r="E145" s="43"/>
    </row>
    <row r="146" spans="1:9">
      <c r="A146" s="90" t="s">
        <v>183</v>
      </c>
      <c r="B146" s="20">
        <f>SUMIF('Проект СС'!$B:$B,$A146,'Проект СС'!$O:$O)</f>
        <v>0</v>
      </c>
      <c r="C146" s="21"/>
      <c r="D146" s="24">
        <f t="shared" si="2"/>
        <v>0</v>
      </c>
      <c r="E146" s="25"/>
    </row>
    <row r="147" spans="1:9">
      <c r="A147" s="90" t="s">
        <v>184</v>
      </c>
      <c r="B147" s="20">
        <f>SUMIF('Проект СС'!$B:$B,$A147,'Проект СС'!$O:$O)</f>
        <v>0</v>
      </c>
      <c r="C147" s="21"/>
      <c r="D147" s="24">
        <f t="shared" si="2"/>
        <v>0</v>
      </c>
      <c r="E147" s="25"/>
    </row>
    <row r="148" spans="1:9" ht="13.5" thickBot="1">
      <c r="A148" s="101" t="s">
        <v>185</v>
      </c>
      <c r="B148" s="20">
        <f>SUMIF('Проект СС'!$B:$B,$A148,'Проект СС'!$O:$O)</f>
        <v>0</v>
      </c>
      <c r="C148" s="28"/>
      <c r="D148" s="29">
        <f t="shared" si="2"/>
        <v>0</v>
      </c>
      <c r="E148" s="30"/>
    </row>
    <row r="155" spans="1:9">
      <c r="D155" s="26"/>
    </row>
    <row r="156" spans="1:9">
      <c r="D156" s="82"/>
      <c r="H156" s="26"/>
      <c r="I156" s="26"/>
    </row>
    <row r="157" spans="1:9">
      <c r="H157" s="26"/>
      <c r="I157" s="26"/>
    </row>
    <row r="158" spans="1:9">
      <c r="H158" s="26"/>
      <c r="I158" s="26"/>
    </row>
    <row r="159" spans="1:9">
      <c r="H159" s="26"/>
      <c r="I159" s="26"/>
    </row>
    <row r="160" spans="1:9">
      <c r="I160" s="26"/>
    </row>
  </sheetData>
  <pageMargins left="0.7" right="0.7" top="0.75" bottom="0.75" header="0.3" footer="0.3"/>
  <pageSetup paperSize="9" scale="42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9C6E-B2E8-4CB7-A121-9CB6CB9DCD8F}">
  <dimension ref="A1:G13"/>
  <sheetViews>
    <sheetView workbookViewId="0">
      <selection activeCell="J10" sqref="J10"/>
    </sheetView>
  </sheetViews>
  <sheetFormatPr defaultRowHeight="15"/>
  <cols>
    <col min="1" max="1" width="32.5703125" bestFit="1" customWidth="1"/>
    <col min="2" max="2" width="20.28515625" bestFit="1" customWidth="1"/>
    <col min="3" max="3" width="7.28515625" bestFit="1" customWidth="1"/>
    <col min="4" max="4" width="11.28515625" bestFit="1" customWidth="1"/>
    <col min="5" max="6" width="13.42578125" bestFit="1" customWidth="1"/>
    <col min="7" max="7" width="12" bestFit="1" customWidth="1"/>
  </cols>
  <sheetData>
    <row r="1" spans="1:7">
      <c r="A1" t="s">
        <v>5215</v>
      </c>
      <c r="D1" t="s">
        <v>432</v>
      </c>
      <c r="E1">
        <v>43.5</v>
      </c>
      <c r="F1" t="s">
        <v>433</v>
      </c>
      <c r="G1">
        <v>15</v>
      </c>
    </row>
    <row r="3" spans="1:7">
      <c r="A3" s="105" t="s">
        <v>429</v>
      </c>
      <c r="B3" s="105" t="s">
        <v>430</v>
      </c>
      <c r="E3" s="108"/>
      <c r="F3" s="107"/>
      <c r="G3" s="108"/>
    </row>
    <row r="4" spans="1:7">
      <c r="A4" s="105" t="s">
        <v>427</v>
      </c>
      <c r="B4" t="s">
        <v>204</v>
      </c>
      <c r="C4" t="s">
        <v>200</v>
      </c>
      <c r="D4" t="s">
        <v>428</v>
      </c>
      <c r="E4" s="107" t="s">
        <v>435</v>
      </c>
      <c r="F4" s="107" t="s">
        <v>434</v>
      </c>
      <c r="G4" s="107" t="s">
        <v>436</v>
      </c>
    </row>
    <row r="5" spans="1:7">
      <c r="A5" s="106" t="s">
        <v>425</v>
      </c>
      <c r="B5" s="109">
        <v>155087</v>
      </c>
      <c r="C5" s="109">
        <v>0</v>
      </c>
      <c r="D5" s="109">
        <v>155087</v>
      </c>
      <c r="E5" s="109">
        <f>B5/$E$1</f>
        <v>3565.2183908045977</v>
      </c>
      <c r="F5" s="109">
        <f>D5/$E$1</f>
        <v>3565.2183908045977</v>
      </c>
      <c r="G5" s="111">
        <f>F5/$G$1</f>
        <v>237.68122605363985</v>
      </c>
    </row>
    <row r="6" spans="1:7">
      <c r="A6" s="106" t="s">
        <v>199</v>
      </c>
      <c r="B6" s="109">
        <v>151946.43500000003</v>
      </c>
      <c r="C6" s="109">
        <v>0</v>
      </c>
      <c r="D6" s="109">
        <v>151946.43500000003</v>
      </c>
      <c r="E6" s="109">
        <f t="shared" ref="E6:E12" si="0">B6/$E$1</f>
        <v>3493.0214942528742</v>
      </c>
      <c r="F6" s="109">
        <f t="shared" ref="F6:F12" si="1">D6/$E$1</f>
        <v>3493.0214942528742</v>
      </c>
      <c r="G6" s="111">
        <f t="shared" ref="G6:G12" si="2">F6/$G$1</f>
        <v>232.86809961685827</v>
      </c>
    </row>
    <row r="7" spans="1:7">
      <c r="A7" s="106" t="s">
        <v>386</v>
      </c>
      <c r="B7" s="109">
        <v>0</v>
      </c>
      <c r="C7" s="109">
        <v>0</v>
      </c>
      <c r="D7" s="109">
        <v>0</v>
      </c>
      <c r="E7" s="109">
        <f t="shared" si="0"/>
        <v>0</v>
      </c>
      <c r="F7" s="109">
        <f t="shared" si="1"/>
        <v>0</v>
      </c>
      <c r="G7" s="111">
        <f t="shared" si="2"/>
        <v>0</v>
      </c>
    </row>
    <row r="8" spans="1:7">
      <c r="A8" s="106" t="s">
        <v>281</v>
      </c>
      <c r="B8" s="109">
        <v>102799</v>
      </c>
      <c r="C8" s="109">
        <v>0</v>
      </c>
      <c r="D8" s="109">
        <v>102799</v>
      </c>
      <c r="E8" s="109">
        <f t="shared" si="0"/>
        <v>2363.1954022988507</v>
      </c>
      <c r="F8" s="109">
        <f t="shared" si="1"/>
        <v>2363.1954022988507</v>
      </c>
      <c r="G8" s="111">
        <f t="shared" si="2"/>
        <v>157.5463601532567</v>
      </c>
    </row>
    <row r="9" spans="1:7">
      <c r="A9" s="106" t="s">
        <v>205</v>
      </c>
      <c r="B9" s="109">
        <v>163888.82</v>
      </c>
      <c r="C9" s="109">
        <v>0</v>
      </c>
      <c r="D9" s="109">
        <v>163888.82</v>
      </c>
      <c r="E9" s="109">
        <f t="shared" si="0"/>
        <v>3767.5590804597705</v>
      </c>
      <c r="F9" s="109">
        <f t="shared" si="1"/>
        <v>3767.5590804597705</v>
      </c>
      <c r="G9" s="111">
        <f t="shared" si="2"/>
        <v>251.17060536398469</v>
      </c>
    </row>
    <row r="10" spans="1:7">
      <c r="A10" s="106" t="s">
        <v>330</v>
      </c>
      <c r="B10" s="109">
        <v>39783.4</v>
      </c>
      <c r="C10" s="109">
        <v>0</v>
      </c>
      <c r="D10" s="109">
        <v>39783.4</v>
      </c>
      <c r="E10" s="109">
        <f t="shared" si="0"/>
        <v>914.56091954022997</v>
      </c>
      <c r="F10" s="109">
        <f t="shared" si="1"/>
        <v>914.56091954022997</v>
      </c>
      <c r="G10" s="111">
        <f t="shared" si="2"/>
        <v>60.970727969348665</v>
      </c>
    </row>
    <row r="11" spans="1:7">
      <c r="A11" s="106" t="s">
        <v>273</v>
      </c>
      <c r="B11" s="109">
        <v>53172</v>
      </c>
      <c r="C11" s="109">
        <v>0</v>
      </c>
      <c r="D11" s="109">
        <v>53172</v>
      </c>
      <c r="E11" s="109">
        <f t="shared" si="0"/>
        <v>1222.344827586207</v>
      </c>
      <c r="F11" s="109">
        <f t="shared" si="1"/>
        <v>1222.344827586207</v>
      </c>
      <c r="G11" s="111">
        <f t="shared" si="2"/>
        <v>81.489655172413805</v>
      </c>
    </row>
    <row r="12" spans="1:7">
      <c r="A12" s="106" t="s">
        <v>289</v>
      </c>
      <c r="B12" s="109">
        <v>38947.350000000006</v>
      </c>
      <c r="C12" s="109">
        <v>0</v>
      </c>
      <c r="D12" s="109">
        <v>38947.350000000006</v>
      </c>
      <c r="E12" s="109">
        <f t="shared" si="0"/>
        <v>895.34137931034491</v>
      </c>
      <c r="F12" s="109">
        <f t="shared" si="1"/>
        <v>895.34137931034491</v>
      </c>
      <c r="G12" s="111">
        <f t="shared" si="2"/>
        <v>59.689425287356329</v>
      </c>
    </row>
    <row r="13" spans="1:7">
      <c r="A13" s="106" t="s">
        <v>428</v>
      </c>
      <c r="B13" s="109">
        <v>705624.00500000012</v>
      </c>
      <c r="C13" s="109">
        <v>0</v>
      </c>
      <c r="D13" s="109">
        <v>705624.00500000012</v>
      </c>
      <c r="E13" s="110">
        <f>SUM(E5:E12)</f>
        <v>16221.241494252874</v>
      </c>
      <c r="F13" s="110">
        <f>SUM(F5:F12)</f>
        <v>16221.241494252874</v>
      </c>
      <c r="G13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84B-D38A-434A-B061-5DC9E26CC725}">
  <dimension ref="A1:Q317"/>
  <sheetViews>
    <sheetView zoomScaleNormal="100" workbookViewId="0">
      <selection activeCell="C22" sqref="C22"/>
    </sheetView>
  </sheetViews>
  <sheetFormatPr defaultColWidth="8.85546875" defaultRowHeight="12.75" outlineLevelCol="1"/>
  <cols>
    <col min="1" max="1" width="17.28515625" style="181" customWidth="1" outlineLevel="1"/>
    <col min="2" max="2" width="34" style="181" customWidth="1" outlineLevel="1"/>
    <col min="3" max="3" width="24.85546875" style="181" customWidth="1" outlineLevel="1"/>
    <col min="4" max="5" width="24.42578125" style="181" customWidth="1" outlineLevel="1"/>
    <col min="6" max="6" width="17.28515625" style="181" customWidth="1"/>
    <col min="7" max="7" width="51.7109375" style="181" customWidth="1"/>
    <col min="8" max="8" width="43.5703125" style="212" bestFit="1" customWidth="1"/>
    <col min="9" max="9" width="24.42578125" style="184" bestFit="1" customWidth="1"/>
    <col min="10" max="10" width="12.140625" style="184" bestFit="1" customWidth="1"/>
    <col min="11" max="11" width="17.28515625" style="184" bestFit="1" customWidth="1"/>
    <col min="12" max="12" width="23" style="184" bestFit="1" customWidth="1"/>
    <col min="13" max="14" width="23" style="184" customWidth="1"/>
    <col min="15" max="15" width="13.85546875" style="184" bestFit="1" customWidth="1"/>
    <col min="16" max="16" width="15" style="153" customWidth="1"/>
    <col min="17" max="16384" width="8.85546875" style="153"/>
  </cols>
  <sheetData>
    <row r="1" spans="1:15" ht="38.25">
      <c r="A1" s="148" t="s">
        <v>431</v>
      </c>
      <c r="B1" s="149" t="s">
        <v>274</v>
      </c>
      <c r="C1" s="149" t="s">
        <v>41</v>
      </c>
      <c r="D1" s="149" t="s">
        <v>202</v>
      </c>
      <c r="E1" s="150" t="s">
        <v>426</v>
      </c>
      <c r="F1" s="148" t="s">
        <v>0</v>
      </c>
      <c r="G1" s="149" t="s">
        <v>1</v>
      </c>
      <c r="H1" s="149" t="s">
        <v>42</v>
      </c>
      <c r="I1" s="151" t="s">
        <v>2</v>
      </c>
      <c r="J1" s="152" t="s">
        <v>3</v>
      </c>
      <c r="K1" s="151" t="s">
        <v>4</v>
      </c>
      <c r="L1" s="151" t="s">
        <v>5</v>
      </c>
      <c r="M1" s="151" t="s">
        <v>6</v>
      </c>
      <c r="N1" s="151" t="s">
        <v>7</v>
      </c>
      <c r="O1" s="151" t="s">
        <v>8</v>
      </c>
    </row>
    <row r="2" spans="1:15">
      <c r="A2" s="1" t="s">
        <v>9</v>
      </c>
      <c r="B2" s="1"/>
      <c r="C2" s="1"/>
      <c r="D2" s="1"/>
      <c r="E2" s="104"/>
      <c r="F2" s="1" t="s">
        <v>9</v>
      </c>
      <c r="G2" s="2" t="s">
        <v>199</v>
      </c>
      <c r="H2" s="2"/>
      <c r="I2" s="114"/>
      <c r="J2" s="115">
        <f>L3+L12</f>
        <v>0</v>
      </c>
      <c r="K2" s="154"/>
      <c r="L2" s="154"/>
      <c r="M2" s="115"/>
      <c r="N2" s="115"/>
      <c r="O2" s="115"/>
    </row>
    <row r="3" spans="1:15">
      <c r="A3" s="4" t="s">
        <v>11</v>
      </c>
      <c r="B3" s="3"/>
      <c r="C3" s="3"/>
      <c r="D3" s="3"/>
      <c r="E3" s="3"/>
      <c r="F3" s="4" t="s">
        <v>11</v>
      </c>
      <c r="G3" s="5" t="s">
        <v>10</v>
      </c>
      <c r="H3" s="5"/>
      <c r="I3" s="116"/>
      <c r="J3" s="116"/>
      <c r="K3" s="116"/>
      <c r="L3" s="117">
        <f>SUM(L5:L11)</f>
        <v>0</v>
      </c>
      <c r="M3" s="155"/>
      <c r="N3" s="118"/>
      <c r="O3" s="118"/>
    </row>
    <row r="4" spans="1:15">
      <c r="A4" s="6" t="s">
        <v>206</v>
      </c>
      <c r="B4" s="156" t="s">
        <v>193</v>
      </c>
      <c r="C4" s="156" t="s">
        <v>200</v>
      </c>
      <c r="D4" s="156" t="s">
        <v>202</v>
      </c>
      <c r="E4" s="156" t="s">
        <v>199</v>
      </c>
      <c r="F4" s="6" t="s">
        <v>206</v>
      </c>
      <c r="G4" s="157" t="s">
        <v>443</v>
      </c>
      <c r="H4" s="5"/>
      <c r="I4" s="116" t="s">
        <v>201</v>
      </c>
      <c r="J4" s="119"/>
      <c r="K4" s="116">
        <v>200</v>
      </c>
      <c r="L4" s="117"/>
      <c r="M4" s="158">
        <f>J4*K4</f>
        <v>0</v>
      </c>
      <c r="N4" s="158">
        <f>J4*L4</f>
        <v>0</v>
      </c>
      <c r="O4" s="158">
        <f t="shared" ref="O4:O62" si="0">N4+M4</f>
        <v>0</v>
      </c>
    </row>
    <row r="5" spans="1:15">
      <c r="A5" s="6" t="s">
        <v>207</v>
      </c>
      <c r="B5" s="156" t="s">
        <v>193</v>
      </c>
      <c r="C5" s="156" t="s">
        <v>200</v>
      </c>
      <c r="D5" s="156" t="s">
        <v>202</v>
      </c>
      <c r="E5" s="156" t="s">
        <v>199</v>
      </c>
      <c r="F5" s="6" t="s">
        <v>207</v>
      </c>
      <c r="G5" s="157" t="s">
        <v>438</v>
      </c>
      <c r="H5" s="143"/>
      <c r="I5" s="116" t="s">
        <v>201</v>
      </c>
      <c r="J5" s="120">
        <f>96/7</f>
        <v>13.714285714285714</v>
      </c>
      <c r="K5" s="116">
        <v>200</v>
      </c>
      <c r="L5" s="121"/>
      <c r="M5" s="158">
        <f>J5*K5</f>
        <v>2742.8571428571427</v>
      </c>
      <c r="N5" s="158">
        <f>J5*L5</f>
        <v>0</v>
      </c>
      <c r="O5" s="158">
        <f t="shared" si="0"/>
        <v>2742.8571428571427</v>
      </c>
    </row>
    <row r="6" spans="1:15">
      <c r="A6" s="6" t="s">
        <v>208</v>
      </c>
      <c r="B6" s="156" t="s">
        <v>193</v>
      </c>
      <c r="C6" s="156" t="s">
        <v>200</v>
      </c>
      <c r="D6" s="156" t="s">
        <v>202</v>
      </c>
      <c r="E6" s="156" t="s">
        <v>199</v>
      </c>
      <c r="F6" s="6" t="s">
        <v>208</v>
      </c>
      <c r="G6" s="157" t="s">
        <v>437</v>
      </c>
      <c r="H6" s="143"/>
      <c r="I6" s="116" t="s">
        <v>201</v>
      </c>
      <c r="J6" s="120">
        <f t="shared" ref="J6:J11" si="1">96/7</f>
        <v>13.714285714285714</v>
      </c>
      <c r="K6" s="116">
        <v>200</v>
      </c>
      <c r="L6" s="121"/>
      <c r="M6" s="158">
        <f t="shared" ref="M6:M55" si="2">J6*K6</f>
        <v>2742.8571428571427</v>
      </c>
      <c r="N6" s="158">
        <f t="shared" ref="N6" si="3">J6*L6</f>
        <v>0</v>
      </c>
      <c r="O6" s="158">
        <f t="shared" si="0"/>
        <v>2742.8571428571427</v>
      </c>
    </row>
    <row r="7" spans="1:15">
      <c r="A7" s="6" t="s">
        <v>209</v>
      </c>
      <c r="B7" s="156" t="s">
        <v>193</v>
      </c>
      <c r="C7" s="156" t="s">
        <v>200</v>
      </c>
      <c r="D7" s="156" t="s">
        <v>202</v>
      </c>
      <c r="E7" s="156" t="s">
        <v>199</v>
      </c>
      <c r="F7" s="6" t="s">
        <v>209</v>
      </c>
      <c r="G7" s="157" t="s">
        <v>439</v>
      </c>
      <c r="H7" s="143"/>
      <c r="I7" s="116" t="s">
        <v>201</v>
      </c>
      <c r="J7" s="120">
        <f t="shared" si="1"/>
        <v>13.714285714285714</v>
      </c>
      <c r="K7" s="116">
        <v>200</v>
      </c>
      <c r="L7" s="121"/>
      <c r="M7" s="158">
        <f t="shared" si="2"/>
        <v>2742.8571428571427</v>
      </c>
      <c r="N7" s="158">
        <f t="shared" ref="N7:N11" si="4">J7*L7</f>
        <v>0</v>
      </c>
      <c r="O7" s="158">
        <f t="shared" ref="O7:O11" si="5">N7+M7</f>
        <v>2742.8571428571427</v>
      </c>
    </row>
    <row r="8" spans="1:15">
      <c r="A8" s="6" t="s">
        <v>210</v>
      </c>
      <c r="B8" s="156" t="s">
        <v>193</v>
      </c>
      <c r="C8" s="156" t="s">
        <v>200</v>
      </c>
      <c r="D8" s="156" t="s">
        <v>202</v>
      </c>
      <c r="E8" s="156" t="s">
        <v>199</v>
      </c>
      <c r="F8" s="6" t="s">
        <v>210</v>
      </c>
      <c r="G8" s="157" t="s">
        <v>440</v>
      </c>
      <c r="H8" s="143"/>
      <c r="I8" s="116" t="s">
        <v>201</v>
      </c>
      <c r="J8" s="120">
        <f t="shared" si="1"/>
        <v>13.714285714285714</v>
      </c>
      <c r="K8" s="116">
        <v>200</v>
      </c>
      <c r="L8" s="121"/>
      <c r="M8" s="158">
        <f t="shared" si="2"/>
        <v>2742.8571428571427</v>
      </c>
      <c r="N8" s="158">
        <f t="shared" si="4"/>
        <v>0</v>
      </c>
      <c r="O8" s="158">
        <f t="shared" si="5"/>
        <v>2742.8571428571427</v>
      </c>
    </row>
    <row r="9" spans="1:15">
      <c r="A9" s="6" t="s">
        <v>211</v>
      </c>
      <c r="B9" s="156" t="s">
        <v>193</v>
      </c>
      <c r="C9" s="156" t="s">
        <v>200</v>
      </c>
      <c r="D9" s="156" t="s">
        <v>202</v>
      </c>
      <c r="E9" s="156" t="s">
        <v>199</v>
      </c>
      <c r="F9" s="6" t="s">
        <v>211</v>
      </c>
      <c r="G9" s="157" t="s">
        <v>444</v>
      </c>
      <c r="H9" s="144"/>
      <c r="I9" s="116" t="s">
        <v>201</v>
      </c>
      <c r="J9" s="120">
        <f t="shared" si="1"/>
        <v>13.714285714285714</v>
      </c>
      <c r="K9" s="116">
        <v>200</v>
      </c>
      <c r="L9" s="122"/>
      <c r="M9" s="158">
        <f t="shared" si="2"/>
        <v>2742.8571428571427</v>
      </c>
      <c r="N9" s="158">
        <f t="shared" si="4"/>
        <v>0</v>
      </c>
      <c r="O9" s="158">
        <f t="shared" si="5"/>
        <v>2742.8571428571427</v>
      </c>
    </row>
    <row r="10" spans="1:15">
      <c r="A10" s="6" t="s">
        <v>212</v>
      </c>
      <c r="B10" s="156" t="s">
        <v>193</v>
      </c>
      <c r="C10" s="156" t="s">
        <v>200</v>
      </c>
      <c r="D10" s="156" t="s">
        <v>202</v>
      </c>
      <c r="E10" s="156" t="s">
        <v>199</v>
      </c>
      <c r="F10" s="6" t="s">
        <v>212</v>
      </c>
      <c r="G10" s="157" t="s">
        <v>441</v>
      </c>
      <c r="H10" s="143"/>
      <c r="I10" s="116" t="s">
        <v>201</v>
      </c>
      <c r="J10" s="120">
        <f t="shared" si="1"/>
        <v>13.714285714285714</v>
      </c>
      <c r="K10" s="116">
        <v>200</v>
      </c>
      <c r="L10" s="121"/>
      <c r="M10" s="158">
        <f t="shared" si="2"/>
        <v>2742.8571428571427</v>
      </c>
      <c r="N10" s="158">
        <f t="shared" si="4"/>
        <v>0</v>
      </c>
      <c r="O10" s="158">
        <f t="shared" si="5"/>
        <v>2742.8571428571427</v>
      </c>
    </row>
    <row r="11" spans="1:15">
      <c r="A11" s="6" t="s">
        <v>481</v>
      </c>
      <c r="B11" s="156" t="s">
        <v>193</v>
      </c>
      <c r="C11" s="156" t="s">
        <v>200</v>
      </c>
      <c r="D11" s="156" t="s">
        <v>202</v>
      </c>
      <c r="E11" s="156" t="s">
        <v>199</v>
      </c>
      <c r="F11" s="6" t="s">
        <v>481</v>
      </c>
      <c r="G11" s="157" t="s">
        <v>442</v>
      </c>
      <c r="H11" s="143"/>
      <c r="I11" s="116" t="s">
        <v>201</v>
      </c>
      <c r="J11" s="120">
        <f t="shared" si="1"/>
        <v>13.714285714285714</v>
      </c>
      <c r="K11" s="116">
        <v>200</v>
      </c>
      <c r="L11" s="121"/>
      <c r="M11" s="158">
        <f t="shared" si="2"/>
        <v>2742.8571428571427</v>
      </c>
      <c r="N11" s="158">
        <f t="shared" si="4"/>
        <v>0</v>
      </c>
      <c r="O11" s="158">
        <f t="shared" si="5"/>
        <v>2742.8571428571427</v>
      </c>
    </row>
    <row r="12" spans="1:15">
      <c r="A12" s="6" t="s">
        <v>13</v>
      </c>
      <c r="B12" s="156"/>
      <c r="C12" s="156"/>
      <c r="D12" s="156"/>
      <c r="E12" s="156"/>
      <c r="F12" s="6" t="s">
        <v>13</v>
      </c>
      <c r="G12" s="5" t="s">
        <v>15</v>
      </c>
      <c r="H12" s="5"/>
      <c r="I12" s="123"/>
      <c r="J12" s="123"/>
      <c r="K12" s="123"/>
      <c r="L12" s="121"/>
      <c r="M12" s="158"/>
      <c r="N12" s="158"/>
      <c r="O12" s="158"/>
    </row>
    <row r="13" spans="1:15">
      <c r="A13" s="6" t="s">
        <v>213</v>
      </c>
      <c r="B13" s="156" t="s">
        <v>149</v>
      </c>
      <c r="C13" s="156" t="s">
        <v>204</v>
      </c>
      <c r="D13" s="156" t="s">
        <v>202</v>
      </c>
      <c r="E13" s="156" t="s">
        <v>199</v>
      </c>
      <c r="F13" s="6" t="s">
        <v>213</v>
      </c>
      <c r="G13" s="159" t="s">
        <v>709</v>
      </c>
      <c r="H13" s="160" t="s">
        <v>535</v>
      </c>
      <c r="I13" s="116" t="s">
        <v>262</v>
      </c>
      <c r="J13" s="123">
        <v>50.2</v>
      </c>
      <c r="K13" s="123"/>
      <c r="L13" s="121">
        <v>473</v>
      </c>
      <c r="M13" s="158">
        <f t="shared" ref="M13:M52" si="6">J13*K13</f>
        <v>0</v>
      </c>
      <c r="N13" s="158">
        <f t="shared" ref="N13:N52" si="7">J13*L13</f>
        <v>23744.600000000002</v>
      </c>
      <c r="O13" s="158">
        <f t="shared" ref="O13:O52" si="8">M13+N13</f>
        <v>23744.600000000002</v>
      </c>
    </row>
    <row r="14" spans="1:15">
      <c r="A14" s="6" t="s">
        <v>214</v>
      </c>
      <c r="B14" s="156" t="s">
        <v>149</v>
      </c>
      <c r="C14" s="156" t="s">
        <v>204</v>
      </c>
      <c r="D14" s="156" t="s">
        <v>202</v>
      </c>
      <c r="E14" s="156" t="s">
        <v>199</v>
      </c>
      <c r="F14" s="6" t="s">
        <v>214</v>
      </c>
      <c r="G14" s="159" t="s">
        <v>710</v>
      </c>
      <c r="H14" s="160" t="s">
        <v>535</v>
      </c>
      <c r="I14" s="116" t="s">
        <v>518</v>
      </c>
      <c r="J14" s="123">
        <v>175.2</v>
      </c>
      <c r="K14" s="123"/>
      <c r="L14" s="121">
        <v>157</v>
      </c>
      <c r="M14" s="158">
        <f t="shared" si="6"/>
        <v>0</v>
      </c>
      <c r="N14" s="158">
        <f t="shared" si="7"/>
        <v>27506.399999999998</v>
      </c>
      <c r="O14" s="158">
        <f t="shared" si="8"/>
        <v>27506.399999999998</v>
      </c>
    </row>
    <row r="15" spans="1:15">
      <c r="A15" s="6" t="s">
        <v>215</v>
      </c>
      <c r="B15" s="156" t="s">
        <v>149</v>
      </c>
      <c r="C15" s="156" t="s">
        <v>204</v>
      </c>
      <c r="D15" s="156" t="s">
        <v>202</v>
      </c>
      <c r="E15" s="156" t="s">
        <v>199</v>
      </c>
      <c r="F15" s="6" t="s">
        <v>215</v>
      </c>
      <c r="G15" s="159" t="s">
        <v>711</v>
      </c>
      <c r="H15" s="160" t="s">
        <v>535</v>
      </c>
      <c r="I15" s="116" t="s">
        <v>262</v>
      </c>
      <c r="J15" s="123">
        <v>1.2</v>
      </c>
      <c r="K15" s="123"/>
      <c r="L15" s="121">
        <v>151</v>
      </c>
      <c r="M15" s="158">
        <f t="shared" si="6"/>
        <v>0</v>
      </c>
      <c r="N15" s="158">
        <f t="shared" si="7"/>
        <v>181.2</v>
      </c>
      <c r="O15" s="158">
        <f t="shared" si="8"/>
        <v>181.2</v>
      </c>
    </row>
    <row r="16" spans="1:15">
      <c r="A16" s="6" t="s">
        <v>216</v>
      </c>
      <c r="B16" s="156" t="s">
        <v>149</v>
      </c>
      <c r="C16" s="156" t="s">
        <v>204</v>
      </c>
      <c r="D16" s="156" t="s">
        <v>202</v>
      </c>
      <c r="E16" s="156" t="s">
        <v>199</v>
      </c>
      <c r="F16" s="6" t="s">
        <v>216</v>
      </c>
      <c r="G16" s="161" t="s">
        <v>712</v>
      </c>
      <c r="H16" s="160" t="s">
        <v>535</v>
      </c>
      <c r="I16" s="116" t="s">
        <v>518</v>
      </c>
      <c r="J16" s="123">
        <v>1</v>
      </c>
      <c r="K16" s="123"/>
      <c r="L16" s="121">
        <v>339</v>
      </c>
      <c r="M16" s="158">
        <f t="shared" si="6"/>
        <v>0</v>
      </c>
      <c r="N16" s="158">
        <f t="shared" si="7"/>
        <v>339</v>
      </c>
      <c r="O16" s="158">
        <f t="shared" si="8"/>
        <v>339</v>
      </c>
    </row>
    <row r="17" spans="1:15">
      <c r="A17" s="6" t="s">
        <v>217</v>
      </c>
      <c r="B17" s="156" t="s">
        <v>149</v>
      </c>
      <c r="C17" s="156" t="s">
        <v>204</v>
      </c>
      <c r="D17" s="156" t="s">
        <v>202</v>
      </c>
      <c r="E17" s="156" t="s">
        <v>199</v>
      </c>
      <c r="F17" s="6" t="s">
        <v>217</v>
      </c>
      <c r="G17" s="161" t="s">
        <v>486</v>
      </c>
      <c r="H17" s="160" t="s">
        <v>1028</v>
      </c>
      <c r="I17" s="116" t="s">
        <v>489</v>
      </c>
      <c r="J17" s="123">
        <v>0.68</v>
      </c>
      <c r="K17" s="123"/>
      <c r="L17" s="121">
        <v>1207</v>
      </c>
      <c r="M17" s="158">
        <f t="shared" si="6"/>
        <v>0</v>
      </c>
      <c r="N17" s="158">
        <f t="shared" si="7"/>
        <v>820.7600000000001</v>
      </c>
      <c r="O17" s="158">
        <f t="shared" si="8"/>
        <v>820.7600000000001</v>
      </c>
    </row>
    <row r="18" spans="1:15">
      <c r="A18" s="6" t="s">
        <v>218</v>
      </c>
      <c r="B18" s="156" t="s">
        <v>149</v>
      </c>
      <c r="C18" s="156" t="s">
        <v>204</v>
      </c>
      <c r="D18" s="156" t="s">
        <v>202</v>
      </c>
      <c r="E18" s="156" t="s">
        <v>199</v>
      </c>
      <c r="F18" s="6" t="s">
        <v>218</v>
      </c>
      <c r="G18" s="161" t="s">
        <v>487</v>
      </c>
      <c r="H18" s="160" t="s">
        <v>1028</v>
      </c>
      <c r="I18" s="116" t="s">
        <v>489</v>
      </c>
      <c r="J18" s="123">
        <v>1.2150000000000001</v>
      </c>
      <c r="K18" s="123"/>
      <c r="L18" s="121">
        <v>2487</v>
      </c>
      <c r="M18" s="158">
        <f t="shared" si="6"/>
        <v>0</v>
      </c>
      <c r="N18" s="158">
        <f t="shared" si="7"/>
        <v>3021.7050000000004</v>
      </c>
      <c r="O18" s="158">
        <f t="shared" si="8"/>
        <v>3021.7050000000004</v>
      </c>
    </row>
    <row r="19" spans="1:15">
      <c r="A19" s="6" t="s">
        <v>219</v>
      </c>
      <c r="B19" s="156" t="s">
        <v>149</v>
      </c>
      <c r="C19" s="156" t="s">
        <v>204</v>
      </c>
      <c r="D19" s="156" t="s">
        <v>202</v>
      </c>
      <c r="E19" s="156" t="s">
        <v>199</v>
      </c>
      <c r="F19" s="6" t="s">
        <v>219</v>
      </c>
      <c r="G19" s="162" t="s">
        <v>488</v>
      </c>
      <c r="H19" s="160" t="s">
        <v>1028</v>
      </c>
      <c r="I19" s="116" t="s">
        <v>489</v>
      </c>
      <c r="J19" s="123">
        <v>0.12</v>
      </c>
      <c r="K19" s="123"/>
      <c r="L19" s="121">
        <v>4976</v>
      </c>
      <c r="M19" s="158">
        <f t="shared" si="6"/>
        <v>0</v>
      </c>
      <c r="N19" s="158">
        <f t="shared" si="7"/>
        <v>597.12</v>
      </c>
      <c r="O19" s="158">
        <f t="shared" si="8"/>
        <v>597.12</v>
      </c>
    </row>
    <row r="20" spans="1:15">
      <c r="A20" s="6" t="s">
        <v>220</v>
      </c>
      <c r="B20" s="156" t="s">
        <v>149</v>
      </c>
      <c r="C20" s="156" t="s">
        <v>204</v>
      </c>
      <c r="D20" s="156" t="s">
        <v>202</v>
      </c>
      <c r="E20" s="156" t="s">
        <v>199</v>
      </c>
      <c r="F20" s="6" t="s">
        <v>220</v>
      </c>
      <c r="G20" s="162" t="s">
        <v>713</v>
      </c>
      <c r="H20" s="160" t="s">
        <v>537</v>
      </c>
      <c r="I20" s="116" t="s">
        <v>20</v>
      </c>
      <c r="J20" s="123">
        <v>6</v>
      </c>
      <c r="K20" s="123"/>
      <c r="L20" s="121">
        <v>1740</v>
      </c>
      <c r="M20" s="158">
        <f t="shared" si="6"/>
        <v>0</v>
      </c>
      <c r="N20" s="158">
        <f t="shared" si="7"/>
        <v>10440</v>
      </c>
      <c r="O20" s="158">
        <f t="shared" si="8"/>
        <v>10440</v>
      </c>
    </row>
    <row r="21" spans="1:15">
      <c r="A21" s="6" t="s">
        <v>221</v>
      </c>
      <c r="B21" s="156" t="s">
        <v>149</v>
      </c>
      <c r="C21" s="156" t="s">
        <v>204</v>
      </c>
      <c r="D21" s="156" t="s">
        <v>202</v>
      </c>
      <c r="E21" s="156" t="s">
        <v>199</v>
      </c>
      <c r="F21" s="6" t="s">
        <v>221</v>
      </c>
      <c r="G21" s="162" t="s">
        <v>714</v>
      </c>
      <c r="H21" s="160" t="s">
        <v>591</v>
      </c>
      <c r="I21" s="116" t="s">
        <v>20</v>
      </c>
      <c r="J21" s="123">
        <v>3</v>
      </c>
      <c r="K21" s="123"/>
      <c r="L21" s="121">
        <v>3600</v>
      </c>
      <c r="M21" s="158">
        <f t="shared" si="6"/>
        <v>0</v>
      </c>
      <c r="N21" s="158">
        <f t="shared" si="7"/>
        <v>10800</v>
      </c>
      <c r="O21" s="158">
        <f t="shared" si="8"/>
        <v>10800</v>
      </c>
    </row>
    <row r="22" spans="1:15">
      <c r="A22" s="6" t="s">
        <v>222</v>
      </c>
      <c r="B22" s="156" t="s">
        <v>149</v>
      </c>
      <c r="C22" s="156" t="s">
        <v>204</v>
      </c>
      <c r="D22" s="156" t="s">
        <v>202</v>
      </c>
      <c r="E22" s="156" t="s">
        <v>199</v>
      </c>
      <c r="F22" s="6" t="s">
        <v>222</v>
      </c>
      <c r="G22" s="162" t="s">
        <v>715</v>
      </c>
      <c r="H22" s="160" t="s">
        <v>537</v>
      </c>
      <c r="I22" s="116" t="s">
        <v>20</v>
      </c>
      <c r="J22" s="123">
        <v>14</v>
      </c>
      <c r="K22" s="123"/>
      <c r="L22" s="121">
        <v>154</v>
      </c>
      <c r="M22" s="158">
        <f t="shared" si="6"/>
        <v>0</v>
      </c>
      <c r="N22" s="158">
        <f t="shared" si="7"/>
        <v>2156</v>
      </c>
      <c r="O22" s="158">
        <f t="shared" si="8"/>
        <v>2156</v>
      </c>
    </row>
    <row r="23" spans="1:15">
      <c r="A23" s="6" t="s">
        <v>223</v>
      </c>
      <c r="B23" s="156" t="s">
        <v>149</v>
      </c>
      <c r="C23" s="156" t="s">
        <v>204</v>
      </c>
      <c r="D23" s="156" t="s">
        <v>202</v>
      </c>
      <c r="E23" s="156" t="s">
        <v>199</v>
      </c>
      <c r="F23" s="6" t="s">
        <v>223</v>
      </c>
      <c r="G23" s="162" t="s">
        <v>716</v>
      </c>
      <c r="H23" s="160" t="s">
        <v>536</v>
      </c>
      <c r="I23" s="116" t="s">
        <v>20</v>
      </c>
      <c r="J23" s="123">
        <v>4</v>
      </c>
      <c r="K23" s="123"/>
      <c r="L23" s="121">
        <v>168</v>
      </c>
      <c r="M23" s="158">
        <f t="shared" si="6"/>
        <v>0</v>
      </c>
      <c r="N23" s="158">
        <f t="shared" si="7"/>
        <v>672</v>
      </c>
      <c r="O23" s="158">
        <f t="shared" si="8"/>
        <v>672</v>
      </c>
    </row>
    <row r="24" spans="1:15">
      <c r="A24" s="6" t="s">
        <v>224</v>
      </c>
      <c r="B24" s="156" t="s">
        <v>149</v>
      </c>
      <c r="C24" s="156" t="s">
        <v>204</v>
      </c>
      <c r="D24" s="156" t="s">
        <v>202</v>
      </c>
      <c r="E24" s="156" t="s">
        <v>199</v>
      </c>
      <c r="F24" s="6" t="s">
        <v>224</v>
      </c>
      <c r="G24" s="163" t="s">
        <v>592</v>
      </c>
      <c r="H24" s="160" t="s">
        <v>535</v>
      </c>
      <c r="I24" s="116" t="s">
        <v>518</v>
      </c>
      <c r="J24" s="123">
        <v>72</v>
      </c>
      <c r="K24" s="123"/>
      <c r="L24" s="121">
        <v>165</v>
      </c>
      <c r="M24" s="158">
        <f t="shared" si="6"/>
        <v>0</v>
      </c>
      <c r="N24" s="158">
        <f t="shared" si="7"/>
        <v>11880</v>
      </c>
      <c r="O24" s="158">
        <f t="shared" si="8"/>
        <v>11880</v>
      </c>
    </row>
    <row r="25" spans="1:15">
      <c r="A25" s="6" t="s">
        <v>225</v>
      </c>
      <c r="B25" s="156" t="s">
        <v>149</v>
      </c>
      <c r="C25" s="156" t="s">
        <v>204</v>
      </c>
      <c r="D25" s="156" t="s">
        <v>202</v>
      </c>
      <c r="E25" s="156" t="s">
        <v>199</v>
      </c>
      <c r="F25" s="6" t="s">
        <v>225</v>
      </c>
      <c r="G25" s="163" t="s">
        <v>593</v>
      </c>
      <c r="H25" s="160" t="s">
        <v>1029</v>
      </c>
      <c r="I25" s="116" t="s">
        <v>518</v>
      </c>
      <c r="J25" s="123">
        <v>10</v>
      </c>
      <c r="K25" s="123"/>
      <c r="L25" s="121">
        <v>62</v>
      </c>
      <c r="M25" s="158">
        <f t="shared" si="6"/>
        <v>0</v>
      </c>
      <c r="N25" s="158">
        <f t="shared" si="7"/>
        <v>620</v>
      </c>
      <c r="O25" s="158">
        <f t="shared" si="8"/>
        <v>620</v>
      </c>
    </row>
    <row r="26" spans="1:15">
      <c r="A26" s="6" t="s">
        <v>226</v>
      </c>
      <c r="B26" s="156" t="s">
        <v>149</v>
      </c>
      <c r="C26" s="156" t="s">
        <v>204</v>
      </c>
      <c r="D26" s="156" t="s">
        <v>202</v>
      </c>
      <c r="E26" s="156" t="s">
        <v>199</v>
      </c>
      <c r="F26" s="6" t="s">
        <v>226</v>
      </c>
      <c r="G26" s="163" t="s">
        <v>595</v>
      </c>
      <c r="H26" s="143" t="s">
        <v>1641</v>
      </c>
      <c r="I26" s="116" t="s">
        <v>596</v>
      </c>
      <c r="J26" s="123">
        <v>2</v>
      </c>
      <c r="K26" s="123"/>
      <c r="L26" s="121">
        <v>1799.27</v>
      </c>
      <c r="M26" s="158">
        <f t="shared" si="6"/>
        <v>0</v>
      </c>
      <c r="N26" s="158">
        <f t="shared" si="7"/>
        <v>3598.54</v>
      </c>
      <c r="O26" s="158">
        <f t="shared" si="8"/>
        <v>3598.54</v>
      </c>
    </row>
    <row r="27" spans="1:15">
      <c r="A27" s="6" t="s">
        <v>227</v>
      </c>
      <c r="B27" s="156" t="s">
        <v>149</v>
      </c>
      <c r="C27" s="156" t="s">
        <v>204</v>
      </c>
      <c r="D27" s="156" t="s">
        <v>202</v>
      </c>
      <c r="E27" s="156" t="s">
        <v>199</v>
      </c>
      <c r="F27" s="6" t="s">
        <v>227</v>
      </c>
      <c r="G27" s="163" t="s">
        <v>597</v>
      </c>
      <c r="H27" s="160" t="s">
        <v>535</v>
      </c>
      <c r="I27" s="116" t="s">
        <v>518</v>
      </c>
      <c r="J27" s="123">
        <v>2</v>
      </c>
      <c r="K27" s="123"/>
      <c r="L27" s="121">
        <v>285</v>
      </c>
      <c r="M27" s="158">
        <f t="shared" si="6"/>
        <v>0</v>
      </c>
      <c r="N27" s="158">
        <f t="shared" si="7"/>
        <v>570</v>
      </c>
      <c r="O27" s="158">
        <f t="shared" si="8"/>
        <v>570</v>
      </c>
    </row>
    <row r="28" spans="1:15">
      <c r="A28" s="6" t="s">
        <v>228</v>
      </c>
      <c r="B28" s="156" t="s">
        <v>149</v>
      </c>
      <c r="C28" s="156" t="s">
        <v>204</v>
      </c>
      <c r="D28" s="156" t="s">
        <v>202</v>
      </c>
      <c r="E28" s="156" t="s">
        <v>199</v>
      </c>
      <c r="F28" s="6" t="s">
        <v>228</v>
      </c>
      <c r="G28" s="164" t="s">
        <v>598</v>
      </c>
      <c r="H28" s="160" t="s">
        <v>536</v>
      </c>
      <c r="I28" s="116" t="s">
        <v>20</v>
      </c>
      <c r="J28" s="123">
        <v>16</v>
      </c>
      <c r="K28" s="123"/>
      <c r="L28" s="121">
        <v>30</v>
      </c>
      <c r="M28" s="158">
        <f t="shared" si="6"/>
        <v>0</v>
      </c>
      <c r="N28" s="158">
        <f t="shared" si="7"/>
        <v>480</v>
      </c>
      <c r="O28" s="158">
        <f t="shared" si="8"/>
        <v>480</v>
      </c>
    </row>
    <row r="29" spans="1:15">
      <c r="A29" s="6" t="s">
        <v>229</v>
      </c>
      <c r="B29" s="156" t="s">
        <v>149</v>
      </c>
      <c r="C29" s="156" t="s">
        <v>204</v>
      </c>
      <c r="D29" s="156" t="s">
        <v>202</v>
      </c>
      <c r="E29" s="156" t="s">
        <v>199</v>
      </c>
      <c r="F29" s="6" t="s">
        <v>229</v>
      </c>
      <c r="G29" s="164" t="s">
        <v>599</v>
      </c>
      <c r="H29" s="160" t="s">
        <v>536</v>
      </c>
      <c r="I29" s="116" t="s">
        <v>20</v>
      </c>
      <c r="J29" s="123">
        <v>18</v>
      </c>
      <c r="K29" s="123"/>
      <c r="L29" s="121">
        <v>49</v>
      </c>
      <c r="M29" s="158">
        <f t="shared" si="6"/>
        <v>0</v>
      </c>
      <c r="N29" s="158">
        <f t="shared" si="7"/>
        <v>882</v>
      </c>
      <c r="O29" s="158">
        <f t="shared" si="8"/>
        <v>882</v>
      </c>
    </row>
    <row r="30" spans="1:15">
      <c r="A30" s="6" t="s">
        <v>230</v>
      </c>
      <c r="B30" s="156" t="s">
        <v>149</v>
      </c>
      <c r="C30" s="156" t="s">
        <v>204</v>
      </c>
      <c r="D30" s="156" t="s">
        <v>202</v>
      </c>
      <c r="E30" s="156" t="s">
        <v>199</v>
      </c>
      <c r="F30" s="6" t="s">
        <v>230</v>
      </c>
      <c r="G30" s="164" t="s">
        <v>717</v>
      </c>
      <c r="H30" s="143" t="s">
        <v>537</v>
      </c>
      <c r="I30" s="116" t="s">
        <v>20</v>
      </c>
      <c r="J30" s="123">
        <v>35</v>
      </c>
      <c r="K30" s="123"/>
      <c r="L30" s="121">
        <v>7.73</v>
      </c>
      <c r="M30" s="158">
        <f t="shared" si="6"/>
        <v>0</v>
      </c>
      <c r="N30" s="158">
        <f t="shared" si="7"/>
        <v>270.55</v>
      </c>
      <c r="O30" s="158">
        <f t="shared" si="8"/>
        <v>270.55</v>
      </c>
    </row>
    <row r="31" spans="1:15">
      <c r="A31" s="6" t="s">
        <v>231</v>
      </c>
      <c r="B31" s="156" t="s">
        <v>149</v>
      </c>
      <c r="C31" s="156" t="s">
        <v>204</v>
      </c>
      <c r="D31" s="156" t="s">
        <v>202</v>
      </c>
      <c r="E31" s="156" t="s">
        <v>199</v>
      </c>
      <c r="F31" s="6" t="s">
        <v>231</v>
      </c>
      <c r="G31" s="164" t="s">
        <v>600</v>
      </c>
      <c r="H31" s="143" t="s">
        <v>538</v>
      </c>
      <c r="I31" s="116" t="s">
        <v>20</v>
      </c>
      <c r="J31" s="123">
        <v>46</v>
      </c>
      <c r="K31" s="123"/>
      <c r="L31" s="121">
        <v>19.100000000000001</v>
      </c>
      <c r="M31" s="158">
        <f t="shared" si="6"/>
        <v>0</v>
      </c>
      <c r="N31" s="158">
        <f t="shared" si="7"/>
        <v>878.6</v>
      </c>
      <c r="O31" s="158">
        <f t="shared" si="8"/>
        <v>878.6</v>
      </c>
    </row>
    <row r="32" spans="1:15">
      <c r="A32" s="6" t="s">
        <v>232</v>
      </c>
      <c r="B32" s="156" t="s">
        <v>149</v>
      </c>
      <c r="C32" s="156" t="s">
        <v>204</v>
      </c>
      <c r="D32" s="156" t="s">
        <v>202</v>
      </c>
      <c r="E32" s="156" t="s">
        <v>199</v>
      </c>
      <c r="F32" s="6" t="s">
        <v>232</v>
      </c>
      <c r="G32" s="164" t="s">
        <v>601</v>
      </c>
      <c r="H32" s="165" t="s">
        <v>539</v>
      </c>
      <c r="I32" s="116" t="s">
        <v>20</v>
      </c>
      <c r="J32" s="123">
        <v>46</v>
      </c>
      <c r="K32" s="123"/>
      <c r="L32" s="121">
        <v>1.6</v>
      </c>
      <c r="M32" s="158">
        <f t="shared" si="6"/>
        <v>0</v>
      </c>
      <c r="N32" s="158">
        <f t="shared" si="7"/>
        <v>73.600000000000009</v>
      </c>
      <c r="O32" s="158">
        <f t="shared" si="8"/>
        <v>73.600000000000009</v>
      </c>
    </row>
    <row r="33" spans="1:15">
      <c r="A33" s="6" t="s">
        <v>233</v>
      </c>
      <c r="B33" s="156" t="s">
        <v>149</v>
      </c>
      <c r="C33" s="156" t="s">
        <v>204</v>
      </c>
      <c r="D33" s="156" t="s">
        <v>202</v>
      </c>
      <c r="E33" s="156" t="s">
        <v>199</v>
      </c>
      <c r="F33" s="6" t="s">
        <v>233</v>
      </c>
      <c r="G33" s="164" t="s">
        <v>602</v>
      </c>
      <c r="H33" s="143" t="s">
        <v>4752</v>
      </c>
      <c r="I33" s="116" t="s">
        <v>20</v>
      </c>
      <c r="J33" s="123">
        <v>16</v>
      </c>
      <c r="K33" s="123"/>
      <c r="L33" s="121">
        <v>86</v>
      </c>
      <c r="M33" s="158">
        <f t="shared" si="6"/>
        <v>0</v>
      </c>
      <c r="N33" s="158">
        <f t="shared" si="7"/>
        <v>1376</v>
      </c>
      <c r="O33" s="158">
        <f t="shared" si="8"/>
        <v>1376</v>
      </c>
    </row>
    <row r="34" spans="1:15">
      <c r="A34" s="6" t="s">
        <v>234</v>
      </c>
      <c r="B34" s="156" t="s">
        <v>149</v>
      </c>
      <c r="C34" s="156" t="s">
        <v>204</v>
      </c>
      <c r="D34" s="156" t="s">
        <v>202</v>
      </c>
      <c r="E34" s="156" t="s">
        <v>199</v>
      </c>
      <c r="F34" s="6" t="s">
        <v>234</v>
      </c>
      <c r="G34" s="166" t="s">
        <v>604</v>
      </c>
      <c r="H34" s="143" t="s">
        <v>605</v>
      </c>
      <c r="I34" s="116" t="s">
        <v>14</v>
      </c>
      <c r="J34" s="123">
        <v>23</v>
      </c>
      <c r="K34" s="123"/>
      <c r="L34" s="121">
        <v>168</v>
      </c>
      <c r="M34" s="158">
        <f t="shared" si="6"/>
        <v>0</v>
      </c>
      <c r="N34" s="158">
        <f t="shared" si="7"/>
        <v>3864</v>
      </c>
      <c r="O34" s="158">
        <f t="shared" si="8"/>
        <v>3864</v>
      </c>
    </row>
    <row r="35" spans="1:15">
      <c r="A35" s="112" t="s">
        <v>235</v>
      </c>
      <c r="B35" s="156" t="s">
        <v>149</v>
      </c>
      <c r="C35" s="156" t="s">
        <v>204</v>
      </c>
      <c r="D35" s="156" t="s">
        <v>202</v>
      </c>
      <c r="E35" s="156" t="s">
        <v>199</v>
      </c>
      <c r="F35" s="6" t="s">
        <v>235</v>
      </c>
      <c r="G35" s="166" t="s">
        <v>203</v>
      </c>
      <c r="H35" s="113" t="s">
        <v>203</v>
      </c>
      <c r="I35" s="125" t="s">
        <v>261</v>
      </c>
      <c r="J35" s="127">
        <v>4</v>
      </c>
      <c r="K35" s="127"/>
      <c r="L35" s="142">
        <v>96</v>
      </c>
      <c r="M35" s="158">
        <f t="shared" si="6"/>
        <v>0</v>
      </c>
      <c r="N35" s="158">
        <f t="shared" si="7"/>
        <v>384</v>
      </c>
      <c r="O35" s="158">
        <f t="shared" si="8"/>
        <v>384</v>
      </c>
    </row>
    <row r="36" spans="1:15">
      <c r="A36" s="112" t="s">
        <v>236</v>
      </c>
      <c r="B36" s="156" t="s">
        <v>149</v>
      </c>
      <c r="C36" s="156" t="s">
        <v>204</v>
      </c>
      <c r="D36" s="156" t="s">
        <v>202</v>
      </c>
      <c r="E36" s="156" t="s">
        <v>199</v>
      </c>
      <c r="F36" s="6" t="s">
        <v>236</v>
      </c>
      <c r="G36" s="166" t="s">
        <v>718</v>
      </c>
      <c r="H36" s="113" t="s">
        <v>1030</v>
      </c>
      <c r="I36" s="125" t="s">
        <v>20</v>
      </c>
      <c r="J36" s="127">
        <v>40</v>
      </c>
      <c r="K36" s="127"/>
      <c r="L36" s="142">
        <v>312</v>
      </c>
      <c r="M36" s="158">
        <f t="shared" si="6"/>
        <v>0</v>
      </c>
      <c r="N36" s="158">
        <f t="shared" si="7"/>
        <v>12480</v>
      </c>
      <c r="O36" s="158">
        <f t="shared" si="8"/>
        <v>12480</v>
      </c>
    </row>
    <row r="37" spans="1:15">
      <c r="A37" s="112" t="s">
        <v>237</v>
      </c>
      <c r="B37" s="156" t="s">
        <v>149</v>
      </c>
      <c r="C37" s="156" t="s">
        <v>204</v>
      </c>
      <c r="D37" s="156" t="s">
        <v>202</v>
      </c>
      <c r="E37" s="156" t="s">
        <v>199</v>
      </c>
      <c r="F37" s="6" t="s">
        <v>237</v>
      </c>
      <c r="G37" s="166" t="s">
        <v>719</v>
      </c>
      <c r="H37" s="113" t="s">
        <v>720</v>
      </c>
      <c r="I37" s="125" t="s">
        <v>14</v>
      </c>
      <c r="J37" s="127">
        <v>8</v>
      </c>
      <c r="K37" s="127"/>
      <c r="L37" s="142">
        <v>167</v>
      </c>
      <c r="M37" s="158">
        <f t="shared" si="6"/>
        <v>0</v>
      </c>
      <c r="N37" s="158">
        <f t="shared" si="7"/>
        <v>1336</v>
      </c>
      <c r="O37" s="158">
        <f t="shared" si="8"/>
        <v>1336</v>
      </c>
    </row>
    <row r="38" spans="1:15">
      <c r="A38" s="112" t="s">
        <v>238</v>
      </c>
      <c r="B38" s="156" t="s">
        <v>149</v>
      </c>
      <c r="C38" s="156" t="s">
        <v>204</v>
      </c>
      <c r="D38" s="156" t="s">
        <v>202</v>
      </c>
      <c r="E38" s="156" t="s">
        <v>199</v>
      </c>
      <c r="F38" s="6" t="s">
        <v>238</v>
      </c>
      <c r="G38" s="166" t="s">
        <v>721</v>
      </c>
      <c r="H38" s="113" t="s">
        <v>1236</v>
      </c>
      <c r="I38" s="125" t="s">
        <v>14</v>
      </c>
      <c r="J38" s="127">
        <v>10</v>
      </c>
      <c r="K38" s="127"/>
      <c r="L38" s="142">
        <v>164</v>
      </c>
      <c r="M38" s="158">
        <f t="shared" si="6"/>
        <v>0</v>
      </c>
      <c r="N38" s="158">
        <f t="shared" si="7"/>
        <v>1640</v>
      </c>
      <c r="O38" s="158">
        <f t="shared" si="8"/>
        <v>1640</v>
      </c>
    </row>
    <row r="39" spans="1:15">
      <c r="A39" s="112" t="s">
        <v>239</v>
      </c>
      <c r="B39" s="156" t="s">
        <v>149</v>
      </c>
      <c r="C39" s="156" t="s">
        <v>204</v>
      </c>
      <c r="D39" s="156" t="s">
        <v>202</v>
      </c>
      <c r="E39" s="156" t="s">
        <v>199</v>
      </c>
      <c r="F39" s="6" t="s">
        <v>239</v>
      </c>
      <c r="G39" s="166" t="s">
        <v>723</v>
      </c>
      <c r="H39" s="113" t="s">
        <v>1147</v>
      </c>
      <c r="I39" s="125" t="s">
        <v>725</v>
      </c>
      <c r="J39" s="127">
        <v>0.5</v>
      </c>
      <c r="K39" s="127"/>
      <c r="L39" s="142">
        <v>1276</v>
      </c>
      <c r="M39" s="158">
        <f t="shared" si="6"/>
        <v>0</v>
      </c>
      <c r="N39" s="158">
        <f t="shared" si="7"/>
        <v>638</v>
      </c>
      <c r="O39" s="158">
        <f t="shared" si="8"/>
        <v>638</v>
      </c>
    </row>
    <row r="40" spans="1:15">
      <c r="A40" s="112" t="s">
        <v>240</v>
      </c>
      <c r="B40" s="156" t="s">
        <v>149</v>
      </c>
      <c r="C40" s="156" t="s">
        <v>204</v>
      </c>
      <c r="D40" s="156" t="s">
        <v>202</v>
      </c>
      <c r="E40" s="156" t="s">
        <v>199</v>
      </c>
      <c r="F40" s="6" t="s">
        <v>240</v>
      </c>
      <c r="G40" s="166" t="s">
        <v>726</v>
      </c>
      <c r="H40" s="113" t="s">
        <v>1159</v>
      </c>
      <c r="I40" s="125" t="s">
        <v>20</v>
      </c>
      <c r="J40" s="127">
        <v>5</v>
      </c>
      <c r="K40" s="127"/>
      <c r="L40" s="142">
        <v>96</v>
      </c>
      <c r="M40" s="158">
        <f t="shared" si="6"/>
        <v>0</v>
      </c>
      <c r="N40" s="158">
        <f t="shared" si="7"/>
        <v>480</v>
      </c>
      <c r="O40" s="158">
        <f t="shared" si="8"/>
        <v>480</v>
      </c>
    </row>
    <row r="41" spans="1:15">
      <c r="A41" s="112" t="s">
        <v>241</v>
      </c>
      <c r="B41" s="156" t="s">
        <v>149</v>
      </c>
      <c r="C41" s="156" t="s">
        <v>204</v>
      </c>
      <c r="D41" s="156" t="s">
        <v>202</v>
      </c>
      <c r="E41" s="156" t="s">
        <v>199</v>
      </c>
      <c r="F41" s="6" t="s">
        <v>241</v>
      </c>
      <c r="G41" s="166" t="s">
        <v>728</v>
      </c>
      <c r="H41" s="113" t="s">
        <v>541</v>
      </c>
      <c r="I41" s="125" t="s">
        <v>262</v>
      </c>
      <c r="J41" s="127">
        <v>345</v>
      </c>
      <c r="K41" s="127"/>
      <c r="L41" s="142">
        <v>67</v>
      </c>
      <c r="M41" s="158">
        <f t="shared" si="6"/>
        <v>0</v>
      </c>
      <c r="N41" s="158">
        <f t="shared" si="7"/>
        <v>23115</v>
      </c>
      <c r="O41" s="158">
        <f t="shared" si="8"/>
        <v>23115</v>
      </c>
    </row>
    <row r="42" spans="1:15">
      <c r="A42" s="112" t="s">
        <v>242</v>
      </c>
      <c r="B42" s="156" t="s">
        <v>149</v>
      </c>
      <c r="C42" s="156" t="s">
        <v>204</v>
      </c>
      <c r="D42" s="156" t="s">
        <v>202</v>
      </c>
      <c r="E42" s="156" t="s">
        <v>199</v>
      </c>
      <c r="F42" s="6" t="s">
        <v>242</v>
      </c>
      <c r="G42" s="166" t="s">
        <v>613</v>
      </c>
      <c r="H42" s="113" t="s">
        <v>614</v>
      </c>
      <c r="I42" s="125" t="s">
        <v>14</v>
      </c>
      <c r="J42" s="127">
        <v>1.18</v>
      </c>
      <c r="K42" s="127"/>
      <c r="L42" s="142">
        <v>186</v>
      </c>
      <c r="M42" s="158">
        <f t="shared" si="6"/>
        <v>0</v>
      </c>
      <c r="N42" s="158">
        <f t="shared" si="7"/>
        <v>219.48</v>
      </c>
      <c r="O42" s="158">
        <f t="shared" si="8"/>
        <v>219.48</v>
      </c>
    </row>
    <row r="43" spans="1:15">
      <c r="A43" s="112" t="s">
        <v>243</v>
      </c>
      <c r="B43" s="156" t="s">
        <v>149</v>
      </c>
      <c r="C43" s="156" t="s">
        <v>204</v>
      </c>
      <c r="D43" s="156" t="s">
        <v>202</v>
      </c>
      <c r="E43" s="156" t="s">
        <v>199</v>
      </c>
      <c r="F43" s="6" t="s">
        <v>243</v>
      </c>
      <c r="G43" s="166" t="s">
        <v>729</v>
      </c>
      <c r="H43" s="113" t="s">
        <v>542</v>
      </c>
      <c r="I43" s="125" t="s">
        <v>262</v>
      </c>
      <c r="J43" s="127">
        <v>40</v>
      </c>
      <c r="K43" s="127"/>
      <c r="L43" s="142">
        <v>39</v>
      </c>
      <c r="M43" s="158">
        <f t="shared" si="6"/>
        <v>0</v>
      </c>
      <c r="N43" s="158">
        <f t="shared" si="7"/>
        <v>1560</v>
      </c>
      <c r="O43" s="158">
        <f t="shared" si="8"/>
        <v>1560</v>
      </c>
    </row>
    <row r="44" spans="1:15">
      <c r="A44" s="112" t="s">
        <v>580</v>
      </c>
      <c r="B44" s="156" t="s">
        <v>149</v>
      </c>
      <c r="C44" s="156" t="s">
        <v>204</v>
      </c>
      <c r="D44" s="156" t="s">
        <v>202</v>
      </c>
      <c r="E44" s="156" t="s">
        <v>199</v>
      </c>
      <c r="F44" s="6" t="s">
        <v>580</v>
      </c>
      <c r="G44" s="166" t="s">
        <v>730</v>
      </c>
      <c r="H44" s="113" t="s">
        <v>730</v>
      </c>
      <c r="I44" s="125" t="s">
        <v>20</v>
      </c>
      <c r="J44" s="127">
        <v>1</v>
      </c>
      <c r="K44" s="127"/>
      <c r="L44" s="142">
        <v>350</v>
      </c>
      <c r="M44" s="158">
        <f t="shared" si="6"/>
        <v>0</v>
      </c>
      <c r="N44" s="158">
        <f t="shared" si="7"/>
        <v>350</v>
      </c>
      <c r="O44" s="158">
        <f t="shared" si="8"/>
        <v>350</v>
      </c>
    </row>
    <row r="45" spans="1:15">
      <c r="A45" s="112" t="s">
        <v>581</v>
      </c>
      <c r="B45" s="156" t="s">
        <v>149</v>
      </c>
      <c r="C45" s="156" t="s">
        <v>204</v>
      </c>
      <c r="D45" s="156" t="s">
        <v>202</v>
      </c>
      <c r="E45" s="156" t="s">
        <v>199</v>
      </c>
      <c r="F45" s="6" t="s">
        <v>581</v>
      </c>
      <c r="G45" s="166" t="s">
        <v>732</v>
      </c>
      <c r="H45" s="113" t="s">
        <v>545</v>
      </c>
      <c r="I45" s="125" t="s">
        <v>20</v>
      </c>
      <c r="J45" s="127">
        <v>800</v>
      </c>
      <c r="K45" s="127"/>
      <c r="L45" s="142">
        <v>1.1200000000000001</v>
      </c>
      <c r="M45" s="158">
        <f t="shared" si="6"/>
        <v>0</v>
      </c>
      <c r="N45" s="158">
        <f t="shared" si="7"/>
        <v>896.00000000000011</v>
      </c>
      <c r="O45" s="158">
        <f t="shared" si="8"/>
        <v>896.00000000000011</v>
      </c>
    </row>
    <row r="46" spans="1:15">
      <c r="A46" s="112" t="s">
        <v>582</v>
      </c>
      <c r="B46" s="156" t="s">
        <v>149</v>
      </c>
      <c r="C46" s="156" t="s">
        <v>204</v>
      </c>
      <c r="D46" s="156" t="s">
        <v>202</v>
      </c>
      <c r="E46" s="156" t="s">
        <v>199</v>
      </c>
      <c r="F46" s="6" t="s">
        <v>582</v>
      </c>
      <c r="G46" s="166" t="s">
        <v>733</v>
      </c>
      <c r="H46" s="113" t="s">
        <v>545</v>
      </c>
      <c r="I46" s="125" t="s">
        <v>20</v>
      </c>
      <c r="J46" s="127">
        <v>680</v>
      </c>
      <c r="K46" s="127"/>
      <c r="L46" s="142">
        <v>0.54</v>
      </c>
      <c r="M46" s="158">
        <f t="shared" si="6"/>
        <v>0</v>
      </c>
      <c r="N46" s="158">
        <f t="shared" si="7"/>
        <v>367.20000000000005</v>
      </c>
      <c r="O46" s="158">
        <f t="shared" si="8"/>
        <v>367.20000000000005</v>
      </c>
    </row>
    <row r="47" spans="1:15">
      <c r="A47" s="112" t="s">
        <v>583</v>
      </c>
      <c r="B47" s="156" t="s">
        <v>149</v>
      </c>
      <c r="C47" s="156" t="s">
        <v>204</v>
      </c>
      <c r="D47" s="156" t="s">
        <v>202</v>
      </c>
      <c r="E47" s="156" t="s">
        <v>199</v>
      </c>
      <c r="F47" s="6" t="s">
        <v>583</v>
      </c>
      <c r="G47" s="166" t="s">
        <v>734</v>
      </c>
      <c r="H47" s="113" t="s">
        <v>545</v>
      </c>
      <c r="I47" s="125" t="s">
        <v>20</v>
      </c>
      <c r="J47" s="127">
        <v>1400</v>
      </c>
      <c r="K47" s="127"/>
      <c r="L47" s="142">
        <v>0.76</v>
      </c>
      <c r="M47" s="158">
        <f t="shared" si="6"/>
        <v>0</v>
      </c>
      <c r="N47" s="158">
        <f t="shared" si="7"/>
        <v>1064</v>
      </c>
      <c r="O47" s="158">
        <f t="shared" si="8"/>
        <v>1064</v>
      </c>
    </row>
    <row r="48" spans="1:15">
      <c r="A48" s="112" t="s">
        <v>584</v>
      </c>
      <c r="B48" s="156" t="s">
        <v>149</v>
      </c>
      <c r="C48" s="156" t="s">
        <v>204</v>
      </c>
      <c r="D48" s="156" t="s">
        <v>202</v>
      </c>
      <c r="E48" s="156" t="s">
        <v>199</v>
      </c>
      <c r="F48" s="6" t="s">
        <v>584</v>
      </c>
      <c r="G48" s="166" t="s">
        <v>735</v>
      </c>
      <c r="H48" s="113" t="s">
        <v>545</v>
      </c>
      <c r="I48" s="125" t="s">
        <v>20</v>
      </c>
      <c r="J48" s="127">
        <v>860</v>
      </c>
      <c r="K48" s="127"/>
      <c r="L48" s="142">
        <v>0.81</v>
      </c>
      <c r="M48" s="158">
        <f t="shared" si="6"/>
        <v>0</v>
      </c>
      <c r="N48" s="158">
        <f t="shared" si="7"/>
        <v>696.6</v>
      </c>
      <c r="O48" s="158">
        <f t="shared" si="8"/>
        <v>696.6</v>
      </c>
    </row>
    <row r="49" spans="1:17">
      <c r="A49" s="112" t="s">
        <v>585</v>
      </c>
      <c r="B49" s="156" t="s">
        <v>149</v>
      </c>
      <c r="C49" s="156" t="s">
        <v>204</v>
      </c>
      <c r="D49" s="156" t="s">
        <v>202</v>
      </c>
      <c r="E49" s="156" t="s">
        <v>199</v>
      </c>
      <c r="F49" s="6" t="s">
        <v>585</v>
      </c>
      <c r="G49" s="166" t="s">
        <v>944</v>
      </c>
      <c r="H49" s="113" t="s">
        <v>545</v>
      </c>
      <c r="I49" s="125" t="s">
        <v>20</v>
      </c>
      <c r="J49" s="127">
        <v>1227</v>
      </c>
      <c r="K49" s="127"/>
      <c r="L49" s="142">
        <v>0.25</v>
      </c>
      <c r="M49" s="158">
        <f t="shared" si="6"/>
        <v>0</v>
      </c>
      <c r="N49" s="158">
        <f t="shared" si="7"/>
        <v>306.75</v>
      </c>
      <c r="O49" s="158">
        <f t="shared" si="8"/>
        <v>306.75</v>
      </c>
    </row>
    <row r="50" spans="1:17">
      <c r="A50" s="112" t="s">
        <v>586</v>
      </c>
      <c r="B50" s="156" t="s">
        <v>149</v>
      </c>
      <c r="C50" s="156" t="s">
        <v>204</v>
      </c>
      <c r="D50" s="156" t="s">
        <v>202</v>
      </c>
      <c r="E50" s="156" t="s">
        <v>199</v>
      </c>
      <c r="F50" s="6" t="s">
        <v>586</v>
      </c>
      <c r="G50" s="166" t="s">
        <v>737</v>
      </c>
      <c r="H50" s="113" t="s">
        <v>545</v>
      </c>
      <c r="I50" s="125" t="s">
        <v>20</v>
      </c>
      <c r="J50" s="127">
        <v>1742</v>
      </c>
      <c r="K50" s="127"/>
      <c r="L50" s="142">
        <v>0.81</v>
      </c>
      <c r="M50" s="158">
        <f t="shared" si="6"/>
        <v>0</v>
      </c>
      <c r="N50" s="158">
        <f t="shared" si="7"/>
        <v>1411.02</v>
      </c>
      <c r="O50" s="158">
        <f t="shared" si="8"/>
        <v>1411.02</v>
      </c>
    </row>
    <row r="51" spans="1:17">
      <c r="A51" s="112" t="s">
        <v>587</v>
      </c>
      <c r="B51" s="156" t="s">
        <v>149</v>
      </c>
      <c r="C51" s="156" t="s">
        <v>204</v>
      </c>
      <c r="D51" s="156" t="s">
        <v>202</v>
      </c>
      <c r="E51" s="156" t="s">
        <v>199</v>
      </c>
      <c r="F51" s="6" t="s">
        <v>587</v>
      </c>
      <c r="G51" s="166" t="s">
        <v>738</v>
      </c>
      <c r="H51" s="113" t="s">
        <v>612</v>
      </c>
      <c r="I51" s="125" t="s">
        <v>20</v>
      </c>
      <c r="J51" s="127">
        <v>227</v>
      </c>
      <c r="K51" s="127"/>
      <c r="L51" s="142">
        <v>0.93</v>
      </c>
      <c r="M51" s="158">
        <f t="shared" si="6"/>
        <v>0</v>
      </c>
      <c r="N51" s="158">
        <f t="shared" si="7"/>
        <v>211.11</v>
      </c>
      <c r="O51" s="158">
        <f t="shared" si="8"/>
        <v>211.11</v>
      </c>
    </row>
    <row r="52" spans="1:17">
      <c r="A52" s="112" t="s">
        <v>588</v>
      </c>
      <c r="B52" s="156" t="s">
        <v>149</v>
      </c>
      <c r="C52" s="156" t="s">
        <v>204</v>
      </c>
      <c r="D52" s="156" t="s">
        <v>202</v>
      </c>
      <c r="E52" s="156" t="s">
        <v>199</v>
      </c>
      <c r="F52" s="6" t="s">
        <v>588</v>
      </c>
      <c r="G52" s="166" t="s">
        <v>739</v>
      </c>
      <c r="H52" s="113" t="s">
        <v>612</v>
      </c>
      <c r="I52" s="125" t="s">
        <v>20</v>
      </c>
      <c r="J52" s="127">
        <v>60</v>
      </c>
      <c r="K52" s="127"/>
      <c r="L52" s="142">
        <v>0.32</v>
      </c>
      <c r="M52" s="158">
        <f t="shared" si="6"/>
        <v>0</v>
      </c>
      <c r="N52" s="158">
        <f t="shared" si="7"/>
        <v>19.2</v>
      </c>
      <c r="O52" s="158">
        <f t="shared" si="8"/>
        <v>19.2</v>
      </c>
      <c r="P52" s="153">
        <f>SUM(N13:N52)</f>
        <v>151946.43500000003</v>
      </c>
      <c r="Q52" s="153" t="s">
        <v>703</v>
      </c>
    </row>
    <row r="53" spans="1:17">
      <c r="A53" s="167" t="s">
        <v>18</v>
      </c>
      <c r="B53" s="167"/>
      <c r="C53" s="167"/>
      <c r="D53" s="167"/>
      <c r="E53" s="167"/>
      <c r="F53" s="167" t="s">
        <v>18</v>
      </c>
      <c r="G53" s="2" t="s">
        <v>205</v>
      </c>
      <c r="H53" s="168"/>
      <c r="I53" s="169"/>
      <c r="J53" s="169"/>
      <c r="K53" s="169"/>
      <c r="L53" s="169"/>
      <c r="M53" s="169">
        <f t="shared" si="2"/>
        <v>0</v>
      </c>
      <c r="N53" s="169">
        <f t="shared" ref="N53:N62" si="9">J53*L53</f>
        <v>0</v>
      </c>
      <c r="O53" s="169">
        <f t="shared" si="0"/>
        <v>0</v>
      </c>
    </row>
    <row r="54" spans="1:17">
      <c r="A54" s="4" t="s">
        <v>16</v>
      </c>
      <c r="B54" s="156"/>
      <c r="C54" s="156"/>
      <c r="D54" s="156"/>
      <c r="E54" s="156"/>
      <c r="F54" s="4" t="s">
        <v>16</v>
      </c>
      <c r="G54" s="5" t="s">
        <v>10</v>
      </c>
      <c r="H54" s="5"/>
      <c r="I54" s="116"/>
      <c r="J54" s="365"/>
      <c r="K54" s="123"/>
      <c r="L54" s="121"/>
      <c r="M54" s="158">
        <f t="shared" si="2"/>
        <v>0</v>
      </c>
      <c r="N54" s="158">
        <f t="shared" si="9"/>
        <v>0</v>
      </c>
      <c r="O54" s="158">
        <f t="shared" si="0"/>
        <v>0</v>
      </c>
    </row>
    <row r="55" spans="1:17">
      <c r="A55" s="6" t="s">
        <v>244</v>
      </c>
      <c r="B55" s="156" t="s">
        <v>193</v>
      </c>
      <c r="C55" s="156" t="s">
        <v>200</v>
      </c>
      <c r="D55" s="156" t="s">
        <v>202</v>
      </c>
      <c r="E55" s="156" t="s">
        <v>205</v>
      </c>
      <c r="F55" s="6" t="s">
        <v>244</v>
      </c>
      <c r="G55" s="157" t="s">
        <v>445</v>
      </c>
      <c r="H55" s="143"/>
      <c r="I55" s="116" t="s">
        <v>201</v>
      </c>
      <c r="J55" s="120">
        <f>3*8</f>
        <v>24</v>
      </c>
      <c r="K55" s="123">
        <v>200</v>
      </c>
      <c r="L55" s="121"/>
      <c r="M55" s="158">
        <f t="shared" si="2"/>
        <v>4800</v>
      </c>
      <c r="N55" s="158">
        <f t="shared" si="9"/>
        <v>0</v>
      </c>
      <c r="O55" s="158">
        <f t="shared" si="0"/>
        <v>4800</v>
      </c>
    </row>
    <row r="56" spans="1:17">
      <c r="A56" s="6" t="s">
        <v>245</v>
      </c>
      <c r="B56" s="156" t="s">
        <v>193</v>
      </c>
      <c r="C56" s="156" t="s">
        <v>200</v>
      </c>
      <c r="D56" s="156" t="s">
        <v>202</v>
      </c>
      <c r="E56" s="156" t="s">
        <v>205</v>
      </c>
      <c r="F56" s="6" t="s">
        <v>245</v>
      </c>
      <c r="G56" s="157" t="s">
        <v>446</v>
      </c>
      <c r="H56" s="143"/>
      <c r="I56" s="116" t="s">
        <v>201</v>
      </c>
      <c r="J56" s="120">
        <f>3*8</f>
        <v>24</v>
      </c>
      <c r="K56" s="123">
        <v>200</v>
      </c>
      <c r="L56" s="121"/>
      <c r="M56" s="158">
        <f>J56*K56</f>
        <v>4800</v>
      </c>
      <c r="N56" s="158">
        <f t="shared" si="9"/>
        <v>0</v>
      </c>
      <c r="O56" s="158">
        <f t="shared" si="0"/>
        <v>4800</v>
      </c>
    </row>
    <row r="57" spans="1:17">
      <c r="A57" s="6" t="s">
        <v>246</v>
      </c>
      <c r="B57" s="156" t="s">
        <v>193</v>
      </c>
      <c r="C57" s="156" t="s">
        <v>200</v>
      </c>
      <c r="D57" s="156" t="s">
        <v>202</v>
      </c>
      <c r="E57" s="156" t="s">
        <v>205</v>
      </c>
      <c r="F57" s="6" t="s">
        <v>246</v>
      </c>
      <c r="G57" s="157" t="s">
        <v>447</v>
      </c>
      <c r="H57" s="143"/>
      <c r="I57" s="116" t="s">
        <v>201</v>
      </c>
      <c r="J57" s="120">
        <f t="shared" ref="J57:J58" si="10">3*8*1</f>
        <v>24</v>
      </c>
      <c r="K57" s="123">
        <v>200</v>
      </c>
      <c r="L57" s="121"/>
      <c r="M57" s="158">
        <f t="shared" ref="M57:M89" si="11">J57*K57</f>
        <v>4800</v>
      </c>
      <c r="N57" s="158">
        <f t="shared" si="9"/>
        <v>0</v>
      </c>
      <c r="O57" s="158">
        <f t="shared" si="0"/>
        <v>4800</v>
      </c>
    </row>
    <row r="58" spans="1:17">
      <c r="A58" s="6" t="s">
        <v>247</v>
      </c>
      <c r="B58" s="156" t="s">
        <v>193</v>
      </c>
      <c r="C58" s="156" t="s">
        <v>200</v>
      </c>
      <c r="D58" s="156" t="s">
        <v>202</v>
      </c>
      <c r="E58" s="156" t="s">
        <v>205</v>
      </c>
      <c r="F58" s="6" t="s">
        <v>247</v>
      </c>
      <c r="G58" s="157" t="s">
        <v>448</v>
      </c>
      <c r="H58" s="144"/>
      <c r="I58" s="116" t="s">
        <v>201</v>
      </c>
      <c r="J58" s="120">
        <f t="shared" si="10"/>
        <v>24</v>
      </c>
      <c r="K58" s="123">
        <v>200</v>
      </c>
      <c r="L58" s="122"/>
      <c r="M58" s="158">
        <f t="shared" ref="M58:M61" si="12">J58*K58</f>
        <v>4800</v>
      </c>
      <c r="N58" s="158">
        <f t="shared" ref="N58:N61" si="13">J58*L58</f>
        <v>0</v>
      </c>
      <c r="O58" s="158">
        <f t="shared" ref="O58:O61" si="14">N58+M58</f>
        <v>4800</v>
      </c>
    </row>
    <row r="59" spans="1:17">
      <c r="A59" s="6" t="s">
        <v>248</v>
      </c>
      <c r="B59" s="156" t="s">
        <v>193</v>
      </c>
      <c r="C59" s="156" t="s">
        <v>200</v>
      </c>
      <c r="D59" s="156" t="s">
        <v>202</v>
      </c>
      <c r="E59" s="156" t="s">
        <v>205</v>
      </c>
      <c r="F59" s="6" t="s">
        <v>248</v>
      </c>
      <c r="G59" s="157" t="s">
        <v>450</v>
      </c>
      <c r="H59" s="144"/>
      <c r="I59" s="116" t="s">
        <v>201</v>
      </c>
      <c r="J59" s="120">
        <f>3*8*1</f>
        <v>24</v>
      </c>
      <c r="K59" s="123">
        <v>200</v>
      </c>
      <c r="L59" s="122"/>
      <c r="M59" s="158">
        <f t="shared" si="12"/>
        <v>4800</v>
      </c>
      <c r="N59" s="158">
        <f t="shared" si="13"/>
        <v>0</v>
      </c>
      <c r="O59" s="158">
        <f t="shared" si="14"/>
        <v>4800</v>
      </c>
    </row>
    <row r="60" spans="1:17">
      <c r="A60" s="6" t="s">
        <v>249</v>
      </c>
      <c r="B60" s="156" t="s">
        <v>193</v>
      </c>
      <c r="C60" s="156" t="s">
        <v>200</v>
      </c>
      <c r="D60" s="156" t="s">
        <v>202</v>
      </c>
      <c r="E60" s="156" t="s">
        <v>205</v>
      </c>
      <c r="F60" s="6" t="s">
        <v>249</v>
      </c>
      <c r="G60" s="157" t="s">
        <v>449</v>
      </c>
      <c r="H60" s="144"/>
      <c r="I60" s="116" t="s">
        <v>201</v>
      </c>
      <c r="J60" s="120">
        <f>3*8*1</f>
        <v>24</v>
      </c>
      <c r="K60" s="123">
        <v>200</v>
      </c>
      <c r="L60" s="122"/>
      <c r="M60" s="158">
        <f t="shared" si="12"/>
        <v>4800</v>
      </c>
      <c r="N60" s="158">
        <f t="shared" si="13"/>
        <v>0</v>
      </c>
      <c r="O60" s="158">
        <f t="shared" si="14"/>
        <v>4800</v>
      </c>
    </row>
    <row r="61" spans="1:17">
      <c r="A61" s="6" t="s">
        <v>482</v>
      </c>
      <c r="B61" s="156" t="s">
        <v>193</v>
      </c>
      <c r="C61" s="156" t="s">
        <v>200</v>
      </c>
      <c r="D61" s="156" t="s">
        <v>202</v>
      </c>
      <c r="E61" s="156" t="s">
        <v>205</v>
      </c>
      <c r="F61" s="6" t="s">
        <v>482</v>
      </c>
      <c r="G61" s="157" t="s">
        <v>451</v>
      </c>
      <c r="H61" s="144"/>
      <c r="I61" s="116" t="s">
        <v>201</v>
      </c>
      <c r="J61" s="120">
        <f>3*8*2+12</f>
        <v>60</v>
      </c>
      <c r="K61" s="123">
        <v>200</v>
      </c>
      <c r="L61" s="122"/>
      <c r="M61" s="158">
        <f t="shared" si="12"/>
        <v>12000</v>
      </c>
      <c r="N61" s="158">
        <f t="shared" si="13"/>
        <v>0</v>
      </c>
      <c r="O61" s="158">
        <f t="shared" si="14"/>
        <v>12000</v>
      </c>
    </row>
    <row r="62" spans="1:17">
      <c r="A62" s="4" t="s">
        <v>17</v>
      </c>
      <c r="B62" s="156"/>
      <c r="C62" s="156"/>
      <c r="D62" s="156"/>
      <c r="E62" s="156" t="s">
        <v>205</v>
      </c>
      <c r="F62" s="4" t="s">
        <v>17</v>
      </c>
      <c r="G62" s="5" t="s">
        <v>15</v>
      </c>
      <c r="H62" s="5"/>
      <c r="I62" s="123"/>
      <c r="J62" s="123"/>
      <c r="K62" s="123"/>
      <c r="L62" s="121"/>
      <c r="M62" s="158">
        <f t="shared" si="11"/>
        <v>0</v>
      </c>
      <c r="N62" s="158">
        <f t="shared" si="9"/>
        <v>0</v>
      </c>
      <c r="O62" s="158">
        <f t="shared" si="0"/>
        <v>0</v>
      </c>
    </row>
    <row r="63" spans="1:17">
      <c r="A63" s="6" t="s">
        <v>250</v>
      </c>
      <c r="B63" s="156" t="s">
        <v>149</v>
      </c>
      <c r="C63" s="156" t="s">
        <v>204</v>
      </c>
      <c r="D63" s="156" t="s">
        <v>202</v>
      </c>
      <c r="E63" s="156" t="s">
        <v>205</v>
      </c>
      <c r="F63" s="6" t="s">
        <v>250</v>
      </c>
      <c r="G63" s="162" t="s">
        <v>608</v>
      </c>
      <c r="H63" s="160" t="s">
        <v>608</v>
      </c>
      <c r="I63" s="116" t="s">
        <v>12</v>
      </c>
      <c r="J63" s="123">
        <v>42</v>
      </c>
      <c r="K63" s="123"/>
      <c r="L63" s="121">
        <v>29</v>
      </c>
      <c r="M63" s="158">
        <f t="shared" ref="M63:M83" si="15">J63*K63</f>
        <v>0</v>
      </c>
      <c r="N63" s="158">
        <f t="shared" ref="N63:N84" si="16">J63*L63</f>
        <v>1218</v>
      </c>
      <c r="O63" s="158">
        <f t="shared" ref="O63:O83" si="17">M63+N63</f>
        <v>1218</v>
      </c>
    </row>
    <row r="64" spans="1:17">
      <c r="A64" s="6" t="s">
        <v>251</v>
      </c>
      <c r="B64" s="156" t="s">
        <v>149</v>
      </c>
      <c r="C64" s="156" t="s">
        <v>204</v>
      </c>
      <c r="D64" s="156" t="s">
        <v>202</v>
      </c>
      <c r="E64" s="156" t="s">
        <v>205</v>
      </c>
      <c r="F64" s="6" t="s">
        <v>251</v>
      </c>
      <c r="G64" s="162" t="s">
        <v>742</v>
      </c>
      <c r="H64" s="160" t="s">
        <v>1031</v>
      </c>
      <c r="I64" s="116" t="s">
        <v>12</v>
      </c>
      <c r="J64" s="123">
        <v>120</v>
      </c>
      <c r="K64" s="123"/>
      <c r="L64" s="121">
        <v>13</v>
      </c>
      <c r="M64" s="158">
        <f t="shared" si="15"/>
        <v>0</v>
      </c>
      <c r="N64" s="158">
        <f t="shared" si="16"/>
        <v>1560</v>
      </c>
      <c r="O64" s="158">
        <f t="shared" si="17"/>
        <v>1560</v>
      </c>
    </row>
    <row r="65" spans="1:15">
      <c r="A65" s="6" t="s">
        <v>252</v>
      </c>
      <c r="B65" s="156" t="s">
        <v>149</v>
      </c>
      <c r="C65" s="156" t="s">
        <v>204</v>
      </c>
      <c r="D65" s="156" t="s">
        <v>202</v>
      </c>
      <c r="E65" s="156" t="s">
        <v>205</v>
      </c>
      <c r="F65" s="6" t="s">
        <v>252</v>
      </c>
      <c r="G65" s="162" t="s">
        <v>743</v>
      </c>
      <c r="H65" s="143" t="s">
        <v>606</v>
      </c>
      <c r="I65" s="116" t="s">
        <v>12</v>
      </c>
      <c r="J65" s="123">
        <v>44</v>
      </c>
      <c r="K65" s="123"/>
      <c r="L65" s="121">
        <v>88</v>
      </c>
      <c r="M65" s="158">
        <f t="shared" si="15"/>
        <v>0</v>
      </c>
      <c r="N65" s="158">
        <f t="shared" si="16"/>
        <v>3872</v>
      </c>
      <c r="O65" s="158">
        <f t="shared" si="17"/>
        <v>3872</v>
      </c>
    </row>
    <row r="66" spans="1:15">
      <c r="A66" s="6" t="s">
        <v>253</v>
      </c>
      <c r="B66" s="156" t="s">
        <v>149</v>
      </c>
      <c r="C66" s="156" t="s">
        <v>204</v>
      </c>
      <c r="D66" s="156" t="s">
        <v>202</v>
      </c>
      <c r="E66" s="156" t="s">
        <v>205</v>
      </c>
      <c r="F66" s="6" t="s">
        <v>253</v>
      </c>
      <c r="G66" s="162" t="s">
        <v>744</v>
      </c>
      <c r="H66" s="143" t="s">
        <v>1032</v>
      </c>
      <c r="I66" s="116" t="s">
        <v>12</v>
      </c>
      <c r="J66" s="123">
        <v>55</v>
      </c>
      <c r="K66" s="123"/>
      <c r="L66" s="121">
        <v>176</v>
      </c>
      <c r="M66" s="158">
        <f t="shared" si="15"/>
        <v>0</v>
      </c>
      <c r="N66" s="158">
        <f t="shared" si="16"/>
        <v>9680</v>
      </c>
      <c r="O66" s="158">
        <f t="shared" si="17"/>
        <v>9680</v>
      </c>
    </row>
    <row r="67" spans="1:15">
      <c r="A67" s="6" t="s">
        <v>254</v>
      </c>
      <c r="B67" s="156" t="s">
        <v>149</v>
      </c>
      <c r="C67" s="156" t="s">
        <v>204</v>
      </c>
      <c r="D67" s="156" t="s">
        <v>202</v>
      </c>
      <c r="E67" s="156" t="s">
        <v>205</v>
      </c>
      <c r="F67" s="6" t="s">
        <v>254</v>
      </c>
      <c r="G67" s="162" t="s">
        <v>745</v>
      </c>
      <c r="H67" s="160" t="s">
        <v>1032</v>
      </c>
      <c r="I67" s="116" t="s">
        <v>12</v>
      </c>
      <c r="J67" s="123">
        <v>171</v>
      </c>
      <c r="K67" s="123"/>
      <c r="L67" s="121">
        <v>77</v>
      </c>
      <c r="M67" s="158">
        <f t="shared" si="15"/>
        <v>0</v>
      </c>
      <c r="N67" s="158">
        <f t="shared" si="16"/>
        <v>13167</v>
      </c>
      <c r="O67" s="158">
        <f t="shared" si="17"/>
        <v>13167</v>
      </c>
    </row>
    <row r="68" spans="1:15">
      <c r="A68" s="6" t="s">
        <v>255</v>
      </c>
      <c r="B68" s="156" t="s">
        <v>149</v>
      </c>
      <c r="C68" s="156" t="s">
        <v>204</v>
      </c>
      <c r="D68" s="156" t="s">
        <v>202</v>
      </c>
      <c r="E68" s="156" t="s">
        <v>205</v>
      </c>
      <c r="F68" s="6" t="s">
        <v>255</v>
      </c>
      <c r="G68" s="162" t="s">
        <v>746</v>
      </c>
      <c r="H68" s="143" t="s">
        <v>609</v>
      </c>
      <c r="I68" s="116" t="s">
        <v>20</v>
      </c>
      <c r="J68" s="123">
        <v>5</v>
      </c>
      <c r="K68" s="123"/>
      <c r="L68" s="121">
        <v>7700</v>
      </c>
      <c r="M68" s="158">
        <f t="shared" si="15"/>
        <v>0</v>
      </c>
      <c r="N68" s="158">
        <f t="shared" si="16"/>
        <v>38500</v>
      </c>
      <c r="O68" s="158">
        <f t="shared" si="17"/>
        <v>38500</v>
      </c>
    </row>
    <row r="69" spans="1:15">
      <c r="A69" s="6" t="s">
        <v>256</v>
      </c>
      <c r="B69" s="156" t="s">
        <v>149</v>
      </c>
      <c r="C69" s="156" t="s">
        <v>204</v>
      </c>
      <c r="D69" s="156" t="s">
        <v>202</v>
      </c>
      <c r="E69" s="156" t="s">
        <v>205</v>
      </c>
      <c r="F69" s="6" t="s">
        <v>256</v>
      </c>
      <c r="G69" s="162" t="s">
        <v>747</v>
      </c>
      <c r="H69" s="113" t="s">
        <v>610</v>
      </c>
      <c r="I69" s="116" t="s">
        <v>12</v>
      </c>
      <c r="J69" s="123">
        <v>18</v>
      </c>
      <c r="K69" s="123"/>
      <c r="L69" s="121">
        <v>515</v>
      </c>
      <c r="M69" s="158">
        <f t="shared" si="15"/>
        <v>0</v>
      </c>
      <c r="N69" s="158">
        <f t="shared" si="16"/>
        <v>9270</v>
      </c>
      <c r="O69" s="158">
        <f t="shared" si="17"/>
        <v>9270</v>
      </c>
    </row>
    <row r="70" spans="1:15">
      <c r="A70" s="6" t="s">
        <v>257</v>
      </c>
      <c r="B70" s="156" t="s">
        <v>149</v>
      </c>
      <c r="C70" s="156" t="s">
        <v>204</v>
      </c>
      <c r="D70" s="156" t="s">
        <v>202</v>
      </c>
      <c r="E70" s="156" t="s">
        <v>205</v>
      </c>
      <c r="F70" s="6" t="s">
        <v>257</v>
      </c>
      <c r="G70" s="162" t="s">
        <v>748</v>
      </c>
      <c r="H70" s="113" t="s">
        <v>610</v>
      </c>
      <c r="I70" s="116" t="s">
        <v>12</v>
      </c>
      <c r="J70" s="123">
        <v>80.099999999999994</v>
      </c>
      <c r="K70" s="123"/>
      <c r="L70" s="121">
        <v>429</v>
      </c>
      <c r="M70" s="158">
        <f t="shared" si="15"/>
        <v>0</v>
      </c>
      <c r="N70" s="158">
        <f t="shared" si="16"/>
        <v>34362.899999999994</v>
      </c>
      <c r="O70" s="158">
        <f t="shared" si="17"/>
        <v>34362.899999999994</v>
      </c>
    </row>
    <row r="71" spans="1:15">
      <c r="A71" s="6" t="s">
        <v>258</v>
      </c>
      <c r="B71" s="156" t="s">
        <v>149</v>
      </c>
      <c r="C71" s="156" t="s">
        <v>204</v>
      </c>
      <c r="D71" s="156" t="s">
        <v>202</v>
      </c>
      <c r="E71" s="156" t="s">
        <v>205</v>
      </c>
      <c r="F71" s="6" t="s">
        <v>258</v>
      </c>
      <c r="G71" s="162" t="s">
        <v>611</v>
      </c>
      <c r="H71" s="113" t="s">
        <v>611</v>
      </c>
      <c r="I71" s="116" t="s">
        <v>14</v>
      </c>
      <c r="J71" s="123">
        <v>26</v>
      </c>
      <c r="K71" s="123"/>
      <c r="L71" s="121">
        <v>321.37</v>
      </c>
      <c r="M71" s="158">
        <f t="shared" si="15"/>
        <v>0</v>
      </c>
      <c r="N71" s="158">
        <f t="shared" si="16"/>
        <v>8355.6200000000008</v>
      </c>
      <c r="O71" s="158">
        <f t="shared" si="17"/>
        <v>8355.6200000000008</v>
      </c>
    </row>
    <row r="72" spans="1:15">
      <c r="A72" s="6" t="s">
        <v>259</v>
      </c>
      <c r="B72" s="156" t="s">
        <v>149</v>
      </c>
      <c r="C72" s="156" t="s">
        <v>204</v>
      </c>
      <c r="D72" s="156" t="s">
        <v>202</v>
      </c>
      <c r="E72" s="156" t="s">
        <v>205</v>
      </c>
      <c r="F72" s="6" t="s">
        <v>259</v>
      </c>
      <c r="G72" s="162" t="s">
        <v>544</v>
      </c>
      <c r="H72" s="160" t="s">
        <v>544</v>
      </c>
      <c r="I72" s="116" t="s">
        <v>262</v>
      </c>
      <c r="J72" s="123">
        <v>35</v>
      </c>
      <c r="K72" s="123"/>
      <c r="L72" s="121">
        <v>132.58000000000001</v>
      </c>
      <c r="M72" s="158">
        <f t="shared" si="15"/>
        <v>0</v>
      </c>
      <c r="N72" s="158">
        <f t="shared" si="16"/>
        <v>4640.3</v>
      </c>
      <c r="O72" s="158">
        <f t="shared" si="17"/>
        <v>4640.3</v>
      </c>
    </row>
    <row r="73" spans="1:15">
      <c r="A73" s="6" t="s">
        <v>260</v>
      </c>
      <c r="B73" s="156" t="s">
        <v>149</v>
      </c>
      <c r="C73" s="156" t="s">
        <v>204</v>
      </c>
      <c r="D73" s="156" t="s">
        <v>202</v>
      </c>
      <c r="E73" s="156" t="s">
        <v>205</v>
      </c>
      <c r="F73" s="6" t="s">
        <v>260</v>
      </c>
      <c r="G73" s="162" t="s">
        <v>750</v>
      </c>
      <c r="H73" s="160" t="s">
        <v>621</v>
      </c>
      <c r="I73" s="116" t="s">
        <v>12</v>
      </c>
      <c r="J73" s="123">
        <v>18</v>
      </c>
      <c r="K73" s="123"/>
      <c r="L73" s="121">
        <v>229</v>
      </c>
      <c r="M73" s="158">
        <f t="shared" si="15"/>
        <v>0</v>
      </c>
      <c r="N73" s="158">
        <f t="shared" si="16"/>
        <v>4122</v>
      </c>
      <c r="O73" s="158">
        <f t="shared" si="17"/>
        <v>4122</v>
      </c>
    </row>
    <row r="74" spans="1:15">
      <c r="A74" s="6" t="s">
        <v>263</v>
      </c>
      <c r="B74" s="156" t="s">
        <v>149</v>
      </c>
      <c r="C74" s="156" t="s">
        <v>204</v>
      </c>
      <c r="D74" s="156" t="s">
        <v>202</v>
      </c>
      <c r="E74" s="156" t="s">
        <v>205</v>
      </c>
      <c r="F74" s="6" t="s">
        <v>263</v>
      </c>
      <c r="G74" s="162" t="s">
        <v>751</v>
      </c>
      <c r="H74" s="143" t="s">
        <v>1029</v>
      </c>
      <c r="I74" s="116" t="s">
        <v>262</v>
      </c>
      <c r="J74" s="123">
        <v>84</v>
      </c>
      <c r="K74" s="123"/>
      <c r="L74" s="121">
        <v>75</v>
      </c>
      <c r="M74" s="158">
        <f t="shared" si="15"/>
        <v>0</v>
      </c>
      <c r="N74" s="158">
        <f t="shared" si="16"/>
        <v>6300</v>
      </c>
      <c r="O74" s="158">
        <f t="shared" si="17"/>
        <v>6300</v>
      </c>
    </row>
    <row r="75" spans="1:15">
      <c r="A75" s="6" t="s">
        <v>264</v>
      </c>
      <c r="B75" s="156" t="s">
        <v>149</v>
      </c>
      <c r="C75" s="156" t="s">
        <v>204</v>
      </c>
      <c r="D75" s="156" t="s">
        <v>202</v>
      </c>
      <c r="E75" s="156" t="s">
        <v>205</v>
      </c>
      <c r="F75" s="6" t="s">
        <v>264</v>
      </c>
      <c r="G75" s="162" t="s">
        <v>752</v>
      </c>
      <c r="H75" s="143" t="s">
        <v>752</v>
      </c>
      <c r="I75" s="116" t="s">
        <v>20</v>
      </c>
      <c r="J75" s="123">
        <v>4</v>
      </c>
      <c r="K75" s="123"/>
      <c r="L75" s="121">
        <v>227</v>
      </c>
      <c r="M75" s="158">
        <f t="shared" si="15"/>
        <v>0</v>
      </c>
      <c r="N75" s="158">
        <f t="shared" si="16"/>
        <v>908</v>
      </c>
      <c r="O75" s="158">
        <f t="shared" si="17"/>
        <v>908</v>
      </c>
    </row>
    <row r="76" spans="1:15">
      <c r="A76" s="6" t="s">
        <v>265</v>
      </c>
      <c r="B76" s="156" t="s">
        <v>149</v>
      </c>
      <c r="C76" s="156" t="s">
        <v>204</v>
      </c>
      <c r="D76" s="156" t="s">
        <v>202</v>
      </c>
      <c r="E76" s="156" t="s">
        <v>205</v>
      </c>
      <c r="F76" s="6" t="s">
        <v>265</v>
      </c>
      <c r="G76" s="162" t="s">
        <v>753</v>
      </c>
      <c r="H76" s="143" t="s">
        <v>615</v>
      </c>
      <c r="I76" s="116" t="s">
        <v>20</v>
      </c>
      <c r="J76" s="123">
        <v>25</v>
      </c>
      <c r="K76" s="123"/>
      <c r="L76" s="121">
        <v>635</v>
      </c>
      <c r="M76" s="158">
        <f t="shared" si="15"/>
        <v>0</v>
      </c>
      <c r="N76" s="158">
        <f t="shared" si="16"/>
        <v>15875</v>
      </c>
      <c r="O76" s="158">
        <f t="shared" si="17"/>
        <v>15875</v>
      </c>
    </row>
    <row r="77" spans="1:15">
      <c r="A77" s="6" t="s">
        <v>266</v>
      </c>
      <c r="B77" s="156" t="s">
        <v>149</v>
      </c>
      <c r="C77" s="156" t="s">
        <v>204</v>
      </c>
      <c r="D77" s="156" t="s">
        <v>202</v>
      </c>
      <c r="E77" s="156" t="s">
        <v>205</v>
      </c>
      <c r="F77" s="6" t="s">
        <v>266</v>
      </c>
      <c r="G77" s="162" t="s">
        <v>754</v>
      </c>
      <c r="H77" s="143" t="s">
        <v>1034</v>
      </c>
      <c r="I77" s="116" t="s">
        <v>14</v>
      </c>
      <c r="J77" s="123">
        <v>20</v>
      </c>
      <c r="K77" s="123"/>
      <c r="L77" s="121">
        <v>226</v>
      </c>
      <c r="M77" s="158">
        <f t="shared" si="15"/>
        <v>0</v>
      </c>
      <c r="N77" s="158">
        <f t="shared" si="16"/>
        <v>4520</v>
      </c>
      <c r="O77" s="158">
        <f t="shared" si="17"/>
        <v>4520</v>
      </c>
    </row>
    <row r="78" spans="1:15">
      <c r="A78" s="6" t="s">
        <v>267</v>
      </c>
      <c r="B78" s="156" t="s">
        <v>149</v>
      </c>
      <c r="C78" s="156" t="s">
        <v>204</v>
      </c>
      <c r="D78" s="156" t="s">
        <v>202</v>
      </c>
      <c r="E78" s="156" t="s">
        <v>205</v>
      </c>
      <c r="F78" s="6" t="s">
        <v>267</v>
      </c>
      <c r="G78" s="162" t="s">
        <v>755</v>
      </c>
      <c r="H78" s="160" t="s">
        <v>543</v>
      </c>
      <c r="I78" s="116" t="s">
        <v>20</v>
      </c>
      <c r="J78" s="123">
        <v>10</v>
      </c>
      <c r="K78" s="123"/>
      <c r="L78" s="121">
        <v>217</v>
      </c>
      <c r="M78" s="158">
        <f t="shared" si="15"/>
        <v>0</v>
      </c>
      <c r="N78" s="158">
        <f t="shared" si="16"/>
        <v>2170</v>
      </c>
      <c r="O78" s="158">
        <f t="shared" si="17"/>
        <v>2170</v>
      </c>
    </row>
    <row r="79" spans="1:15">
      <c r="A79" s="6" t="s">
        <v>268</v>
      </c>
      <c r="B79" s="156" t="s">
        <v>149</v>
      </c>
      <c r="C79" s="156" t="s">
        <v>204</v>
      </c>
      <c r="D79" s="156" t="s">
        <v>202</v>
      </c>
      <c r="E79" s="156" t="s">
        <v>205</v>
      </c>
      <c r="F79" s="6" t="s">
        <v>268</v>
      </c>
      <c r="G79" s="162" t="s">
        <v>617</v>
      </c>
      <c r="H79" s="160" t="s">
        <v>2681</v>
      </c>
      <c r="I79" s="116" t="s">
        <v>20</v>
      </c>
      <c r="J79" s="123">
        <v>4</v>
      </c>
      <c r="K79" s="123"/>
      <c r="L79" s="121">
        <v>267</v>
      </c>
      <c r="M79" s="158">
        <f t="shared" si="15"/>
        <v>0</v>
      </c>
      <c r="N79" s="158">
        <f t="shared" si="16"/>
        <v>1068</v>
      </c>
      <c r="O79" s="158">
        <f t="shared" si="17"/>
        <v>1068</v>
      </c>
    </row>
    <row r="80" spans="1:15">
      <c r="A80" s="6" t="s">
        <v>269</v>
      </c>
      <c r="B80" s="156" t="s">
        <v>149</v>
      </c>
      <c r="C80" s="156" t="s">
        <v>204</v>
      </c>
      <c r="D80" s="156" t="s">
        <v>202</v>
      </c>
      <c r="E80" s="156" t="s">
        <v>205</v>
      </c>
      <c r="F80" s="6" t="s">
        <v>269</v>
      </c>
      <c r="G80" s="162" t="s">
        <v>619</v>
      </c>
      <c r="H80" s="113" t="s">
        <v>619</v>
      </c>
      <c r="I80" s="116" t="s">
        <v>596</v>
      </c>
      <c r="J80" s="123">
        <v>1</v>
      </c>
      <c r="K80" s="123"/>
      <c r="L80" s="121">
        <v>1670</v>
      </c>
      <c r="M80" s="158">
        <f t="shared" si="15"/>
        <v>0</v>
      </c>
      <c r="N80" s="158">
        <f t="shared" si="16"/>
        <v>1670</v>
      </c>
      <c r="O80" s="158">
        <f t="shared" si="17"/>
        <v>1670</v>
      </c>
    </row>
    <row r="81" spans="1:17">
      <c r="A81" s="6" t="s">
        <v>270</v>
      </c>
      <c r="B81" s="156" t="s">
        <v>149</v>
      </c>
      <c r="C81" s="156" t="s">
        <v>204</v>
      </c>
      <c r="D81" s="156" t="s">
        <v>202</v>
      </c>
      <c r="E81" s="156" t="s">
        <v>205</v>
      </c>
      <c r="F81" s="6" t="s">
        <v>270</v>
      </c>
      <c r="G81" s="162" t="s">
        <v>756</v>
      </c>
      <c r="H81" s="113" t="s">
        <v>1029</v>
      </c>
      <c r="I81" s="116" t="s">
        <v>20</v>
      </c>
      <c r="J81" s="123">
        <v>15</v>
      </c>
      <c r="K81" s="123"/>
      <c r="L81" s="121">
        <v>56</v>
      </c>
      <c r="M81" s="158">
        <f t="shared" si="15"/>
        <v>0</v>
      </c>
      <c r="N81" s="158">
        <f t="shared" si="16"/>
        <v>840</v>
      </c>
      <c r="O81" s="158">
        <f t="shared" si="17"/>
        <v>840</v>
      </c>
    </row>
    <row r="82" spans="1:17">
      <c r="A82" s="6" t="s">
        <v>271</v>
      </c>
      <c r="B82" s="156" t="s">
        <v>149</v>
      </c>
      <c r="C82" s="156" t="s">
        <v>204</v>
      </c>
      <c r="D82" s="156" t="s">
        <v>202</v>
      </c>
      <c r="E82" s="156" t="s">
        <v>205</v>
      </c>
      <c r="F82" s="6" t="s">
        <v>271</v>
      </c>
      <c r="G82" s="162" t="s">
        <v>757</v>
      </c>
      <c r="H82" s="113" t="s">
        <v>1029</v>
      </c>
      <c r="I82" s="116" t="s">
        <v>20</v>
      </c>
      <c r="J82" s="123">
        <v>6</v>
      </c>
      <c r="K82" s="123"/>
      <c r="L82" s="121">
        <v>103</v>
      </c>
      <c r="M82" s="158">
        <f t="shared" si="15"/>
        <v>0</v>
      </c>
      <c r="N82" s="158">
        <f t="shared" si="16"/>
        <v>618</v>
      </c>
      <c r="O82" s="158">
        <f t="shared" si="17"/>
        <v>618</v>
      </c>
    </row>
    <row r="83" spans="1:17">
      <c r="A83" s="6" t="s">
        <v>272</v>
      </c>
      <c r="B83" s="156" t="s">
        <v>149</v>
      </c>
      <c r="C83" s="156" t="s">
        <v>204</v>
      </c>
      <c r="D83" s="156" t="s">
        <v>202</v>
      </c>
      <c r="E83" s="156" t="s">
        <v>205</v>
      </c>
      <c r="F83" s="6" t="s">
        <v>272</v>
      </c>
      <c r="G83" s="162" t="s">
        <v>572</v>
      </c>
      <c r="H83" s="113" t="s">
        <v>572</v>
      </c>
      <c r="I83" s="116" t="s">
        <v>20</v>
      </c>
      <c r="J83" s="123">
        <v>4</v>
      </c>
      <c r="K83" s="123"/>
      <c r="L83" s="121">
        <v>293</v>
      </c>
      <c r="M83" s="158">
        <f t="shared" si="15"/>
        <v>0</v>
      </c>
      <c r="N83" s="158">
        <f t="shared" si="16"/>
        <v>1172</v>
      </c>
      <c r="O83" s="158">
        <f t="shared" si="17"/>
        <v>1172</v>
      </c>
      <c r="P83" s="153">
        <f>SUM(N63:N83)</f>
        <v>163888.82</v>
      </c>
      <c r="Q83" s="153" t="s">
        <v>703</v>
      </c>
    </row>
    <row r="84" spans="1:17">
      <c r="A84" s="170" t="s">
        <v>19</v>
      </c>
      <c r="B84" s="2"/>
      <c r="C84" s="2"/>
      <c r="D84" s="2"/>
      <c r="E84" s="2"/>
      <c r="F84" s="170" t="s">
        <v>19</v>
      </c>
      <c r="G84" s="2" t="s">
        <v>273</v>
      </c>
      <c r="H84" s="145" t="s">
        <v>273</v>
      </c>
      <c r="I84" s="124"/>
      <c r="J84" s="124"/>
      <c r="K84" s="124"/>
      <c r="L84" s="124"/>
      <c r="M84" s="124">
        <f t="shared" si="11"/>
        <v>0</v>
      </c>
      <c r="N84" s="124">
        <f t="shared" si="16"/>
        <v>0</v>
      </c>
      <c r="O84" s="124">
        <f t="shared" ref="O84:O89" si="18">N84+M84</f>
        <v>0</v>
      </c>
    </row>
    <row r="85" spans="1:17">
      <c r="A85" s="4" t="s">
        <v>275</v>
      </c>
      <c r="B85" s="156"/>
      <c r="C85" s="156"/>
      <c r="D85" s="156"/>
      <c r="E85" s="156"/>
      <c r="F85" s="4" t="s">
        <v>275</v>
      </c>
      <c r="G85" s="5" t="s">
        <v>10</v>
      </c>
      <c r="H85" s="113"/>
      <c r="I85" s="116"/>
      <c r="J85" s="116"/>
      <c r="K85" s="123"/>
      <c r="L85" s="121"/>
      <c r="M85" s="158">
        <f t="shared" si="11"/>
        <v>0</v>
      </c>
      <c r="N85" s="158">
        <f t="shared" ref="N85:N89" si="19">J85*L85</f>
        <v>0</v>
      </c>
      <c r="O85" s="158">
        <f t="shared" si="18"/>
        <v>0</v>
      </c>
    </row>
    <row r="86" spans="1:17">
      <c r="A86" s="6" t="s">
        <v>276</v>
      </c>
      <c r="B86" s="156" t="s">
        <v>193</v>
      </c>
      <c r="C86" s="156" t="s">
        <v>200</v>
      </c>
      <c r="D86" s="156" t="s">
        <v>202</v>
      </c>
      <c r="E86" s="156" t="s">
        <v>273</v>
      </c>
      <c r="F86" s="6" t="s">
        <v>276</v>
      </c>
      <c r="G86" s="157" t="s">
        <v>452</v>
      </c>
      <c r="H86" s="113"/>
      <c r="I86" s="116" t="s">
        <v>201</v>
      </c>
      <c r="J86" s="126">
        <f>3*8*1</f>
        <v>24</v>
      </c>
      <c r="K86" s="123">
        <v>200</v>
      </c>
      <c r="L86" s="121"/>
      <c r="M86" s="158">
        <f>J86*K86</f>
        <v>4800</v>
      </c>
      <c r="N86" s="158">
        <f t="shared" si="19"/>
        <v>0</v>
      </c>
      <c r="O86" s="158">
        <f t="shared" si="18"/>
        <v>4800</v>
      </c>
    </row>
    <row r="87" spans="1:17">
      <c r="A87" s="6" t="s">
        <v>277</v>
      </c>
      <c r="B87" s="156" t="s">
        <v>193</v>
      </c>
      <c r="C87" s="156" t="s">
        <v>200</v>
      </c>
      <c r="D87" s="156" t="s">
        <v>202</v>
      </c>
      <c r="E87" s="156" t="s">
        <v>273</v>
      </c>
      <c r="F87" s="6" t="s">
        <v>277</v>
      </c>
      <c r="G87" s="157" t="s">
        <v>453</v>
      </c>
      <c r="H87" s="113"/>
      <c r="I87" s="116" t="s">
        <v>201</v>
      </c>
      <c r="J87" s="126">
        <f>3*8*0.5</f>
        <v>12</v>
      </c>
      <c r="K87" s="123">
        <v>200</v>
      </c>
      <c r="L87" s="121"/>
      <c r="M87" s="158">
        <f>J87*K87</f>
        <v>2400</v>
      </c>
      <c r="N87" s="158">
        <f t="shared" si="19"/>
        <v>0</v>
      </c>
      <c r="O87" s="158">
        <f t="shared" si="18"/>
        <v>2400</v>
      </c>
    </row>
    <row r="88" spans="1:17">
      <c r="A88" s="6" t="s">
        <v>278</v>
      </c>
      <c r="B88" s="156" t="s">
        <v>193</v>
      </c>
      <c r="C88" s="156" t="s">
        <v>200</v>
      </c>
      <c r="D88" s="156" t="s">
        <v>202</v>
      </c>
      <c r="E88" s="156" t="s">
        <v>273</v>
      </c>
      <c r="F88" s="6" t="s">
        <v>278</v>
      </c>
      <c r="G88" s="157" t="s">
        <v>454</v>
      </c>
      <c r="H88" s="113"/>
      <c r="I88" s="116" t="s">
        <v>201</v>
      </c>
      <c r="J88" s="126">
        <f>3*8*1.5</f>
        <v>36</v>
      </c>
      <c r="K88" s="123">
        <v>200</v>
      </c>
      <c r="L88" s="121"/>
      <c r="M88" s="158">
        <f>J88*K88</f>
        <v>7200</v>
      </c>
      <c r="N88" s="158">
        <f t="shared" si="19"/>
        <v>0</v>
      </c>
      <c r="O88" s="158">
        <f t="shared" si="18"/>
        <v>7200</v>
      </c>
    </row>
    <row r="89" spans="1:17">
      <c r="A89" s="4" t="s">
        <v>275</v>
      </c>
      <c r="B89" s="156"/>
      <c r="C89" s="156"/>
      <c r="D89" s="156"/>
      <c r="E89" s="156" t="s">
        <v>273</v>
      </c>
      <c r="F89" s="4" t="s">
        <v>275</v>
      </c>
      <c r="G89" s="5" t="s">
        <v>15</v>
      </c>
      <c r="H89" s="113"/>
      <c r="I89" s="123"/>
      <c r="J89" s="123"/>
      <c r="K89" s="123"/>
      <c r="L89" s="121"/>
      <c r="M89" s="158">
        <f t="shared" si="11"/>
        <v>0</v>
      </c>
      <c r="N89" s="158">
        <f t="shared" si="19"/>
        <v>0</v>
      </c>
      <c r="O89" s="158">
        <f t="shared" si="18"/>
        <v>0</v>
      </c>
    </row>
    <row r="90" spans="1:17">
      <c r="A90" s="6" t="s">
        <v>276</v>
      </c>
      <c r="B90" s="156" t="s">
        <v>149</v>
      </c>
      <c r="C90" s="156" t="s">
        <v>204</v>
      </c>
      <c r="D90" s="156" t="s">
        <v>202</v>
      </c>
      <c r="E90" s="156" t="s">
        <v>273</v>
      </c>
      <c r="F90" s="6" t="s">
        <v>276</v>
      </c>
      <c r="G90" s="162" t="s">
        <v>758</v>
      </c>
      <c r="H90" s="160" t="s">
        <v>546</v>
      </c>
      <c r="I90" s="171" t="s">
        <v>12</v>
      </c>
      <c r="J90" s="171">
        <v>16.5</v>
      </c>
      <c r="K90" s="123"/>
      <c r="L90" s="121">
        <v>286</v>
      </c>
      <c r="M90" s="158">
        <f t="shared" ref="M90:M101" si="20">J90*K90</f>
        <v>0</v>
      </c>
      <c r="N90" s="158">
        <f t="shared" ref="N90:N101" si="21">J90*L90</f>
        <v>4719</v>
      </c>
      <c r="O90" s="158">
        <f t="shared" ref="O90:O101" si="22">M90+N90</f>
        <v>4719</v>
      </c>
    </row>
    <row r="91" spans="1:17">
      <c r="A91" s="6" t="s">
        <v>277</v>
      </c>
      <c r="B91" s="156" t="s">
        <v>149</v>
      </c>
      <c r="C91" s="156" t="s">
        <v>204</v>
      </c>
      <c r="D91" s="156" t="s">
        <v>202</v>
      </c>
      <c r="E91" s="156" t="s">
        <v>273</v>
      </c>
      <c r="F91" s="6" t="s">
        <v>277</v>
      </c>
      <c r="G91" s="162" t="s">
        <v>759</v>
      </c>
      <c r="H91" s="113" t="s">
        <v>546</v>
      </c>
      <c r="I91" s="171" t="s">
        <v>12</v>
      </c>
      <c r="J91" s="171">
        <v>21</v>
      </c>
      <c r="K91" s="123"/>
      <c r="L91" s="121">
        <v>289</v>
      </c>
      <c r="M91" s="158">
        <f t="shared" si="20"/>
        <v>0</v>
      </c>
      <c r="N91" s="158">
        <f t="shared" si="21"/>
        <v>6069</v>
      </c>
      <c r="O91" s="158">
        <f t="shared" si="22"/>
        <v>6069</v>
      </c>
    </row>
    <row r="92" spans="1:17">
      <c r="A92" s="6" t="s">
        <v>278</v>
      </c>
      <c r="B92" s="156" t="s">
        <v>149</v>
      </c>
      <c r="C92" s="156" t="s">
        <v>204</v>
      </c>
      <c r="D92" s="156" t="s">
        <v>202</v>
      </c>
      <c r="E92" s="156" t="s">
        <v>273</v>
      </c>
      <c r="F92" s="6" t="s">
        <v>278</v>
      </c>
      <c r="G92" s="162" t="s">
        <v>760</v>
      </c>
      <c r="H92" s="113" t="s">
        <v>546</v>
      </c>
      <c r="I92" s="171" t="s">
        <v>12</v>
      </c>
      <c r="J92" s="171">
        <v>105</v>
      </c>
      <c r="K92" s="123"/>
      <c r="L92" s="121">
        <v>281</v>
      </c>
      <c r="M92" s="158">
        <f t="shared" si="20"/>
        <v>0</v>
      </c>
      <c r="N92" s="158">
        <f t="shared" si="21"/>
        <v>29505</v>
      </c>
      <c r="O92" s="158">
        <f t="shared" si="22"/>
        <v>29505</v>
      </c>
    </row>
    <row r="93" spans="1:17">
      <c r="A93" s="112" t="s">
        <v>279</v>
      </c>
      <c r="B93" s="156" t="s">
        <v>149</v>
      </c>
      <c r="C93" s="156" t="s">
        <v>204</v>
      </c>
      <c r="D93" s="156" t="s">
        <v>202</v>
      </c>
      <c r="E93" s="156" t="s">
        <v>273</v>
      </c>
      <c r="F93" s="6" t="s">
        <v>279</v>
      </c>
      <c r="G93" s="162" t="s">
        <v>761</v>
      </c>
      <c r="H93" s="113" t="s">
        <v>570</v>
      </c>
      <c r="I93" s="171" t="s">
        <v>12</v>
      </c>
      <c r="J93" s="171">
        <v>23</v>
      </c>
      <c r="K93" s="127"/>
      <c r="L93" s="142">
        <v>277</v>
      </c>
      <c r="M93" s="158">
        <f t="shared" si="20"/>
        <v>0</v>
      </c>
      <c r="N93" s="158">
        <f t="shared" si="21"/>
        <v>6371</v>
      </c>
      <c r="O93" s="158">
        <f t="shared" si="22"/>
        <v>6371</v>
      </c>
    </row>
    <row r="94" spans="1:17" ht="15.75">
      <c r="A94" s="6" t="s">
        <v>623</v>
      </c>
      <c r="B94" s="156" t="s">
        <v>149</v>
      </c>
      <c r="C94" s="156" t="s">
        <v>204</v>
      </c>
      <c r="D94" s="156" t="s">
        <v>202</v>
      </c>
      <c r="E94" s="156" t="s">
        <v>273</v>
      </c>
      <c r="F94" s="6" t="s">
        <v>623</v>
      </c>
      <c r="G94" s="162" t="s">
        <v>662</v>
      </c>
      <c r="H94" s="113" t="s">
        <v>662</v>
      </c>
      <c r="I94" s="116" t="s">
        <v>20</v>
      </c>
      <c r="J94" s="123">
        <v>3</v>
      </c>
      <c r="K94" s="123"/>
      <c r="L94" s="121">
        <v>403</v>
      </c>
      <c r="M94" s="158">
        <f t="shared" si="20"/>
        <v>0</v>
      </c>
      <c r="N94" s="158">
        <f t="shared" si="21"/>
        <v>1209</v>
      </c>
      <c r="O94" s="158">
        <f t="shared" si="22"/>
        <v>1209</v>
      </c>
      <c r="P94" s="213"/>
      <c r="Q94" s="153" t="s">
        <v>703</v>
      </c>
    </row>
    <row r="95" spans="1:17" ht="15.75">
      <c r="A95" s="112" t="s">
        <v>624</v>
      </c>
      <c r="B95" s="156" t="s">
        <v>149</v>
      </c>
      <c r="C95" s="156" t="s">
        <v>204</v>
      </c>
      <c r="D95" s="156" t="s">
        <v>202</v>
      </c>
      <c r="E95" s="156" t="s">
        <v>273</v>
      </c>
      <c r="F95" s="112" t="s">
        <v>624</v>
      </c>
      <c r="G95" s="162" t="s">
        <v>663</v>
      </c>
      <c r="H95" s="113" t="s">
        <v>1036</v>
      </c>
      <c r="I95" s="125" t="s">
        <v>20</v>
      </c>
      <c r="J95" s="127">
        <v>2</v>
      </c>
      <c r="K95" s="127"/>
      <c r="L95" s="142">
        <v>442</v>
      </c>
      <c r="M95" s="176">
        <f t="shared" si="20"/>
        <v>0</v>
      </c>
      <c r="N95" s="176">
        <f t="shared" si="21"/>
        <v>884</v>
      </c>
      <c r="O95" s="176">
        <f t="shared" si="22"/>
        <v>884</v>
      </c>
      <c r="P95" s="213"/>
    </row>
    <row r="96" spans="1:17" ht="15.75">
      <c r="A96" s="112" t="s">
        <v>288</v>
      </c>
      <c r="B96" s="156" t="s">
        <v>149</v>
      </c>
      <c r="C96" s="156" t="s">
        <v>204</v>
      </c>
      <c r="D96" s="156" t="s">
        <v>202</v>
      </c>
      <c r="E96" s="156" t="s">
        <v>273</v>
      </c>
      <c r="F96" s="112" t="s">
        <v>288</v>
      </c>
      <c r="G96" s="162" t="s">
        <v>664</v>
      </c>
      <c r="H96" s="113" t="s">
        <v>664</v>
      </c>
      <c r="I96" s="125" t="s">
        <v>20</v>
      </c>
      <c r="J96" s="127">
        <v>2</v>
      </c>
      <c r="K96" s="127"/>
      <c r="L96" s="142">
        <v>495</v>
      </c>
      <c r="M96" s="176">
        <f t="shared" si="20"/>
        <v>0</v>
      </c>
      <c r="N96" s="176">
        <f t="shared" si="21"/>
        <v>990</v>
      </c>
      <c r="O96" s="176">
        <f t="shared" si="22"/>
        <v>990</v>
      </c>
      <c r="P96" s="213"/>
    </row>
    <row r="97" spans="1:17" ht="15.75">
      <c r="A97" s="112" t="s">
        <v>1006</v>
      </c>
      <c r="B97" s="156" t="s">
        <v>149</v>
      </c>
      <c r="C97" s="156" t="s">
        <v>204</v>
      </c>
      <c r="D97" s="156" t="s">
        <v>202</v>
      </c>
      <c r="E97" s="156" t="s">
        <v>273</v>
      </c>
      <c r="F97" s="112" t="s">
        <v>1006</v>
      </c>
      <c r="G97" s="162" t="s">
        <v>666</v>
      </c>
      <c r="H97" s="113" t="s">
        <v>666</v>
      </c>
      <c r="I97" s="125" t="s">
        <v>20</v>
      </c>
      <c r="J97" s="127">
        <v>1</v>
      </c>
      <c r="K97" s="127"/>
      <c r="L97" s="142">
        <v>495</v>
      </c>
      <c r="M97" s="176">
        <f t="shared" si="20"/>
        <v>0</v>
      </c>
      <c r="N97" s="176">
        <f t="shared" si="21"/>
        <v>495</v>
      </c>
      <c r="O97" s="176">
        <f t="shared" si="22"/>
        <v>495</v>
      </c>
      <c r="P97" s="213"/>
    </row>
    <row r="98" spans="1:17" ht="15.75">
      <c r="A98" s="112" t="s">
        <v>1007</v>
      </c>
      <c r="B98" s="156" t="s">
        <v>149</v>
      </c>
      <c r="C98" s="156" t="s">
        <v>204</v>
      </c>
      <c r="D98" s="156" t="s">
        <v>202</v>
      </c>
      <c r="E98" s="156" t="s">
        <v>273</v>
      </c>
      <c r="F98" s="112" t="s">
        <v>1007</v>
      </c>
      <c r="G98" s="162" t="s">
        <v>762</v>
      </c>
      <c r="H98" s="113" t="s">
        <v>667</v>
      </c>
      <c r="I98" s="125" t="s">
        <v>20</v>
      </c>
      <c r="J98" s="127">
        <v>2</v>
      </c>
      <c r="K98" s="127"/>
      <c r="L98" s="142">
        <v>196</v>
      </c>
      <c r="M98" s="176">
        <f t="shared" si="20"/>
        <v>0</v>
      </c>
      <c r="N98" s="176">
        <f t="shared" si="21"/>
        <v>392</v>
      </c>
      <c r="O98" s="176">
        <f t="shared" si="22"/>
        <v>392</v>
      </c>
      <c r="P98" s="213"/>
    </row>
    <row r="99" spans="1:17" ht="15.75">
      <c r="A99" s="112" t="s">
        <v>1008</v>
      </c>
      <c r="B99" s="156" t="s">
        <v>149</v>
      </c>
      <c r="C99" s="156" t="s">
        <v>204</v>
      </c>
      <c r="D99" s="156" t="s">
        <v>202</v>
      </c>
      <c r="E99" s="156" t="s">
        <v>273</v>
      </c>
      <c r="F99" s="112" t="s">
        <v>1008</v>
      </c>
      <c r="G99" s="162" t="s">
        <v>763</v>
      </c>
      <c r="H99" s="113" t="s">
        <v>1440</v>
      </c>
      <c r="I99" s="125" t="s">
        <v>20</v>
      </c>
      <c r="J99" s="127">
        <v>8</v>
      </c>
      <c r="K99" s="127"/>
      <c r="L99" s="142">
        <v>123</v>
      </c>
      <c r="M99" s="176">
        <f t="shared" si="20"/>
        <v>0</v>
      </c>
      <c r="N99" s="176">
        <f t="shared" si="21"/>
        <v>984</v>
      </c>
      <c r="O99" s="176">
        <f t="shared" si="22"/>
        <v>984</v>
      </c>
      <c r="P99" s="213"/>
    </row>
    <row r="100" spans="1:17" ht="15.75">
      <c r="A100" s="112" t="s">
        <v>1009</v>
      </c>
      <c r="B100" s="156" t="s">
        <v>149</v>
      </c>
      <c r="C100" s="156" t="s">
        <v>204</v>
      </c>
      <c r="D100" s="156" t="s">
        <v>202</v>
      </c>
      <c r="E100" s="156" t="s">
        <v>273</v>
      </c>
      <c r="F100" s="112" t="s">
        <v>1009</v>
      </c>
      <c r="G100" s="162" t="s">
        <v>668</v>
      </c>
      <c r="H100" s="113" t="s">
        <v>1566</v>
      </c>
      <c r="I100" s="125" t="s">
        <v>20</v>
      </c>
      <c r="J100" s="127">
        <v>4</v>
      </c>
      <c r="K100" s="127"/>
      <c r="L100" s="142">
        <v>206</v>
      </c>
      <c r="M100" s="176">
        <f t="shared" si="20"/>
        <v>0</v>
      </c>
      <c r="N100" s="176">
        <f t="shared" si="21"/>
        <v>824</v>
      </c>
      <c r="O100" s="176">
        <f t="shared" si="22"/>
        <v>824</v>
      </c>
      <c r="P100" s="213"/>
    </row>
    <row r="101" spans="1:17" ht="15.75">
      <c r="A101" s="112" t="s">
        <v>1010</v>
      </c>
      <c r="B101" s="156" t="s">
        <v>149</v>
      </c>
      <c r="C101" s="156" t="s">
        <v>204</v>
      </c>
      <c r="D101" s="156" t="s">
        <v>202</v>
      </c>
      <c r="E101" s="156" t="s">
        <v>273</v>
      </c>
      <c r="F101" s="112" t="s">
        <v>1010</v>
      </c>
      <c r="G101" s="162" t="s">
        <v>764</v>
      </c>
      <c r="H101" s="113" t="s">
        <v>1039</v>
      </c>
      <c r="I101" s="125" t="s">
        <v>20</v>
      </c>
      <c r="J101" s="127">
        <v>2</v>
      </c>
      <c r="K101" s="127"/>
      <c r="L101" s="142">
        <v>365</v>
      </c>
      <c r="M101" s="176">
        <f t="shared" si="20"/>
        <v>0</v>
      </c>
      <c r="N101" s="176">
        <f t="shared" si="21"/>
        <v>730</v>
      </c>
      <c r="O101" s="176">
        <f t="shared" si="22"/>
        <v>730</v>
      </c>
      <c r="P101" s="213">
        <f>SUM(N90:N101)</f>
        <v>53172</v>
      </c>
      <c r="Q101" s="153" t="s">
        <v>703</v>
      </c>
    </row>
    <row r="102" spans="1:17">
      <c r="A102" s="170" t="s">
        <v>280</v>
      </c>
      <c r="B102" s="2"/>
      <c r="C102" s="2"/>
      <c r="D102" s="2"/>
      <c r="E102" s="2"/>
      <c r="F102" s="170" t="s">
        <v>280</v>
      </c>
      <c r="G102" s="2" t="s">
        <v>490</v>
      </c>
      <c r="H102" s="145" t="s">
        <v>547</v>
      </c>
      <c r="I102" s="124"/>
      <c r="J102" s="124"/>
      <c r="K102" s="124"/>
      <c r="L102" s="124"/>
      <c r="M102" s="124">
        <f t="shared" ref="M102:M103" si="23">J102*K102</f>
        <v>0</v>
      </c>
      <c r="N102" s="124">
        <f t="shared" ref="N102" si="24">J102*L102</f>
        <v>0</v>
      </c>
      <c r="O102" s="124">
        <f t="shared" ref="O102:O107" si="25">N102+M102</f>
        <v>0</v>
      </c>
    </row>
    <row r="103" spans="1:17">
      <c r="A103" s="4" t="s">
        <v>282</v>
      </c>
      <c r="B103" s="156"/>
      <c r="C103" s="156"/>
      <c r="D103" s="156"/>
      <c r="E103" s="156"/>
      <c r="F103" s="4" t="s">
        <v>282</v>
      </c>
      <c r="G103" s="5" t="s">
        <v>10</v>
      </c>
      <c r="H103" s="113"/>
      <c r="I103" s="116"/>
      <c r="J103" s="116"/>
      <c r="K103" s="123"/>
      <c r="L103" s="121"/>
      <c r="M103" s="158">
        <f t="shared" si="23"/>
        <v>0</v>
      </c>
      <c r="N103" s="158">
        <f t="shared" ref="N103:N107" si="26">J103*L103</f>
        <v>0</v>
      </c>
      <c r="O103" s="158">
        <f t="shared" si="25"/>
        <v>0</v>
      </c>
    </row>
    <row r="104" spans="1:17">
      <c r="A104" s="6" t="s">
        <v>283</v>
      </c>
      <c r="B104" s="156" t="s">
        <v>193</v>
      </c>
      <c r="C104" s="156" t="s">
        <v>200</v>
      </c>
      <c r="D104" s="156" t="s">
        <v>202</v>
      </c>
      <c r="E104" s="156" t="s">
        <v>281</v>
      </c>
      <c r="F104" s="6" t="s">
        <v>283</v>
      </c>
      <c r="G104" s="157" t="s">
        <v>455</v>
      </c>
      <c r="H104" s="113"/>
      <c r="I104" s="116" t="s">
        <v>201</v>
      </c>
      <c r="J104" s="126">
        <f>1*8</f>
        <v>8</v>
      </c>
      <c r="K104" s="123">
        <v>200</v>
      </c>
      <c r="L104" s="121"/>
      <c r="M104" s="158">
        <f>J104*K104</f>
        <v>1600</v>
      </c>
      <c r="N104" s="158">
        <f t="shared" si="26"/>
        <v>0</v>
      </c>
      <c r="O104" s="158">
        <f t="shared" si="25"/>
        <v>1600</v>
      </c>
    </row>
    <row r="105" spans="1:17">
      <c r="A105" s="6" t="s">
        <v>284</v>
      </c>
      <c r="B105" s="156" t="s">
        <v>193</v>
      </c>
      <c r="C105" s="156" t="s">
        <v>200</v>
      </c>
      <c r="D105" s="156" t="s">
        <v>202</v>
      </c>
      <c r="E105" s="156" t="s">
        <v>281</v>
      </c>
      <c r="F105" s="6" t="s">
        <v>284</v>
      </c>
      <c r="G105" s="157" t="s">
        <v>456</v>
      </c>
      <c r="H105" s="113"/>
      <c r="I105" s="116" t="s">
        <v>201</v>
      </c>
      <c r="J105" s="126">
        <f>2*4/2</f>
        <v>4</v>
      </c>
      <c r="K105" s="123">
        <v>200</v>
      </c>
      <c r="L105" s="121"/>
      <c r="M105" s="158">
        <f>J105*K105</f>
        <v>800</v>
      </c>
      <c r="N105" s="158">
        <f t="shared" si="26"/>
        <v>0</v>
      </c>
      <c r="O105" s="158">
        <f t="shared" si="25"/>
        <v>800</v>
      </c>
    </row>
    <row r="106" spans="1:17">
      <c r="A106" s="6" t="s">
        <v>285</v>
      </c>
      <c r="B106" s="156" t="s">
        <v>193</v>
      </c>
      <c r="C106" s="156" t="s">
        <v>200</v>
      </c>
      <c r="D106" s="156" t="s">
        <v>202</v>
      </c>
      <c r="E106" s="156" t="s">
        <v>281</v>
      </c>
      <c r="F106" s="6" t="s">
        <v>285</v>
      </c>
      <c r="G106" s="157" t="s">
        <v>457</v>
      </c>
      <c r="H106" s="113"/>
      <c r="I106" s="116" t="s">
        <v>201</v>
      </c>
      <c r="J106" s="126">
        <v>0</v>
      </c>
      <c r="K106" s="123">
        <v>200</v>
      </c>
      <c r="L106" s="121"/>
      <c r="M106" s="158">
        <f>J106*K106</f>
        <v>0</v>
      </c>
      <c r="N106" s="158">
        <f t="shared" si="26"/>
        <v>0</v>
      </c>
      <c r="O106" s="158">
        <f t="shared" si="25"/>
        <v>0</v>
      </c>
    </row>
    <row r="107" spans="1:17">
      <c r="A107" s="6" t="s">
        <v>286</v>
      </c>
      <c r="B107" s="156" t="s">
        <v>193</v>
      </c>
      <c r="C107" s="156" t="s">
        <v>200</v>
      </c>
      <c r="D107" s="156" t="s">
        <v>202</v>
      </c>
      <c r="E107" s="156" t="s">
        <v>281</v>
      </c>
      <c r="F107" s="6" t="s">
        <v>286</v>
      </c>
      <c r="G107" s="157" t="s">
        <v>458</v>
      </c>
      <c r="H107" s="113"/>
      <c r="I107" s="116" t="s">
        <v>201</v>
      </c>
      <c r="J107" s="126">
        <f>2*8*1</f>
        <v>16</v>
      </c>
      <c r="K107" s="123">
        <v>200</v>
      </c>
      <c r="L107" s="121"/>
      <c r="M107" s="158">
        <f>J107*K107</f>
        <v>3200</v>
      </c>
      <c r="N107" s="158">
        <f t="shared" si="26"/>
        <v>0</v>
      </c>
      <c r="O107" s="158">
        <f t="shared" si="25"/>
        <v>3200</v>
      </c>
    </row>
    <row r="108" spans="1:17">
      <c r="A108" s="4" t="s">
        <v>287</v>
      </c>
      <c r="B108" s="156"/>
      <c r="C108" s="156"/>
      <c r="D108" s="156"/>
      <c r="E108" s="156"/>
      <c r="F108" s="4" t="s">
        <v>287</v>
      </c>
      <c r="G108" s="5" t="s">
        <v>15</v>
      </c>
      <c r="H108" s="113"/>
      <c r="I108" s="123"/>
      <c r="J108" s="123"/>
      <c r="K108" s="123"/>
      <c r="L108" s="121"/>
      <c r="M108" s="158">
        <f t="shared" ref="M108" si="27">J108*K108</f>
        <v>0</v>
      </c>
      <c r="N108" s="158">
        <f t="shared" ref="N108" si="28">J108*L108</f>
        <v>0</v>
      </c>
      <c r="O108" s="158">
        <f t="shared" ref="O108" si="29">N108+M108</f>
        <v>0</v>
      </c>
    </row>
    <row r="109" spans="1:17" ht="15">
      <c r="A109" s="6" t="s">
        <v>297</v>
      </c>
      <c r="B109" s="156" t="s">
        <v>149</v>
      </c>
      <c r="C109" s="156" t="s">
        <v>204</v>
      </c>
      <c r="D109" s="156" t="s">
        <v>202</v>
      </c>
      <c r="E109" s="156" t="s">
        <v>281</v>
      </c>
      <c r="F109" s="6" t="s">
        <v>297</v>
      </c>
      <c r="G109" s="214" t="s">
        <v>765</v>
      </c>
      <c r="H109" s="215" t="s">
        <v>571</v>
      </c>
      <c r="I109" s="216" t="s">
        <v>20</v>
      </c>
      <c r="J109" s="217">
        <v>3</v>
      </c>
      <c r="K109" s="217"/>
      <c r="L109" s="218">
        <v>10240</v>
      </c>
      <c r="M109" s="158">
        <f>J109*K109</f>
        <v>0</v>
      </c>
      <c r="N109" s="158">
        <f t="shared" ref="N109:N114" si="30">J109*L109</f>
        <v>30720</v>
      </c>
      <c r="O109" s="158">
        <f>M109+N109</f>
        <v>30720</v>
      </c>
    </row>
    <row r="110" spans="1:17" ht="15">
      <c r="A110" s="6" t="s">
        <v>298</v>
      </c>
      <c r="B110" s="156" t="s">
        <v>149</v>
      </c>
      <c r="C110" s="156" t="s">
        <v>204</v>
      </c>
      <c r="D110" s="156" t="s">
        <v>202</v>
      </c>
      <c r="E110" s="156" t="s">
        <v>281</v>
      </c>
      <c r="F110" s="6" t="s">
        <v>298</v>
      </c>
      <c r="G110" s="214" t="s">
        <v>568</v>
      </c>
      <c r="H110" s="215" t="s">
        <v>568</v>
      </c>
      <c r="I110" s="216" t="s">
        <v>20</v>
      </c>
      <c r="J110" s="217">
        <v>1</v>
      </c>
      <c r="K110" s="217"/>
      <c r="L110" s="218">
        <v>31000</v>
      </c>
      <c r="M110" s="158">
        <f>J110*K110</f>
        <v>0</v>
      </c>
      <c r="N110" s="158">
        <f t="shared" si="30"/>
        <v>31000</v>
      </c>
      <c r="O110" s="158">
        <f>M110+N110</f>
        <v>31000</v>
      </c>
    </row>
    <row r="111" spans="1:17" ht="15">
      <c r="A111" s="6" t="s">
        <v>299</v>
      </c>
      <c r="B111" s="156" t="s">
        <v>149</v>
      </c>
      <c r="C111" s="156" t="s">
        <v>204</v>
      </c>
      <c r="D111" s="156" t="s">
        <v>202</v>
      </c>
      <c r="E111" s="156" t="s">
        <v>281</v>
      </c>
      <c r="F111" s="6" t="s">
        <v>299</v>
      </c>
      <c r="G111" s="214" t="s">
        <v>945</v>
      </c>
      <c r="H111" s="215" t="s">
        <v>569</v>
      </c>
      <c r="I111" s="216" t="s">
        <v>20</v>
      </c>
      <c r="J111" s="217">
        <v>3</v>
      </c>
      <c r="K111" s="217"/>
      <c r="L111" s="218">
        <v>12823</v>
      </c>
      <c r="M111" s="158">
        <f>J111*K111</f>
        <v>0</v>
      </c>
      <c r="N111" s="158">
        <f t="shared" si="30"/>
        <v>38469</v>
      </c>
      <c r="O111" s="158">
        <f>M111+N111</f>
        <v>38469</v>
      </c>
    </row>
    <row r="112" spans="1:17" ht="15">
      <c r="A112" s="6" t="s">
        <v>300</v>
      </c>
      <c r="B112" s="156" t="s">
        <v>149</v>
      </c>
      <c r="C112" s="156" t="s">
        <v>204</v>
      </c>
      <c r="D112" s="156" t="s">
        <v>202</v>
      </c>
      <c r="E112" s="156" t="s">
        <v>281</v>
      </c>
      <c r="F112" s="6" t="s">
        <v>300</v>
      </c>
      <c r="G112" s="214" t="s">
        <v>767</v>
      </c>
      <c r="H112" s="215" t="s">
        <v>767</v>
      </c>
      <c r="I112" s="216" t="s">
        <v>20</v>
      </c>
      <c r="J112" s="217">
        <v>3</v>
      </c>
      <c r="K112" s="217"/>
      <c r="L112" s="218">
        <v>573</v>
      </c>
      <c r="M112" s="158">
        <f>J112*K112</f>
        <v>0</v>
      </c>
      <c r="N112" s="158">
        <f t="shared" si="30"/>
        <v>1719</v>
      </c>
      <c r="O112" s="158">
        <f>M112+N112</f>
        <v>1719</v>
      </c>
    </row>
    <row r="113" spans="1:17" ht="15">
      <c r="A113" s="6" t="s">
        <v>301</v>
      </c>
      <c r="B113" s="156" t="s">
        <v>149</v>
      </c>
      <c r="C113" s="156" t="s">
        <v>204</v>
      </c>
      <c r="D113" s="156" t="s">
        <v>202</v>
      </c>
      <c r="E113" s="156" t="s">
        <v>281</v>
      </c>
      <c r="F113" s="6" t="s">
        <v>301</v>
      </c>
      <c r="G113" s="214" t="s">
        <v>769</v>
      </c>
      <c r="H113" s="215" t="s">
        <v>1147</v>
      </c>
      <c r="I113" s="216" t="s">
        <v>725</v>
      </c>
      <c r="J113" s="217">
        <v>3</v>
      </c>
      <c r="K113" s="217"/>
      <c r="L113" s="218">
        <v>297</v>
      </c>
      <c r="M113" s="158">
        <f>J113*K113</f>
        <v>0</v>
      </c>
      <c r="N113" s="158">
        <f t="shared" si="30"/>
        <v>891</v>
      </c>
      <c r="O113" s="158">
        <f>M113+N113</f>
        <v>891</v>
      </c>
      <c r="P113" s="153">
        <f>SUM(N109:N113)</f>
        <v>102799</v>
      </c>
      <c r="Q113" s="153" t="s">
        <v>703</v>
      </c>
    </row>
    <row r="114" spans="1:17">
      <c r="A114" s="170" t="s">
        <v>290</v>
      </c>
      <c r="B114" s="170"/>
      <c r="C114" s="170"/>
      <c r="D114" s="170"/>
      <c r="E114" s="170"/>
      <c r="F114" s="170" t="s">
        <v>290</v>
      </c>
      <c r="G114" s="2" t="s">
        <v>289</v>
      </c>
      <c r="H114" s="145" t="s">
        <v>548</v>
      </c>
      <c r="I114" s="124"/>
      <c r="J114" s="124"/>
      <c r="K114" s="124"/>
      <c r="L114" s="124"/>
      <c r="M114" s="124">
        <f t="shared" ref="M114:M115" si="31">J114*K114</f>
        <v>0</v>
      </c>
      <c r="N114" s="124">
        <f t="shared" si="30"/>
        <v>0</v>
      </c>
      <c r="O114" s="124">
        <f t="shared" ref="O114:O118" si="32">N114+M114</f>
        <v>0</v>
      </c>
    </row>
    <row r="115" spans="1:17">
      <c r="A115" s="4" t="s">
        <v>291</v>
      </c>
      <c r="B115" s="156"/>
      <c r="C115" s="156"/>
      <c r="D115" s="156"/>
      <c r="E115" s="156"/>
      <c r="F115" s="4" t="s">
        <v>291</v>
      </c>
      <c r="G115" s="5" t="s">
        <v>10</v>
      </c>
      <c r="H115" s="113"/>
      <c r="I115" s="116"/>
      <c r="J115" s="116"/>
      <c r="K115" s="123"/>
      <c r="L115" s="121"/>
      <c r="M115" s="158">
        <f t="shared" si="31"/>
        <v>0</v>
      </c>
      <c r="N115" s="158">
        <f t="shared" ref="N115:N118" si="33">J115*L115</f>
        <v>0</v>
      </c>
      <c r="O115" s="158">
        <f t="shared" si="32"/>
        <v>0</v>
      </c>
    </row>
    <row r="116" spans="1:17">
      <c r="A116" s="6" t="s">
        <v>292</v>
      </c>
      <c r="B116" s="156" t="s">
        <v>193</v>
      </c>
      <c r="C116" s="156" t="s">
        <v>200</v>
      </c>
      <c r="D116" s="156" t="s">
        <v>202</v>
      </c>
      <c r="E116" s="156" t="s">
        <v>289</v>
      </c>
      <c r="F116" s="6" t="s">
        <v>292</v>
      </c>
      <c r="G116" s="157" t="s">
        <v>459</v>
      </c>
      <c r="H116" s="113"/>
      <c r="I116" s="116" t="s">
        <v>201</v>
      </c>
      <c r="J116" s="120">
        <v>0.33400000000000002</v>
      </c>
      <c r="K116" s="123">
        <v>10000</v>
      </c>
      <c r="L116" s="121"/>
      <c r="M116" s="158">
        <f>J116*K116</f>
        <v>3340</v>
      </c>
      <c r="N116" s="158">
        <f t="shared" si="33"/>
        <v>0</v>
      </c>
      <c r="O116" s="158">
        <f t="shared" si="32"/>
        <v>3340</v>
      </c>
    </row>
    <row r="117" spans="1:17">
      <c r="A117" s="6" t="s">
        <v>293</v>
      </c>
      <c r="B117" s="156" t="s">
        <v>193</v>
      </c>
      <c r="C117" s="156" t="s">
        <v>200</v>
      </c>
      <c r="D117" s="156" t="s">
        <v>202</v>
      </c>
      <c r="E117" s="156" t="s">
        <v>289</v>
      </c>
      <c r="F117" s="6" t="s">
        <v>293</v>
      </c>
      <c r="G117" s="157" t="s">
        <v>460</v>
      </c>
      <c r="H117" s="113"/>
      <c r="I117" s="116" t="s">
        <v>201</v>
      </c>
      <c r="J117" s="120">
        <v>0.33400000000000002</v>
      </c>
      <c r="K117" s="123">
        <v>10000</v>
      </c>
      <c r="L117" s="121"/>
      <c r="M117" s="158">
        <f>J117*K117</f>
        <v>3340</v>
      </c>
      <c r="N117" s="158">
        <f t="shared" si="33"/>
        <v>0</v>
      </c>
      <c r="O117" s="158">
        <f t="shared" si="32"/>
        <v>3340</v>
      </c>
    </row>
    <row r="118" spans="1:17">
      <c r="A118" s="6" t="s">
        <v>294</v>
      </c>
      <c r="B118" s="156" t="s">
        <v>193</v>
      </c>
      <c r="C118" s="156" t="s">
        <v>200</v>
      </c>
      <c r="D118" s="156" t="s">
        <v>202</v>
      </c>
      <c r="E118" s="156" t="s">
        <v>289</v>
      </c>
      <c r="F118" s="6" t="s">
        <v>294</v>
      </c>
      <c r="G118" s="157" t="s">
        <v>461</v>
      </c>
      <c r="H118" s="113"/>
      <c r="I118" s="116" t="s">
        <v>201</v>
      </c>
      <c r="J118" s="120">
        <v>0.33400000000000002</v>
      </c>
      <c r="K118" s="123">
        <v>10000</v>
      </c>
      <c r="L118" s="121"/>
      <c r="M118" s="158">
        <f>J118*K118</f>
        <v>3340</v>
      </c>
      <c r="N118" s="158">
        <f t="shared" si="33"/>
        <v>0</v>
      </c>
      <c r="O118" s="158">
        <f t="shared" si="32"/>
        <v>3340</v>
      </c>
    </row>
    <row r="119" spans="1:17">
      <c r="A119" s="4" t="s">
        <v>296</v>
      </c>
      <c r="B119" s="156"/>
      <c r="C119" s="156"/>
      <c r="D119" s="156"/>
      <c r="E119" s="156" t="s">
        <v>289</v>
      </c>
      <c r="F119" s="4" t="s">
        <v>296</v>
      </c>
      <c r="G119" s="5" t="s">
        <v>15</v>
      </c>
      <c r="H119" s="113"/>
      <c r="I119" s="123"/>
      <c r="J119" s="123"/>
      <c r="K119" s="123"/>
      <c r="L119" s="121"/>
      <c r="M119" s="158">
        <f t="shared" ref="M119" si="34">J119*K119</f>
        <v>0</v>
      </c>
      <c r="N119" s="158">
        <f t="shared" ref="N119" si="35">J119*L119</f>
        <v>0</v>
      </c>
      <c r="O119" s="158">
        <f t="shared" ref="O119" si="36">N119+M119</f>
        <v>0</v>
      </c>
    </row>
    <row r="120" spans="1:17">
      <c r="A120" s="6" t="s">
        <v>302</v>
      </c>
      <c r="B120" s="156" t="s">
        <v>149</v>
      </c>
      <c r="C120" s="156" t="s">
        <v>204</v>
      </c>
      <c r="D120" s="156" t="s">
        <v>202</v>
      </c>
      <c r="E120" s="156" t="s">
        <v>289</v>
      </c>
      <c r="F120" s="6" t="s">
        <v>302</v>
      </c>
      <c r="G120" s="172" t="s">
        <v>946</v>
      </c>
      <c r="H120" s="113" t="s">
        <v>625</v>
      </c>
      <c r="I120" s="116" t="s">
        <v>20</v>
      </c>
      <c r="J120" s="123">
        <v>1</v>
      </c>
      <c r="K120" s="123"/>
      <c r="L120" s="121">
        <v>928.01</v>
      </c>
      <c r="M120" s="158">
        <f t="shared" ref="M120:M154" si="37">J120*K120</f>
        <v>0</v>
      </c>
      <c r="N120" s="158">
        <f t="shared" ref="N120:N155" si="38">J120*L120</f>
        <v>928.01</v>
      </c>
      <c r="O120" s="158">
        <f t="shared" ref="O120:O154" si="39">M120+N120</f>
        <v>928.01</v>
      </c>
    </row>
    <row r="121" spans="1:17">
      <c r="A121" s="6" t="s">
        <v>303</v>
      </c>
      <c r="B121" s="156" t="s">
        <v>149</v>
      </c>
      <c r="C121" s="156" t="s">
        <v>204</v>
      </c>
      <c r="D121" s="156" t="s">
        <v>202</v>
      </c>
      <c r="E121" s="156" t="s">
        <v>289</v>
      </c>
      <c r="F121" s="6" t="s">
        <v>303</v>
      </c>
      <c r="G121" s="172" t="s">
        <v>626</v>
      </c>
      <c r="H121" s="174" t="s">
        <v>549</v>
      </c>
      <c r="I121" s="116" t="s">
        <v>262</v>
      </c>
      <c r="J121" s="123">
        <v>30</v>
      </c>
      <c r="K121" s="123"/>
      <c r="L121" s="121">
        <v>75.27</v>
      </c>
      <c r="M121" s="158">
        <f t="shared" si="37"/>
        <v>0</v>
      </c>
      <c r="N121" s="158">
        <f t="shared" si="38"/>
        <v>2258.1</v>
      </c>
      <c r="O121" s="158">
        <f t="shared" si="39"/>
        <v>2258.1</v>
      </c>
    </row>
    <row r="122" spans="1:17">
      <c r="A122" s="6" t="s">
        <v>304</v>
      </c>
      <c r="B122" s="156" t="s">
        <v>149</v>
      </c>
      <c r="C122" s="156" t="s">
        <v>204</v>
      </c>
      <c r="D122" s="156" t="s">
        <v>202</v>
      </c>
      <c r="E122" s="156" t="s">
        <v>289</v>
      </c>
      <c r="F122" s="6" t="s">
        <v>304</v>
      </c>
      <c r="G122" s="172" t="s">
        <v>947</v>
      </c>
      <c r="H122" s="113" t="s">
        <v>549</v>
      </c>
      <c r="I122" s="116" t="s">
        <v>262</v>
      </c>
      <c r="J122" s="123">
        <v>60</v>
      </c>
      <c r="K122" s="123"/>
      <c r="L122" s="121">
        <v>61</v>
      </c>
      <c r="M122" s="158">
        <f t="shared" si="37"/>
        <v>0</v>
      </c>
      <c r="N122" s="158">
        <f t="shared" si="38"/>
        <v>3660</v>
      </c>
      <c r="O122" s="158">
        <f t="shared" si="39"/>
        <v>3660</v>
      </c>
    </row>
    <row r="123" spans="1:17">
      <c r="A123" s="6" t="s">
        <v>305</v>
      </c>
      <c r="B123" s="156" t="s">
        <v>149</v>
      </c>
      <c r="C123" s="156" t="s">
        <v>204</v>
      </c>
      <c r="D123" s="156" t="s">
        <v>202</v>
      </c>
      <c r="E123" s="156" t="s">
        <v>289</v>
      </c>
      <c r="F123" s="6" t="s">
        <v>305</v>
      </c>
      <c r="G123" s="172" t="s">
        <v>948</v>
      </c>
      <c r="H123" s="113" t="s">
        <v>549</v>
      </c>
      <c r="I123" s="116" t="s">
        <v>262</v>
      </c>
      <c r="J123" s="123">
        <v>50</v>
      </c>
      <c r="K123" s="123"/>
      <c r="L123" s="121">
        <v>55</v>
      </c>
      <c r="M123" s="158">
        <f t="shared" si="37"/>
        <v>0</v>
      </c>
      <c r="N123" s="158">
        <f t="shared" si="38"/>
        <v>2750</v>
      </c>
      <c r="O123" s="158">
        <f t="shared" si="39"/>
        <v>2750</v>
      </c>
    </row>
    <row r="124" spans="1:17">
      <c r="A124" s="6" t="s">
        <v>306</v>
      </c>
      <c r="B124" s="156" t="s">
        <v>149</v>
      </c>
      <c r="C124" s="156" t="s">
        <v>204</v>
      </c>
      <c r="D124" s="156" t="s">
        <v>202</v>
      </c>
      <c r="E124" s="156" t="s">
        <v>289</v>
      </c>
      <c r="F124" s="6" t="s">
        <v>306</v>
      </c>
      <c r="G124" s="172" t="s">
        <v>949</v>
      </c>
      <c r="H124" s="113" t="s">
        <v>629</v>
      </c>
      <c r="I124" s="116" t="s">
        <v>295</v>
      </c>
      <c r="J124" s="123">
        <v>50</v>
      </c>
      <c r="K124" s="123"/>
      <c r="L124" s="121">
        <v>20</v>
      </c>
      <c r="M124" s="158">
        <f t="shared" si="37"/>
        <v>0</v>
      </c>
      <c r="N124" s="158">
        <f t="shared" si="38"/>
        <v>1000</v>
      </c>
      <c r="O124" s="158">
        <f t="shared" si="39"/>
        <v>1000</v>
      </c>
    </row>
    <row r="125" spans="1:17">
      <c r="A125" s="6" t="s">
        <v>307</v>
      </c>
      <c r="B125" s="156" t="s">
        <v>149</v>
      </c>
      <c r="C125" s="156" t="s">
        <v>204</v>
      </c>
      <c r="D125" s="156" t="s">
        <v>202</v>
      </c>
      <c r="E125" s="156" t="s">
        <v>289</v>
      </c>
      <c r="F125" s="6" t="s">
        <v>307</v>
      </c>
      <c r="G125" s="172" t="s">
        <v>950</v>
      </c>
      <c r="H125" s="113" t="s">
        <v>577</v>
      </c>
      <c r="I125" s="116" t="s">
        <v>20</v>
      </c>
      <c r="J125" s="123">
        <v>1</v>
      </c>
      <c r="K125" s="123"/>
      <c r="L125" s="121">
        <v>124</v>
      </c>
      <c r="M125" s="158">
        <f t="shared" si="37"/>
        <v>0</v>
      </c>
      <c r="N125" s="158">
        <f t="shared" si="38"/>
        <v>124</v>
      </c>
      <c r="O125" s="158">
        <f t="shared" si="39"/>
        <v>124</v>
      </c>
    </row>
    <row r="126" spans="1:17">
      <c r="A126" s="6" t="s">
        <v>308</v>
      </c>
      <c r="B126" s="156" t="s">
        <v>149</v>
      </c>
      <c r="C126" s="156" t="s">
        <v>204</v>
      </c>
      <c r="D126" s="156" t="s">
        <v>202</v>
      </c>
      <c r="E126" s="156" t="s">
        <v>289</v>
      </c>
      <c r="F126" s="6" t="s">
        <v>308</v>
      </c>
      <c r="G126" s="172" t="s">
        <v>951</v>
      </c>
      <c r="H126" s="113" t="s">
        <v>577</v>
      </c>
      <c r="I126" s="116" t="s">
        <v>20</v>
      </c>
      <c r="J126" s="123">
        <v>3</v>
      </c>
      <c r="K126" s="123"/>
      <c r="L126" s="121">
        <v>142.5</v>
      </c>
      <c r="M126" s="158">
        <f t="shared" si="37"/>
        <v>0</v>
      </c>
      <c r="N126" s="158">
        <f t="shared" si="38"/>
        <v>427.5</v>
      </c>
      <c r="O126" s="158">
        <f t="shared" si="39"/>
        <v>427.5</v>
      </c>
    </row>
    <row r="127" spans="1:17">
      <c r="A127" s="6" t="s">
        <v>309</v>
      </c>
      <c r="B127" s="156" t="s">
        <v>149</v>
      </c>
      <c r="C127" s="156" t="s">
        <v>204</v>
      </c>
      <c r="D127" s="156" t="s">
        <v>202</v>
      </c>
      <c r="E127" s="156" t="s">
        <v>289</v>
      </c>
      <c r="F127" s="6" t="s">
        <v>309</v>
      </c>
      <c r="G127" s="172" t="s">
        <v>952</v>
      </c>
      <c r="H127" s="113" t="s">
        <v>577</v>
      </c>
      <c r="I127" s="116" t="s">
        <v>20</v>
      </c>
      <c r="J127" s="123">
        <v>1</v>
      </c>
      <c r="K127" s="123"/>
      <c r="L127" s="121">
        <v>137.65</v>
      </c>
      <c r="M127" s="158">
        <f t="shared" si="37"/>
        <v>0</v>
      </c>
      <c r="N127" s="158">
        <f t="shared" si="38"/>
        <v>137.65</v>
      </c>
      <c r="O127" s="158">
        <f t="shared" si="39"/>
        <v>137.65</v>
      </c>
    </row>
    <row r="128" spans="1:17">
      <c r="A128" s="6" t="s">
        <v>310</v>
      </c>
      <c r="B128" s="156" t="s">
        <v>149</v>
      </c>
      <c r="C128" s="156" t="s">
        <v>204</v>
      </c>
      <c r="D128" s="156" t="s">
        <v>202</v>
      </c>
      <c r="E128" s="156" t="s">
        <v>289</v>
      </c>
      <c r="F128" s="6" t="s">
        <v>310</v>
      </c>
      <c r="G128" s="172" t="s">
        <v>775</v>
      </c>
      <c r="H128" s="113" t="s">
        <v>5211</v>
      </c>
      <c r="I128" s="116" t="s">
        <v>20</v>
      </c>
      <c r="J128" s="123">
        <v>1</v>
      </c>
      <c r="K128" s="123"/>
      <c r="L128" s="121">
        <v>96</v>
      </c>
      <c r="M128" s="158">
        <f t="shared" si="37"/>
        <v>0</v>
      </c>
      <c r="N128" s="158">
        <f t="shared" si="38"/>
        <v>96</v>
      </c>
      <c r="O128" s="158">
        <f t="shared" si="39"/>
        <v>96</v>
      </c>
    </row>
    <row r="129" spans="1:15">
      <c r="A129" s="6" t="s">
        <v>311</v>
      </c>
      <c r="B129" s="156" t="s">
        <v>149</v>
      </c>
      <c r="C129" s="156" t="s">
        <v>204</v>
      </c>
      <c r="D129" s="156" t="s">
        <v>202</v>
      </c>
      <c r="E129" s="156" t="s">
        <v>289</v>
      </c>
      <c r="F129" s="6" t="s">
        <v>311</v>
      </c>
      <c r="G129" s="172" t="s">
        <v>776</v>
      </c>
      <c r="H129" s="113" t="s">
        <v>632</v>
      </c>
      <c r="I129" s="116" t="s">
        <v>20</v>
      </c>
      <c r="J129" s="123">
        <v>3</v>
      </c>
      <c r="K129" s="123"/>
      <c r="L129" s="121">
        <v>107</v>
      </c>
      <c r="M129" s="158">
        <f t="shared" si="37"/>
        <v>0</v>
      </c>
      <c r="N129" s="158">
        <f t="shared" si="38"/>
        <v>321</v>
      </c>
      <c r="O129" s="158">
        <f t="shared" si="39"/>
        <v>321</v>
      </c>
    </row>
    <row r="130" spans="1:15">
      <c r="A130" s="6" t="s">
        <v>312</v>
      </c>
      <c r="B130" s="156" t="s">
        <v>149</v>
      </c>
      <c r="C130" s="156" t="s">
        <v>204</v>
      </c>
      <c r="D130" s="156" t="s">
        <v>202</v>
      </c>
      <c r="E130" s="156" t="s">
        <v>289</v>
      </c>
      <c r="F130" s="6" t="s">
        <v>312</v>
      </c>
      <c r="G130" s="172" t="s">
        <v>953</v>
      </c>
      <c r="H130" s="174" t="s">
        <v>1540</v>
      </c>
      <c r="I130" s="116" t="s">
        <v>20</v>
      </c>
      <c r="J130" s="123">
        <v>8</v>
      </c>
      <c r="K130" s="123"/>
      <c r="L130" s="121">
        <v>9.23</v>
      </c>
      <c r="M130" s="158">
        <f t="shared" si="37"/>
        <v>0</v>
      </c>
      <c r="N130" s="158">
        <f t="shared" si="38"/>
        <v>73.84</v>
      </c>
      <c r="O130" s="158">
        <f t="shared" si="39"/>
        <v>73.84</v>
      </c>
    </row>
    <row r="131" spans="1:15">
      <c r="A131" s="6" t="s">
        <v>313</v>
      </c>
      <c r="B131" s="156" t="s">
        <v>149</v>
      </c>
      <c r="C131" s="156" t="s">
        <v>204</v>
      </c>
      <c r="D131" s="156" t="s">
        <v>202</v>
      </c>
      <c r="E131" s="156" t="s">
        <v>289</v>
      </c>
      <c r="F131" s="6" t="s">
        <v>313</v>
      </c>
      <c r="G131" s="172" t="s">
        <v>954</v>
      </c>
      <c r="H131" s="174" t="s">
        <v>1540</v>
      </c>
      <c r="I131" s="116" t="s">
        <v>20</v>
      </c>
      <c r="J131" s="123">
        <v>7</v>
      </c>
      <c r="K131" s="123"/>
      <c r="L131" s="121">
        <v>12.36</v>
      </c>
      <c r="M131" s="158">
        <f t="shared" si="37"/>
        <v>0</v>
      </c>
      <c r="N131" s="158">
        <f t="shared" si="38"/>
        <v>86.52</v>
      </c>
      <c r="O131" s="158">
        <f t="shared" si="39"/>
        <v>86.52</v>
      </c>
    </row>
    <row r="132" spans="1:15">
      <c r="A132" s="6" t="s">
        <v>314</v>
      </c>
      <c r="B132" s="156" t="s">
        <v>149</v>
      </c>
      <c r="C132" s="156" t="s">
        <v>204</v>
      </c>
      <c r="D132" s="156" t="s">
        <v>202</v>
      </c>
      <c r="E132" s="156" t="s">
        <v>289</v>
      </c>
      <c r="F132" s="6" t="s">
        <v>314</v>
      </c>
      <c r="G132" s="172" t="s">
        <v>955</v>
      </c>
      <c r="H132" s="113" t="s">
        <v>1540</v>
      </c>
      <c r="I132" s="116" t="s">
        <v>20</v>
      </c>
      <c r="J132" s="123">
        <v>4</v>
      </c>
      <c r="K132" s="123"/>
      <c r="L132" s="121">
        <v>15.8</v>
      </c>
      <c r="M132" s="158">
        <f t="shared" si="37"/>
        <v>0</v>
      </c>
      <c r="N132" s="158">
        <f t="shared" si="38"/>
        <v>63.2</v>
      </c>
      <c r="O132" s="158">
        <f t="shared" si="39"/>
        <v>63.2</v>
      </c>
    </row>
    <row r="133" spans="1:15">
      <c r="A133" s="6" t="s">
        <v>315</v>
      </c>
      <c r="B133" s="156" t="s">
        <v>149</v>
      </c>
      <c r="C133" s="156" t="s">
        <v>204</v>
      </c>
      <c r="D133" s="156" t="s">
        <v>202</v>
      </c>
      <c r="E133" s="156" t="s">
        <v>289</v>
      </c>
      <c r="F133" s="6" t="s">
        <v>315</v>
      </c>
      <c r="G133" s="172" t="s">
        <v>956</v>
      </c>
      <c r="H133" s="113" t="s">
        <v>632</v>
      </c>
      <c r="I133" s="116" t="s">
        <v>20</v>
      </c>
      <c r="J133" s="123">
        <v>14</v>
      </c>
      <c r="K133" s="123"/>
      <c r="L133" s="121">
        <v>99</v>
      </c>
      <c r="M133" s="158">
        <f t="shared" si="37"/>
        <v>0</v>
      </c>
      <c r="N133" s="158">
        <f t="shared" si="38"/>
        <v>1386</v>
      </c>
      <c r="O133" s="158">
        <f t="shared" si="39"/>
        <v>1386</v>
      </c>
    </row>
    <row r="134" spans="1:15">
      <c r="A134" s="6" t="s">
        <v>316</v>
      </c>
      <c r="B134" s="156" t="s">
        <v>149</v>
      </c>
      <c r="C134" s="156" t="s">
        <v>204</v>
      </c>
      <c r="D134" s="156" t="s">
        <v>202</v>
      </c>
      <c r="E134" s="156" t="s">
        <v>289</v>
      </c>
      <c r="F134" s="6" t="s">
        <v>316</v>
      </c>
      <c r="G134" s="172" t="s">
        <v>778</v>
      </c>
      <c r="H134" s="113" t="s">
        <v>633</v>
      </c>
      <c r="I134" s="116" t="s">
        <v>20</v>
      </c>
      <c r="J134" s="123">
        <v>2</v>
      </c>
      <c r="K134" s="123"/>
      <c r="L134" s="121">
        <v>125</v>
      </c>
      <c r="M134" s="158">
        <f t="shared" si="37"/>
        <v>0</v>
      </c>
      <c r="N134" s="158">
        <f t="shared" si="38"/>
        <v>250</v>
      </c>
      <c r="O134" s="158">
        <f t="shared" si="39"/>
        <v>250</v>
      </c>
    </row>
    <row r="135" spans="1:15">
      <c r="A135" s="6" t="s">
        <v>317</v>
      </c>
      <c r="B135" s="156" t="s">
        <v>149</v>
      </c>
      <c r="C135" s="156" t="s">
        <v>204</v>
      </c>
      <c r="D135" s="156" t="s">
        <v>202</v>
      </c>
      <c r="E135" s="156" t="s">
        <v>289</v>
      </c>
      <c r="F135" s="6" t="s">
        <v>317</v>
      </c>
      <c r="G135" s="172" t="s">
        <v>779</v>
      </c>
      <c r="H135" s="113" t="s">
        <v>1225</v>
      </c>
      <c r="I135" s="116" t="s">
        <v>20</v>
      </c>
      <c r="J135" s="123">
        <v>2</v>
      </c>
      <c r="K135" s="123"/>
      <c r="L135" s="121">
        <v>69.38</v>
      </c>
      <c r="M135" s="158">
        <f t="shared" si="37"/>
        <v>0</v>
      </c>
      <c r="N135" s="158">
        <f t="shared" si="38"/>
        <v>138.76</v>
      </c>
      <c r="O135" s="158">
        <f t="shared" si="39"/>
        <v>138.76</v>
      </c>
    </row>
    <row r="136" spans="1:15">
      <c r="A136" s="6" t="s">
        <v>318</v>
      </c>
      <c r="B136" s="156" t="s">
        <v>149</v>
      </c>
      <c r="C136" s="156" t="s">
        <v>204</v>
      </c>
      <c r="D136" s="156" t="s">
        <v>202</v>
      </c>
      <c r="E136" s="156" t="s">
        <v>289</v>
      </c>
      <c r="F136" s="6" t="s">
        <v>318</v>
      </c>
      <c r="G136" s="172" t="s">
        <v>957</v>
      </c>
      <c r="H136" s="113" t="s">
        <v>551</v>
      </c>
      <c r="I136" s="116" t="s">
        <v>20</v>
      </c>
      <c r="J136" s="123">
        <v>3</v>
      </c>
      <c r="K136" s="123"/>
      <c r="L136" s="121">
        <v>199</v>
      </c>
      <c r="M136" s="158">
        <f t="shared" si="37"/>
        <v>0</v>
      </c>
      <c r="N136" s="158">
        <f t="shared" si="38"/>
        <v>597</v>
      </c>
      <c r="O136" s="158">
        <f t="shared" si="39"/>
        <v>597</v>
      </c>
    </row>
    <row r="137" spans="1:15">
      <c r="A137" s="6" t="s">
        <v>319</v>
      </c>
      <c r="B137" s="156" t="s">
        <v>149</v>
      </c>
      <c r="C137" s="156" t="s">
        <v>204</v>
      </c>
      <c r="D137" s="156" t="s">
        <v>202</v>
      </c>
      <c r="E137" s="156" t="s">
        <v>289</v>
      </c>
      <c r="F137" s="6" t="s">
        <v>319</v>
      </c>
      <c r="G137" s="172" t="s">
        <v>781</v>
      </c>
      <c r="H137" s="113" t="s">
        <v>551</v>
      </c>
      <c r="I137" s="116" t="s">
        <v>20</v>
      </c>
      <c r="J137" s="123">
        <v>2</v>
      </c>
      <c r="K137" s="123"/>
      <c r="L137" s="121">
        <v>681</v>
      </c>
      <c r="M137" s="158">
        <f t="shared" si="37"/>
        <v>0</v>
      </c>
      <c r="N137" s="158">
        <f t="shared" si="38"/>
        <v>1362</v>
      </c>
      <c r="O137" s="158">
        <f t="shared" si="39"/>
        <v>1362</v>
      </c>
    </row>
    <row r="138" spans="1:15">
      <c r="A138" s="6" t="s">
        <v>320</v>
      </c>
      <c r="B138" s="156" t="s">
        <v>149</v>
      </c>
      <c r="C138" s="156" t="s">
        <v>204</v>
      </c>
      <c r="D138" s="156" t="s">
        <v>202</v>
      </c>
      <c r="E138" s="156" t="s">
        <v>289</v>
      </c>
      <c r="F138" s="6" t="s">
        <v>320</v>
      </c>
      <c r="G138" s="172" t="s">
        <v>958</v>
      </c>
      <c r="H138" s="113" t="s">
        <v>551</v>
      </c>
      <c r="I138" s="116" t="s">
        <v>20</v>
      </c>
      <c r="J138" s="123">
        <v>2</v>
      </c>
      <c r="K138" s="123"/>
      <c r="L138" s="121">
        <v>623</v>
      </c>
      <c r="M138" s="158">
        <f t="shared" si="37"/>
        <v>0</v>
      </c>
      <c r="N138" s="158">
        <f t="shared" si="38"/>
        <v>1246</v>
      </c>
      <c r="O138" s="158">
        <f t="shared" si="39"/>
        <v>1246</v>
      </c>
    </row>
    <row r="139" spans="1:15">
      <c r="A139" s="6" t="s">
        <v>321</v>
      </c>
      <c r="B139" s="156" t="s">
        <v>149</v>
      </c>
      <c r="C139" s="156" t="s">
        <v>204</v>
      </c>
      <c r="D139" s="156" t="s">
        <v>202</v>
      </c>
      <c r="E139" s="156" t="s">
        <v>289</v>
      </c>
      <c r="F139" s="6" t="s">
        <v>321</v>
      </c>
      <c r="G139" s="172" t="s">
        <v>959</v>
      </c>
      <c r="H139" s="113" t="s">
        <v>551</v>
      </c>
      <c r="I139" s="116" t="s">
        <v>20</v>
      </c>
      <c r="J139" s="123">
        <v>1</v>
      </c>
      <c r="K139" s="123"/>
      <c r="L139" s="121">
        <v>326</v>
      </c>
      <c r="M139" s="158">
        <f t="shared" si="37"/>
        <v>0</v>
      </c>
      <c r="N139" s="158">
        <f t="shared" si="38"/>
        <v>326</v>
      </c>
      <c r="O139" s="158">
        <f t="shared" si="39"/>
        <v>326</v>
      </c>
    </row>
    <row r="140" spans="1:15">
      <c r="A140" s="6" t="s">
        <v>322</v>
      </c>
      <c r="B140" s="156" t="s">
        <v>149</v>
      </c>
      <c r="C140" s="156" t="s">
        <v>204</v>
      </c>
      <c r="D140" s="156" t="s">
        <v>202</v>
      </c>
      <c r="E140" s="156" t="s">
        <v>289</v>
      </c>
      <c r="F140" s="6" t="s">
        <v>322</v>
      </c>
      <c r="G140" s="172" t="s">
        <v>783</v>
      </c>
      <c r="H140" s="113" t="s">
        <v>551</v>
      </c>
      <c r="I140" s="116" t="s">
        <v>20</v>
      </c>
      <c r="J140" s="123">
        <v>1</v>
      </c>
      <c r="K140" s="123"/>
      <c r="L140" s="121">
        <v>675</v>
      </c>
      <c r="M140" s="158">
        <f t="shared" si="37"/>
        <v>0</v>
      </c>
      <c r="N140" s="158">
        <f t="shared" si="38"/>
        <v>675</v>
      </c>
      <c r="O140" s="158">
        <f t="shared" si="39"/>
        <v>675</v>
      </c>
    </row>
    <row r="141" spans="1:15">
      <c r="A141" s="6" t="s">
        <v>323</v>
      </c>
      <c r="B141" s="156" t="s">
        <v>149</v>
      </c>
      <c r="C141" s="156" t="s">
        <v>204</v>
      </c>
      <c r="D141" s="156" t="s">
        <v>202</v>
      </c>
      <c r="E141" s="156" t="s">
        <v>289</v>
      </c>
      <c r="F141" s="6" t="s">
        <v>323</v>
      </c>
      <c r="G141" s="172" t="s">
        <v>784</v>
      </c>
      <c r="H141" s="113" t="s">
        <v>551</v>
      </c>
      <c r="I141" s="116" t="s">
        <v>20</v>
      </c>
      <c r="J141" s="123">
        <v>1</v>
      </c>
      <c r="K141" s="123"/>
      <c r="L141" s="121">
        <v>547</v>
      </c>
      <c r="M141" s="158">
        <f t="shared" si="37"/>
        <v>0</v>
      </c>
      <c r="N141" s="158">
        <f t="shared" si="38"/>
        <v>547</v>
      </c>
      <c r="O141" s="158">
        <f t="shared" si="39"/>
        <v>547</v>
      </c>
    </row>
    <row r="142" spans="1:15">
      <c r="A142" s="6" t="s">
        <v>324</v>
      </c>
      <c r="B142" s="156" t="s">
        <v>149</v>
      </c>
      <c r="C142" s="156" t="s">
        <v>204</v>
      </c>
      <c r="D142" s="156" t="s">
        <v>202</v>
      </c>
      <c r="E142" s="156" t="s">
        <v>289</v>
      </c>
      <c r="F142" s="6" t="s">
        <v>324</v>
      </c>
      <c r="G142" s="172" t="s">
        <v>960</v>
      </c>
      <c r="H142" s="113" t="s">
        <v>577</v>
      </c>
      <c r="I142" s="116" t="s">
        <v>20</v>
      </c>
      <c r="J142" s="123">
        <v>3</v>
      </c>
      <c r="K142" s="123"/>
      <c r="L142" s="121">
        <v>211</v>
      </c>
      <c r="M142" s="158">
        <f t="shared" si="37"/>
        <v>0</v>
      </c>
      <c r="N142" s="158">
        <f t="shared" si="38"/>
        <v>633</v>
      </c>
      <c r="O142" s="158">
        <f t="shared" si="39"/>
        <v>633</v>
      </c>
    </row>
    <row r="143" spans="1:15">
      <c r="A143" s="6" t="s">
        <v>325</v>
      </c>
      <c r="B143" s="156" t="s">
        <v>149</v>
      </c>
      <c r="C143" s="156" t="s">
        <v>204</v>
      </c>
      <c r="D143" s="156" t="s">
        <v>202</v>
      </c>
      <c r="E143" s="156" t="s">
        <v>289</v>
      </c>
      <c r="F143" s="6" t="s">
        <v>325</v>
      </c>
      <c r="G143" s="172" t="s">
        <v>961</v>
      </c>
      <c r="H143" s="113" t="s">
        <v>1042</v>
      </c>
      <c r="I143" s="116" t="s">
        <v>20</v>
      </c>
      <c r="J143" s="123">
        <v>3</v>
      </c>
      <c r="K143" s="123"/>
      <c r="L143" s="121">
        <v>65</v>
      </c>
      <c r="M143" s="158">
        <f t="shared" si="37"/>
        <v>0</v>
      </c>
      <c r="N143" s="158">
        <f t="shared" si="38"/>
        <v>195</v>
      </c>
      <c r="O143" s="158">
        <f t="shared" si="39"/>
        <v>195</v>
      </c>
    </row>
    <row r="144" spans="1:15">
      <c r="A144" s="6" t="s">
        <v>326</v>
      </c>
      <c r="B144" s="156" t="s">
        <v>149</v>
      </c>
      <c r="C144" s="156" t="s">
        <v>204</v>
      </c>
      <c r="D144" s="156" t="s">
        <v>202</v>
      </c>
      <c r="E144" s="156" t="s">
        <v>289</v>
      </c>
      <c r="F144" s="6" t="s">
        <v>326</v>
      </c>
      <c r="G144" s="172" t="s">
        <v>787</v>
      </c>
      <c r="H144" s="113" t="s">
        <v>577</v>
      </c>
      <c r="I144" s="116" t="s">
        <v>20</v>
      </c>
      <c r="J144" s="123">
        <v>2</v>
      </c>
      <c r="K144" s="123"/>
      <c r="L144" s="121">
        <v>136</v>
      </c>
      <c r="M144" s="158">
        <f t="shared" si="37"/>
        <v>0</v>
      </c>
      <c r="N144" s="158">
        <f t="shared" si="38"/>
        <v>272</v>
      </c>
      <c r="O144" s="158">
        <f t="shared" si="39"/>
        <v>272</v>
      </c>
    </row>
    <row r="145" spans="1:17">
      <c r="A145" s="6" t="s">
        <v>327</v>
      </c>
      <c r="B145" s="156" t="s">
        <v>149</v>
      </c>
      <c r="C145" s="156" t="s">
        <v>204</v>
      </c>
      <c r="D145" s="156" t="s">
        <v>202</v>
      </c>
      <c r="E145" s="156" t="s">
        <v>289</v>
      </c>
      <c r="F145" s="6" t="s">
        <v>327</v>
      </c>
      <c r="G145" s="172" t="s">
        <v>962</v>
      </c>
      <c r="H145" s="113" t="s">
        <v>633</v>
      </c>
      <c r="I145" s="116" t="s">
        <v>20</v>
      </c>
      <c r="J145" s="123">
        <v>3</v>
      </c>
      <c r="K145" s="123"/>
      <c r="L145" s="121">
        <v>204</v>
      </c>
      <c r="M145" s="158">
        <f t="shared" si="37"/>
        <v>0</v>
      </c>
      <c r="N145" s="158">
        <f t="shared" si="38"/>
        <v>612</v>
      </c>
      <c r="O145" s="158">
        <f t="shared" si="39"/>
        <v>612</v>
      </c>
    </row>
    <row r="146" spans="1:17">
      <c r="A146" s="112" t="s">
        <v>328</v>
      </c>
      <c r="B146" s="156" t="s">
        <v>149</v>
      </c>
      <c r="C146" s="156" t="s">
        <v>204</v>
      </c>
      <c r="D146" s="156" t="s">
        <v>202</v>
      </c>
      <c r="E146" s="156" t="s">
        <v>289</v>
      </c>
      <c r="F146" s="6" t="s">
        <v>328</v>
      </c>
      <c r="G146" s="172" t="s">
        <v>963</v>
      </c>
      <c r="H146" s="113" t="s">
        <v>633</v>
      </c>
      <c r="I146" s="125" t="s">
        <v>20</v>
      </c>
      <c r="J146" s="127">
        <v>3</v>
      </c>
      <c r="K146" s="127"/>
      <c r="L146" s="142">
        <v>187</v>
      </c>
      <c r="M146" s="158">
        <f t="shared" si="37"/>
        <v>0</v>
      </c>
      <c r="N146" s="158">
        <f t="shared" si="38"/>
        <v>561</v>
      </c>
      <c r="O146" s="158">
        <f t="shared" si="39"/>
        <v>561</v>
      </c>
    </row>
    <row r="147" spans="1:17">
      <c r="A147" s="112" t="s">
        <v>329</v>
      </c>
      <c r="B147" s="156" t="s">
        <v>149</v>
      </c>
      <c r="C147" s="156" t="s">
        <v>204</v>
      </c>
      <c r="D147" s="156" t="s">
        <v>202</v>
      </c>
      <c r="E147" s="156" t="s">
        <v>289</v>
      </c>
      <c r="F147" s="6" t="s">
        <v>329</v>
      </c>
      <c r="G147" s="172" t="s">
        <v>964</v>
      </c>
      <c r="H147" s="113" t="s">
        <v>633</v>
      </c>
      <c r="I147" s="125" t="s">
        <v>20</v>
      </c>
      <c r="J147" s="127">
        <v>4</v>
      </c>
      <c r="K147" s="127"/>
      <c r="L147" s="142">
        <v>203</v>
      </c>
      <c r="M147" s="158">
        <f t="shared" si="37"/>
        <v>0</v>
      </c>
      <c r="N147" s="158">
        <f t="shared" si="38"/>
        <v>812</v>
      </c>
      <c r="O147" s="158">
        <f t="shared" si="39"/>
        <v>812</v>
      </c>
    </row>
    <row r="148" spans="1:17">
      <c r="A148" s="112" t="s">
        <v>640</v>
      </c>
      <c r="B148" s="156" t="s">
        <v>149</v>
      </c>
      <c r="C148" s="156" t="s">
        <v>204</v>
      </c>
      <c r="D148" s="156" t="s">
        <v>202</v>
      </c>
      <c r="E148" s="156" t="s">
        <v>289</v>
      </c>
      <c r="F148" s="6" t="s">
        <v>640</v>
      </c>
      <c r="G148" s="172" t="s">
        <v>791</v>
      </c>
      <c r="H148" s="113" t="s">
        <v>791</v>
      </c>
      <c r="I148" s="125" t="s">
        <v>20</v>
      </c>
      <c r="J148" s="127">
        <v>1</v>
      </c>
      <c r="K148" s="127"/>
      <c r="L148" s="142">
        <v>2560</v>
      </c>
      <c r="M148" s="158">
        <f t="shared" si="37"/>
        <v>0</v>
      </c>
      <c r="N148" s="158">
        <f t="shared" si="38"/>
        <v>2560</v>
      </c>
      <c r="O148" s="158">
        <f t="shared" si="39"/>
        <v>2560</v>
      </c>
    </row>
    <row r="149" spans="1:17">
      <c r="A149" s="112" t="s">
        <v>641</v>
      </c>
      <c r="B149" s="156" t="s">
        <v>149</v>
      </c>
      <c r="C149" s="156" t="s">
        <v>204</v>
      </c>
      <c r="D149" s="156" t="s">
        <v>202</v>
      </c>
      <c r="E149" s="156" t="s">
        <v>289</v>
      </c>
      <c r="F149" s="6" t="s">
        <v>641</v>
      </c>
      <c r="G149" s="172" t="s">
        <v>792</v>
      </c>
      <c r="H149" s="113" t="s">
        <v>563</v>
      </c>
      <c r="I149" s="125" t="s">
        <v>20</v>
      </c>
      <c r="J149" s="127">
        <v>2</v>
      </c>
      <c r="K149" s="127"/>
      <c r="L149" s="142">
        <v>560</v>
      </c>
      <c r="M149" s="158">
        <f t="shared" si="37"/>
        <v>0</v>
      </c>
      <c r="N149" s="158">
        <f t="shared" si="38"/>
        <v>1120</v>
      </c>
      <c r="O149" s="158">
        <f t="shared" si="39"/>
        <v>1120</v>
      </c>
    </row>
    <row r="150" spans="1:17">
      <c r="A150" s="112" t="s">
        <v>642</v>
      </c>
      <c r="B150" s="156" t="s">
        <v>149</v>
      </c>
      <c r="C150" s="156" t="s">
        <v>204</v>
      </c>
      <c r="D150" s="156" t="s">
        <v>202</v>
      </c>
      <c r="E150" s="156" t="s">
        <v>289</v>
      </c>
      <c r="F150" s="6" t="s">
        <v>642</v>
      </c>
      <c r="G150" s="172" t="s">
        <v>635</v>
      </c>
      <c r="H150" s="113" t="s">
        <v>5212</v>
      </c>
      <c r="I150" s="125" t="s">
        <v>20</v>
      </c>
      <c r="J150" s="127">
        <v>1</v>
      </c>
      <c r="K150" s="127"/>
      <c r="L150" s="142">
        <v>257.81</v>
      </c>
      <c r="M150" s="158">
        <f t="shared" si="37"/>
        <v>0</v>
      </c>
      <c r="N150" s="158">
        <f t="shared" si="38"/>
        <v>257.81</v>
      </c>
      <c r="O150" s="158">
        <f t="shared" si="39"/>
        <v>257.81</v>
      </c>
    </row>
    <row r="151" spans="1:17">
      <c r="A151" s="112" t="s">
        <v>643</v>
      </c>
      <c r="B151" s="156" t="s">
        <v>149</v>
      </c>
      <c r="C151" s="156" t="s">
        <v>204</v>
      </c>
      <c r="D151" s="156" t="s">
        <v>202</v>
      </c>
      <c r="E151" s="156" t="s">
        <v>289</v>
      </c>
      <c r="F151" s="6" t="s">
        <v>643</v>
      </c>
      <c r="G151" s="172" t="s">
        <v>965</v>
      </c>
      <c r="H151" s="113" t="s">
        <v>1417</v>
      </c>
      <c r="I151" s="125" t="s">
        <v>20</v>
      </c>
      <c r="J151" s="127">
        <v>3</v>
      </c>
      <c r="K151" s="127"/>
      <c r="L151" s="142">
        <v>220.32</v>
      </c>
      <c r="M151" s="158">
        <f t="shared" si="37"/>
        <v>0</v>
      </c>
      <c r="N151" s="158">
        <f t="shared" si="38"/>
        <v>660.96</v>
      </c>
      <c r="O151" s="158">
        <f t="shared" si="39"/>
        <v>660.96</v>
      </c>
    </row>
    <row r="152" spans="1:17">
      <c r="A152" s="112" t="s">
        <v>644</v>
      </c>
      <c r="B152" s="156" t="s">
        <v>149</v>
      </c>
      <c r="C152" s="156" t="s">
        <v>204</v>
      </c>
      <c r="D152" s="156" t="s">
        <v>202</v>
      </c>
      <c r="E152" s="156" t="s">
        <v>289</v>
      </c>
      <c r="F152" s="6" t="s">
        <v>644</v>
      </c>
      <c r="G152" s="172" t="s">
        <v>579</v>
      </c>
      <c r="H152" s="113" t="s">
        <v>579</v>
      </c>
      <c r="I152" s="125" t="s">
        <v>20</v>
      </c>
      <c r="J152" s="127">
        <v>2</v>
      </c>
      <c r="K152" s="127"/>
      <c r="L152" s="142">
        <v>25</v>
      </c>
      <c r="M152" s="158">
        <f t="shared" si="37"/>
        <v>0</v>
      </c>
      <c r="N152" s="158">
        <f t="shared" si="38"/>
        <v>50</v>
      </c>
      <c r="O152" s="158">
        <f t="shared" si="39"/>
        <v>50</v>
      </c>
    </row>
    <row r="153" spans="1:17">
      <c r="A153" s="112" t="s">
        <v>645</v>
      </c>
      <c r="B153" s="156" t="s">
        <v>149</v>
      </c>
      <c r="C153" s="156" t="s">
        <v>204</v>
      </c>
      <c r="D153" s="156" t="s">
        <v>202</v>
      </c>
      <c r="E153" s="156" t="s">
        <v>289</v>
      </c>
      <c r="F153" s="6" t="s">
        <v>645</v>
      </c>
      <c r="G153" s="172" t="s">
        <v>794</v>
      </c>
      <c r="H153" s="113" t="s">
        <v>794</v>
      </c>
      <c r="I153" s="125" t="s">
        <v>20</v>
      </c>
      <c r="J153" s="127">
        <v>1</v>
      </c>
      <c r="K153" s="127"/>
      <c r="L153" s="142">
        <v>2760</v>
      </c>
      <c r="M153" s="158">
        <f t="shared" si="37"/>
        <v>0</v>
      </c>
      <c r="N153" s="158">
        <f t="shared" si="38"/>
        <v>2760</v>
      </c>
      <c r="O153" s="158">
        <f t="shared" si="39"/>
        <v>2760</v>
      </c>
      <c r="Q153" s="153" t="s">
        <v>703</v>
      </c>
    </row>
    <row r="154" spans="1:17">
      <c r="A154" s="112" t="s">
        <v>646</v>
      </c>
      <c r="B154" s="316" t="s">
        <v>149</v>
      </c>
      <c r="C154" s="316" t="s">
        <v>204</v>
      </c>
      <c r="D154" s="316" t="s">
        <v>202</v>
      </c>
      <c r="E154" s="316" t="s">
        <v>289</v>
      </c>
      <c r="F154" s="112" t="s">
        <v>646</v>
      </c>
      <c r="G154" s="172" t="s">
        <v>795</v>
      </c>
      <c r="H154" s="113" t="s">
        <v>638</v>
      </c>
      <c r="I154" s="125" t="s">
        <v>20</v>
      </c>
      <c r="J154" s="127">
        <v>4</v>
      </c>
      <c r="K154" s="127"/>
      <c r="L154" s="142">
        <v>2500</v>
      </c>
      <c r="M154" s="176">
        <f t="shared" si="37"/>
        <v>0</v>
      </c>
      <c r="N154" s="176">
        <f t="shared" si="38"/>
        <v>10000</v>
      </c>
      <c r="O154" s="176">
        <f t="shared" si="39"/>
        <v>10000</v>
      </c>
      <c r="P154" s="153">
        <f>SUM(N120:N154)</f>
        <v>38947.350000000006</v>
      </c>
      <c r="Q154" s="153" t="s">
        <v>703</v>
      </c>
    </row>
    <row r="155" spans="1:17">
      <c r="A155" s="170" t="s">
        <v>331</v>
      </c>
      <c r="B155" s="170"/>
      <c r="C155" s="170"/>
      <c r="D155" s="170"/>
      <c r="E155" s="170"/>
      <c r="F155" s="170" t="s">
        <v>331</v>
      </c>
      <c r="G155" s="2" t="s">
        <v>330</v>
      </c>
      <c r="H155" s="145"/>
      <c r="I155" s="124"/>
      <c r="J155" s="124"/>
      <c r="K155" s="124"/>
      <c r="L155" s="124"/>
      <c r="M155" s="124">
        <f t="shared" ref="M155:M156" si="40">J155*K155</f>
        <v>0</v>
      </c>
      <c r="N155" s="124">
        <f t="shared" si="38"/>
        <v>0</v>
      </c>
      <c r="O155" s="124">
        <f t="shared" ref="O155:O160" si="41">N155+M155</f>
        <v>0</v>
      </c>
    </row>
    <row r="156" spans="1:17">
      <c r="A156" s="4" t="s">
        <v>332</v>
      </c>
      <c r="B156" s="156"/>
      <c r="C156" s="156"/>
      <c r="D156" s="156"/>
      <c r="E156" s="156"/>
      <c r="F156" s="4" t="s">
        <v>332</v>
      </c>
      <c r="G156" s="5" t="s">
        <v>10</v>
      </c>
      <c r="H156" s="113"/>
      <c r="I156" s="116"/>
      <c r="J156" s="116"/>
      <c r="K156" s="123"/>
      <c r="L156" s="121"/>
      <c r="M156" s="158">
        <f t="shared" si="40"/>
        <v>0</v>
      </c>
      <c r="N156" s="158">
        <f t="shared" ref="N156:N160" si="42">J156*L156</f>
        <v>0</v>
      </c>
      <c r="O156" s="158">
        <f t="shared" si="41"/>
        <v>0</v>
      </c>
    </row>
    <row r="157" spans="1:17">
      <c r="A157" s="6" t="s">
        <v>333</v>
      </c>
      <c r="B157" s="156" t="s">
        <v>193</v>
      </c>
      <c r="C157" s="156" t="s">
        <v>200</v>
      </c>
      <c r="D157" s="156" t="s">
        <v>202</v>
      </c>
      <c r="E157" s="156" t="s">
        <v>330</v>
      </c>
      <c r="F157" s="6" t="s">
        <v>333</v>
      </c>
      <c r="G157" s="157" t="s">
        <v>462</v>
      </c>
      <c r="H157" s="113"/>
      <c r="I157" s="116" t="s">
        <v>201</v>
      </c>
      <c r="J157" s="120">
        <f>16/4</f>
        <v>4</v>
      </c>
      <c r="K157" s="123">
        <v>200</v>
      </c>
      <c r="L157" s="121"/>
      <c r="M157" s="158">
        <f>J157*K157</f>
        <v>800</v>
      </c>
      <c r="N157" s="158">
        <f t="shared" si="42"/>
        <v>0</v>
      </c>
      <c r="O157" s="158">
        <f t="shared" si="41"/>
        <v>800</v>
      </c>
    </row>
    <row r="158" spans="1:17">
      <c r="A158" s="6" t="s">
        <v>334</v>
      </c>
      <c r="B158" s="156" t="s">
        <v>193</v>
      </c>
      <c r="C158" s="156" t="s">
        <v>200</v>
      </c>
      <c r="D158" s="156" t="s">
        <v>202</v>
      </c>
      <c r="E158" s="156" t="s">
        <v>330</v>
      </c>
      <c r="F158" s="6" t="s">
        <v>334</v>
      </c>
      <c r="G158" s="157" t="s">
        <v>463</v>
      </c>
      <c r="H158" s="113"/>
      <c r="I158" s="116" t="s">
        <v>201</v>
      </c>
      <c r="J158" s="120">
        <f t="shared" ref="J158:J160" si="43">16/4</f>
        <v>4</v>
      </c>
      <c r="K158" s="123">
        <v>200</v>
      </c>
      <c r="L158" s="121"/>
      <c r="M158" s="158">
        <f>J158*K158</f>
        <v>800</v>
      </c>
      <c r="N158" s="158">
        <f t="shared" si="42"/>
        <v>0</v>
      </c>
      <c r="O158" s="158">
        <f t="shared" si="41"/>
        <v>800</v>
      </c>
    </row>
    <row r="159" spans="1:17">
      <c r="A159" s="6" t="s">
        <v>337</v>
      </c>
      <c r="B159" s="156" t="s">
        <v>193</v>
      </c>
      <c r="C159" s="156" t="s">
        <v>200</v>
      </c>
      <c r="D159" s="156" t="s">
        <v>202</v>
      </c>
      <c r="E159" s="156" t="s">
        <v>330</v>
      </c>
      <c r="F159" s="6" t="s">
        <v>337</v>
      </c>
      <c r="G159" s="157" t="s">
        <v>464</v>
      </c>
      <c r="H159" s="113"/>
      <c r="I159" s="116" t="s">
        <v>201</v>
      </c>
      <c r="J159" s="120">
        <f t="shared" si="43"/>
        <v>4</v>
      </c>
      <c r="K159" s="123">
        <v>200</v>
      </c>
      <c r="L159" s="121"/>
      <c r="M159" s="158">
        <f>J159*K159</f>
        <v>800</v>
      </c>
      <c r="N159" s="158">
        <f t="shared" si="42"/>
        <v>0</v>
      </c>
      <c r="O159" s="158">
        <f t="shared" si="41"/>
        <v>800</v>
      </c>
    </row>
    <row r="160" spans="1:17">
      <c r="A160" s="6" t="s">
        <v>338</v>
      </c>
      <c r="B160" s="156" t="s">
        <v>193</v>
      </c>
      <c r="C160" s="156" t="s">
        <v>200</v>
      </c>
      <c r="D160" s="156" t="s">
        <v>202</v>
      </c>
      <c r="E160" s="156" t="s">
        <v>330</v>
      </c>
      <c r="F160" s="6" t="s">
        <v>338</v>
      </c>
      <c r="G160" s="157" t="s">
        <v>465</v>
      </c>
      <c r="H160" s="113"/>
      <c r="I160" s="116" t="s">
        <v>201</v>
      </c>
      <c r="J160" s="120">
        <f t="shared" si="43"/>
        <v>4</v>
      </c>
      <c r="K160" s="123">
        <v>200</v>
      </c>
      <c r="L160" s="121"/>
      <c r="M160" s="158">
        <f>J160*K160</f>
        <v>800</v>
      </c>
      <c r="N160" s="158">
        <f t="shared" si="42"/>
        <v>0</v>
      </c>
      <c r="O160" s="158">
        <f t="shared" si="41"/>
        <v>800</v>
      </c>
    </row>
    <row r="161" spans="1:15">
      <c r="A161" s="4" t="s">
        <v>335</v>
      </c>
      <c r="B161" s="156"/>
      <c r="C161" s="156"/>
      <c r="D161" s="156"/>
      <c r="E161" s="156"/>
      <c r="F161" s="4" t="s">
        <v>335</v>
      </c>
      <c r="G161" s="5" t="s">
        <v>15</v>
      </c>
      <c r="H161" s="113"/>
      <c r="I161" s="123"/>
      <c r="J161" s="123"/>
      <c r="K161" s="123"/>
      <c r="L161" s="121"/>
      <c r="M161" s="158">
        <f t="shared" ref="M161" si="44">J161*K161</f>
        <v>0</v>
      </c>
      <c r="N161" s="158">
        <f t="shared" ref="N161" si="45">J161*L161</f>
        <v>0</v>
      </c>
      <c r="O161" s="158">
        <f t="shared" ref="O161" si="46">N161+M161</f>
        <v>0</v>
      </c>
    </row>
    <row r="162" spans="1:15">
      <c r="A162" s="6" t="s">
        <v>336</v>
      </c>
      <c r="B162" s="156" t="s">
        <v>149</v>
      </c>
      <c r="C162" s="156" t="s">
        <v>204</v>
      </c>
      <c r="D162" s="156" t="s">
        <v>202</v>
      </c>
      <c r="E162" s="156" t="s">
        <v>330</v>
      </c>
      <c r="F162" s="6" t="s">
        <v>336</v>
      </c>
      <c r="G162" s="162" t="s">
        <v>796</v>
      </c>
      <c r="H162" s="113" t="s">
        <v>573</v>
      </c>
      <c r="I162" s="116" t="s">
        <v>20</v>
      </c>
      <c r="J162" s="123">
        <v>1</v>
      </c>
      <c r="K162" s="123"/>
      <c r="L162" s="121">
        <v>115</v>
      </c>
      <c r="M162" s="158">
        <f t="shared" ref="M162:M196" si="47">J162*K162</f>
        <v>0</v>
      </c>
      <c r="N162" s="158">
        <f t="shared" ref="N162:N197" si="48">J162*L162</f>
        <v>115</v>
      </c>
      <c r="O162" s="158">
        <f t="shared" ref="O162:O196" si="49">M162+N162</f>
        <v>115</v>
      </c>
    </row>
    <row r="163" spans="1:15">
      <c r="A163" s="6" t="s">
        <v>339</v>
      </c>
      <c r="B163" s="156" t="s">
        <v>149</v>
      </c>
      <c r="C163" s="156" t="s">
        <v>204</v>
      </c>
      <c r="D163" s="156" t="s">
        <v>202</v>
      </c>
      <c r="E163" s="156" t="s">
        <v>330</v>
      </c>
      <c r="F163" s="6" t="s">
        <v>339</v>
      </c>
      <c r="G163" s="162" t="s">
        <v>797</v>
      </c>
      <c r="H163" s="174" t="s">
        <v>573</v>
      </c>
      <c r="I163" s="116" t="s">
        <v>20</v>
      </c>
      <c r="J163" s="123">
        <v>1</v>
      </c>
      <c r="K163" s="123"/>
      <c r="L163" s="121">
        <v>201</v>
      </c>
      <c r="M163" s="158">
        <f t="shared" si="47"/>
        <v>0</v>
      </c>
      <c r="N163" s="158">
        <f t="shared" si="48"/>
        <v>201</v>
      </c>
      <c r="O163" s="158">
        <f t="shared" si="49"/>
        <v>201</v>
      </c>
    </row>
    <row r="164" spans="1:15">
      <c r="A164" s="6" t="s">
        <v>340</v>
      </c>
      <c r="B164" s="156" t="s">
        <v>149</v>
      </c>
      <c r="C164" s="156" t="s">
        <v>204</v>
      </c>
      <c r="D164" s="156" t="s">
        <v>202</v>
      </c>
      <c r="E164" s="156" t="s">
        <v>330</v>
      </c>
      <c r="F164" s="6" t="s">
        <v>340</v>
      </c>
      <c r="G164" s="162" t="s">
        <v>798</v>
      </c>
      <c r="H164" s="174" t="s">
        <v>573</v>
      </c>
      <c r="I164" s="116" t="s">
        <v>20</v>
      </c>
      <c r="J164" s="123">
        <v>1</v>
      </c>
      <c r="K164" s="123"/>
      <c r="L164" s="121">
        <v>305</v>
      </c>
      <c r="M164" s="158">
        <f t="shared" si="47"/>
        <v>0</v>
      </c>
      <c r="N164" s="158">
        <f t="shared" si="48"/>
        <v>305</v>
      </c>
      <c r="O164" s="158">
        <f t="shared" si="49"/>
        <v>305</v>
      </c>
    </row>
    <row r="165" spans="1:15">
      <c r="A165" s="6" t="s">
        <v>341</v>
      </c>
      <c r="B165" s="156" t="s">
        <v>149</v>
      </c>
      <c r="C165" s="156" t="s">
        <v>204</v>
      </c>
      <c r="D165" s="156" t="s">
        <v>202</v>
      </c>
      <c r="E165" s="156" t="s">
        <v>330</v>
      </c>
      <c r="F165" s="6" t="s">
        <v>341</v>
      </c>
      <c r="G165" s="162" t="s">
        <v>799</v>
      </c>
      <c r="H165" s="174" t="s">
        <v>573</v>
      </c>
      <c r="I165" s="116" t="s">
        <v>20</v>
      </c>
      <c r="J165" s="123">
        <v>1</v>
      </c>
      <c r="K165" s="123"/>
      <c r="L165" s="121">
        <v>622</v>
      </c>
      <c r="M165" s="158">
        <f t="shared" si="47"/>
        <v>0</v>
      </c>
      <c r="N165" s="158">
        <f t="shared" si="48"/>
        <v>622</v>
      </c>
      <c r="O165" s="158">
        <f t="shared" si="49"/>
        <v>622</v>
      </c>
    </row>
    <row r="166" spans="1:15">
      <c r="A166" s="6" t="s">
        <v>342</v>
      </c>
      <c r="B166" s="156" t="s">
        <v>149</v>
      </c>
      <c r="C166" s="156" t="s">
        <v>204</v>
      </c>
      <c r="D166" s="156" t="s">
        <v>202</v>
      </c>
      <c r="E166" s="156" t="s">
        <v>330</v>
      </c>
      <c r="F166" s="6" t="s">
        <v>342</v>
      </c>
      <c r="G166" s="162" t="s">
        <v>800</v>
      </c>
      <c r="H166" s="174" t="s">
        <v>1386</v>
      </c>
      <c r="I166" s="116" t="s">
        <v>20</v>
      </c>
      <c r="J166" s="123">
        <v>3</v>
      </c>
      <c r="K166" s="123"/>
      <c r="L166" s="121">
        <v>260</v>
      </c>
      <c r="M166" s="158">
        <f t="shared" si="47"/>
        <v>0</v>
      </c>
      <c r="N166" s="158">
        <f t="shared" si="48"/>
        <v>780</v>
      </c>
      <c r="O166" s="158">
        <f t="shared" si="49"/>
        <v>780</v>
      </c>
    </row>
    <row r="167" spans="1:15">
      <c r="A167" s="6" t="s">
        <v>343</v>
      </c>
      <c r="B167" s="156" t="s">
        <v>149</v>
      </c>
      <c r="C167" s="156" t="s">
        <v>204</v>
      </c>
      <c r="D167" s="156" t="s">
        <v>202</v>
      </c>
      <c r="E167" s="156" t="s">
        <v>330</v>
      </c>
      <c r="F167" s="6" t="s">
        <v>343</v>
      </c>
      <c r="G167" s="162" t="s">
        <v>801</v>
      </c>
      <c r="H167" s="174" t="s">
        <v>1386</v>
      </c>
      <c r="I167" s="116" t="s">
        <v>20</v>
      </c>
      <c r="J167" s="123">
        <v>2</v>
      </c>
      <c r="K167" s="123"/>
      <c r="L167" s="121">
        <v>98</v>
      </c>
      <c r="M167" s="158">
        <f t="shared" si="47"/>
        <v>0</v>
      </c>
      <c r="N167" s="158">
        <f t="shared" si="48"/>
        <v>196</v>
      </c>
      <c r="O167" s="158">
        <f t="shared" si="49"/>
        <v>196</v>
      </c>
    </row>
    <row r="168" spans="1:15">
      <c r="A168" s="6" t="s">
        <v>344</v>
      </c>
      <c r="B168" s="156" t="s">
        <v>149</v>
      </c>
      <c r="C168" s="156" t="s">
        <v>204</v>
      </c>
      <c r="D168" s="156" t="s">
        <v>202</v>
      </c>
      <c r="E168" s="156" t="s">
        <v>330</v>
      </c>
      <c r="F168" s="6" t="s">
        <v>344</v>
      </c>
      <c r="G168" s="162" t="s">
        <v>802</v>
      </c>
      <c r="H168" s="113" t="s">
        <v>1786</v>
      </c>
      <c r="I168" s="116" t="s">
        <v>20</v>
      </c>
      <c r="J168" s="123">
        <v>1</v>
      </c>
      <c r="K168" s="123"/>
      <c r="L168" s="121">
        <v>87</v>
      </c>
      <c r="M168" s="158">
        <f t="shared" si="47"/>
        <v>0</v>
      </c>
      <c r="N168" s="158">
        <f t="shared" si="48"/>
        <v>87</v>
      </c>
      <c r="O168" s="158">
        <f t="shared" si="49"/>
        <v>87</v>
      </c>
    </row>
    <row r="169" spans="1:15">
      <c r="A169" s="6" t="s">
        <v>345</v>
      </c>
      <c r="B169" s="156" t="s">
        <v>149</v>
      </c>
      <c r="C169" s="156" t="s">
        <v>204</v>
      </c>
      <c r="D169" s="156" t="s">
        <v>202</v>
      </c>
      <c r="E169" s="156" t="s">
        <v>330</v>
      </c>
      <c r="F169" s="6" t="s">
        <v>345</v>
      </c>
      <c r="G169" s="162" t="s">
        <v>803</v>
      </c>
      <c r="H169" s="113" t="s">
        <v>555</v>
      </c>
      <c r="I169" s="116" t="s">
        <v>20</v>
      </c>
      <c r="J169" s="123">
        <v>1</v>
      </c>
      <c r="K169" s="123"/>
      <c r="L169" s="121">
        <v>129</v>
      </c>
      <c r="M169" s="158">
        <f t="shared" si="47"/>
        <v>0</v>
      </c>
      <c r="N169" s="158">
        <f t="shared" si="48"/>
        <v>129</v>
      </c>
      <c r="O169" s="158">
        <f t="shared" si="49"/>
        <v>129</v>
      </c>
    </row>
    <row r="170" spans="1:15">
      <c r="A170" s="6" t="s">
        <v>346</v>
      </c>
      <c r="B170" s="156" t="s">
        <v>149</v>
      </c>
      <c r="C170" s="156" t="s">
        <v>204</v>
      </c>
      <c r="D170" s="156" t="s">
        <v>202</v>
      </c>
      <c r="E170" s="156" t="s">
        <v>330</v>
      </c>
      <c r="F170" s="6" t="s">
        <v>346</v>
      </c>
      <c r="G170" s="162" t="s">
        <v>804</v>
      </c>
      <c r="H170" s="113" t="s">
        <v>557</v>
      </c>
      <c r="I170" s="116" t="s">
        <v>20</v>
      </c>
      <c r="J170" s="123">
        <v>1</v>
      </c>
      <c r="K170" s="123"/>
      <c r="L170" s="121">
        <v>268</v>
      </c>
      <c r="M170" s="158">
        <f t="shared" si="47"/>
        <v>0</v>
      </c>
      <c r="N170" s="158">
        <f t="shared" si="48"/>
        <v>268</v>
      </c>
      <c r="O170" s="158">
        <f t="shared" si="49"/>
        <v>268</v>
      </c>
    </row>
    <row r="171" spans="1:15">
      <c r="A171" s="6" t="s">
        <v>347</v>
      </c>
      <c r="B171" s="156" t="s">
        <v>149</v>
      </c>
      <c r="C171" s="156" t="s">
        <v>204</v>
      </c>
      <c r="D171" s="156" t="s">
        <v>202</v>
      </c>
      <c r="E171" s="156" t="s">
        <v>330</v>
      </c>
      <c r="F171" s="6" t="s">
        <v>347</v>
      </c>
      <c r="G171" s="162" t="s">
        <v>805</v>
      </c>
      <c r="H171" s="113" t="s">
        <v>557</v>
      </c>
      <c r="I171" s="116" t="s">
        <v>20</v>
      </c>
      <c r="J171" s="123">
        <v>1</v>
      </c>
      <c r="K171" s="123"/>
      <c r="L171" s="121">
        <v>87</v>
      </c>
      <c r="M171" s="158">
        <f t="shared" si="47"/>
        <v>0</v>
      </c>
      <c r="N171" s="158">
        <f t="shared" si="48"/>
        <v>87</v>
      </c>
      <c r="O171" s="158">
        <f t="shared" si="49"/>
        <v>87</v>
      </c>
    </row>
    <row r="172" spans="1:15">
      <c r="A172" s="6" t="s">
        <v>348</v>
      </c>
      <c r="B172" s="156" t="s">
        <v>149</v>
      </c>
      <c r="C172" s="156" t="s">
        <v>204</v>
      </c>
      <c r="D172" s="156" t="s">
        <v>202</v>
      </c>
      <c r="E172" s="156" t="s">
        <v>330</v>
      </c>
      <c r="F172" s="6" t="s">
        <v>348</v>
      </c>
      <c r="G172" s="162" t="s">
        <v>806</v>
      </c>
      <c r="H172" s="113" t="s">
        <v>807</v>
      </c>
      <c r="I172" s="116" t="s">
        <v>20</v>
      </c>
      <c r="J172" s="123">
        <v>1</v>
      </c>
      <c r="K172" s="123"/>
      <c r="L172" s="121">
        <v>125</v>
      </c>
      <c r="M172" s="158">
        <f t="shared" si="47"/>
        <v>0</v>
      </c>
      <c r="N172" s="158">
        <f t="shared" si="48"/>
        <v>125</v>
      </c>
      <c r="O172" s="158">
        <f t="shared" si="49"/>
        <v>125</v>
      </c>
    </row>
    <row r="173" spans="1:15">
      <c r="A173" s="6" t="s">
        <v>349</v>
      </c>
      <c r="B173" s="156" t="s">
        <v>149</v>
      </c>
      <c r="C173" s="156" t="s">
        <v>204</v>
      </c>
      <c r="D173" s="156" t="s">
        <v>202</v>
      </c>
      <c r="E173" s="156" t="s">
        <v>330</v>
      </c>
      <c r="F173" s="6" t="s">
        <v>349</v>
      </c>
      <c r="G173" s="162" t="s">
        <v>808</v>
      </c>
      <c r="H173" s="113" t="s">
        <v>1661</v>
      </c>
      <c r="I173" s="116" t="s">
        <v>20</v>
      </c>
      <c r="J173" s="123">
        <v>1</v>
      </c>
      <c r="K173" s="123"/>
      <c r="L173" s="121">
        <v>176.4</v>
      </c>
      <c r="M173" s="158">
        <f t="shared" si="47"/>
        <v>0</v>
      </c>
      <c r="N173" s="158">
        <f t="shared" si="48"/>
        <v>176.4</v>
      </c>
      <c r="O173" s="158">
        <f t="shared" si="49"/>
        <v>176.4</v>
      </c>
    </row>
    <row r="174" spans="1:15">
      <c r="A174" s="6" t="s">
        <v>350</v>
      </c>
      <c r="B174" s="156" t="s">
        <v>149</v>
      </c>
      <c r="C174" s="156" t="s">
        <v>204</v>
      </c>
      <c r="D174" s="156" t="s">
        <v>202</v>
      </c>
      <c r="E174" s="156" t="s">
        <v>330</v>
      </c>
      <c r="F174" s="6" t="s">
        <v>350</v>
      </c>
      <c r="G174" s="162" t="s">
        <v>810</v>
      </c>
      <c r="H174" s="113" t="s">
        <v>576</v>
      </c>
      <c r="I174" s="116" t="s">
        <v>20</v>
      </c>
      <c r="J174" s="123">
        <v>1</v>
      </c>
      <c r="K174" s="123"/>
      <c r="L174" s="121">
        <v>267</v>
      </c>
      <c r="M174" s="158">
        <f t="shared" si="47"/>
        <v>0</v>
      </c>
      <c r="N174" s="158">
        <f t="shared" si="48"/>
        <v>267</v>
      </c>
      <c r="O174" s="158">
        <f t="shared" si="49"/>
        <v>267</v>
      </c>
    </row>
    <row r="175" spans="1:15">
      <c r="A175" s="6" t="s">
        <v>351</v>
      </c>
      <c r="B175" s="156" t="s">
        <v>149</v>
      </c>
      <c r="C175" s="156" t="s">
        <v>204</v>
      </c>
      <c r="D175" s="156" t="s">
        <v>202</v>
      </c>
      <c r="E175" s="156" t="s">
        <v>330</v>
      </c>
      <c r="F175" s="6" t="s">
        <v>351</v>
      </c>
      <c r="G175" s="162" t="s">
        <v>811</v>
      </c>
      <c r="H175" s="174" t="s">
        <v>576</v>
      </c>
      <c r="I175" s="116" t="s">
        <v>20</v>
      </c>
      <c r="J175" s="123">
        <v>1</v>
      </c>
      <c r="K175" s="123"/>
      <c r="L175" s="121">
        <v>723</v>
      </c>
      <c r="M175" s="158">
        <f t="shared" si="47"/>
        <v>0</v>
      </c>
      <c r="N175" s="158">
        <f t="shared" si="48"/>
        <v>723</v>
      </c>
      <c r="O175" s="158">
        <f t="shared" si="49"/>
        <v>723</v>
      </c>
    </row>
    <row r="176" spans="1:15">
      <c r="A176" s="6" t="s">
        <v>352</v>
      </c>
      <c r="B176" s="156" t="s">
        <v>149</v>
      </c>
      <c r="C176" s="156" t="s">
        <v>204</v>
      </c>
      <c r="D176" s="156" t="s">
        <v>202</v>
      </c>
      <c r="E176" s="156" t="s">
        <v>330</v>
      </c>
      <c r="F176" s="6" t="s">
        <v>352</v>
      </c>
      <c r="G176" s="162" t="s">
        <v>812</v>
      </c>
      <c r="H176" s="113" t="s">
        <v>558</v>
      </c>
      <c r="I176" s="116" t="s">
        <v>20</v>
      </c>
      <c r="J176" s="123">
        <v>3</v>
      </c>
      <c r="K176" s="123"/>
      <c r="L176" s="121">
        <v>117</v>
      </c>
      <c r="M176" s="158">
        <f t="shared" si="47"/>
        <v>0</v>
      </c>
      <c r="N176" s="158">
        <f t="shared" si="48"/>
        <v>351</v>
      </c>
      <c r="O176" s="158">
        <f t="shared" si="49"/>
        <v>351</v>
      </c>
    </row>
    <row r="177" spans="1:15">
      <c r="A177" s="6" t="s">
        <v>353</v>
      </c>
      <c r="B177" s="156" t="s">
        <v>149</v>
      </c>
      <c r="C177" s="156" t="s">
        <v>204</v>
      </c>
      <c r="D177" s="156" t="s">
        <v>202</v>
      </c>
      <c r="E177" s="156" t="s">
        <v>330</v>
      </c>
      <c r="F177" s="6" t="s">
        <v>353</v>
      </c>
      <c r="G177" s="162" t="s">
        <v>813</v>
      </c>
      <c r="H177" s="174" t="s">
        <v>558</v>
      </c>
      <c r="I177" s="116" t="s">
        <v>20</v>
      </c>
      <c r="J177" s="123">
        <v>5</v>
      </c>
      <c r="K177" s="123"/>
      <c r="L177" s="121">
        <v>77</v>
      </c>
      <c r="M177" s="158">
        <f t="shared" si="47"/>
        <v>0</v>
      </c>
      <c r="N177" s="158">
        <f t="shared" si="48"/>
        <v>385</v>
      </c>
      <c r="O177" s="158">
        <f t="shared" si="49"/>
        <v>385</v>
      </c>
    </row>
    <row r="178" spans="1:15">
      <c r="A178" s="6" t="s">
        <v>354</v>
      </c>
      <c r="B178" s="156" t="s">
        <v>149</v>
      </c>
      <c r="C178" s="156" t="s">
        <v>204</v>
      </c>
      <c r="D178" s="156" t="s">
        <v>202</v>
      </c>
      <c r="E178" s="156" t="s">
        <v>330</v>
      </c>
      <c r="F178" s="6" t="s">
        <v>354</v>
      </c>
      <c r="G178" s="162" t="s">
        <v>814</v>
      </c>
      <c r="H178" s="174" t="s">
        <v>1906</v>
      </c>
      <c r="I178" s="116" t="s">
        <v>295</v>
      </c>
      <c r="J178" s="123">
        <v>14</v>
      </c>
      <c r="K178" s="123"/>
      <c r="L178" s="121">
        <v>87</v>
      </c>
      <c r="M178" s="158">
        <f t="shared" si="47"/>
        <v>0</v>
      </c>
      <c r="N178" s="158">
        <f t="shared" si="48"/>
        <v>1218</v>
      </c>
      <c r="O178" s="158">
        <f t="shared" si="49"/>
        <v>1218</v>
      </c>
    </row>
    <row r="179" spans="1:15">
      <c r="A179" s="6" t="s">
        <v>355</v>
      </c>
      <c r="B179" s="156" t="s">
        <v>149</v>
      </c>
      <c r="C179" s="156" t="s">
        <v>204</v>
      </c>
      <c r="D179" s="156" t="s">
        <v>202</v>
      </c>
      <c r="E179" s="156" t="s">
        <v>330</v>
      </c>
      <c r="F179" s="6" t="s">
        <v>355</v>
      </c>
      <c r="G179" s="162" t="s">
        <v>815</v>
      </c>
      <c r="H179" s="113" t="s">
        <v>1386</v>
      </c>
      <c r="I179" s="116" t="s">
        <v>20</v>
      </c>
      <c r="J179" s="123">
        <v>7</v>
      </c>
      <c r="K179" s="123"/>
      <c r="L179" s="121">
        <v>68</v>
      </c>
      <c r="M179" s="158">
        <f t="shared" si="47"/>
        <v>0</v>
      </c>
      <c r="N179" s="158">
        <f t="shared" si="48"/>
        <v>476</v>
      </c>
      <c r="O179" s="158">
        <f t="shared" si="49"/>
        <v>476</v>
      </c>
    </row>
    <row r="180" spans="1:15">
      <c r="A180" s="6" t="s">
        <v>356</v>
      </c>
      <c r="B180" s="156" t="s">
        <v>149</v>
      </c>
      <c r="C180" s="156" t="s">
        <v>204</v>
      </c>
      <c r="D180" s="156" t="s">
        <v>202</v>
      </c>
      <c r="E180" s="156" t="s">
        <v>330</v>
      </c>
      <c r="F180" s="6" t="s">
        <v>356</v>
      </c>
      <c r="G180" s="162" t="s">
        <v>816</v>
      </c>
      <c r="H180" s="113" t="s">
        <v>565</v>
      </c>
      <c r="I180" s="116" t="s">
        <v>20</v>
      </c>
      <c r="J180" s="123">
        <v>2</v>
      </c>
      <c r="K180" s="123"/>
      <c r="L180" s="121">
        <v>77</v>
      </c>
      <c r="M180" s="158">
        <f t="shared" si="47"/>
        <v>0</v>
      </c>
      <c r="N180" s="158">
        <f t="shared" si="48"/>
        <v>154</v>
      </c>
      <c r="O180" s="158">
        <f t="shared" si="49"/>
        <v>154</v>
      </c>
    </row>
    <row r="181" spans="1:15">
      <c r="A181" s="6" t="s">
        <v>357</v>
      </c>
      <c r="B181" s="156" t="s">
        <v>149</v>
      </c>
      <c r="C181" s="156" t="s">
        <v>204</v>
      </c>
      <c r="D181" s="156" t="s">
        <v>202</v>
      </c>
      <c r="E181" s="156" t="s">
        <v>330</v>
      </c>
      <c r="F181" s="6" t="s">
        <v>357</v>
      </c>
      <c r="G181" s="161" t="s">
        <v>817</v>
      </c>
      <c r="H181" s="113" t="s">
        <v>557</v>
      </c>
      <c r="I181" s="116" t="s">
        <v>20</v>
      </c>
      <c r="J181" s="123">
        <v>1</v>
      </c>
      <c r="K181" s="123"/>
      <c r="L181" s="121">
        <v>73.400000000000006</v>
      </c>
      <c r="M181" s="158">
        <f t="shared" si="47"/>
        <v>0</v>
      </c>
      <c r="N181" s="158">
        <f t="shared" si="48"/>
        <v>73.400000000000006</v>
      </c>
      <c r="O181" s="158">
        <f t="shared" si="49"/>
        <v>73.400000000000006</v>
      </c>
    </row>
    <row r="182" spans="1:15">
      <c r="A182" s="6" t="s">
        <v>358</v>
      </c>
      <c r="B182" s="156" t="s">
        <v>149</v>
      </c>
      <c r="C182" s="156" t="s">
        <v>204</v>
      </c>
      <c r="D182" s="156" t="s">
        <v>202</v>
      </c>
      <c r="E182" s="156" t="s">
        <v>330</v>
      </c>
      <c r="F182" s="6" t="s">
        <v>358</v>
      </c>
      <c r="G182" s="162" t="s">
        <v>818</v>
      </c>
      <c r="H182" s="113" t="s">
        <v>557</v>
      </c>
      <c r="I182" s="116" t="s">
        <v>20</v>
      </c>
      <c r="J182" s="123">
        <v>1</v>
      </c>
      <c r="K182" s="123"/>
      <c r="L182" s="121">
        <v>73.400000000000006</v>
      </c>
      <c r="M182" s="158">
        <f t="shared" si="47"/>
        <v>0</v>
      </c>
      <c r="N182" s="158">
        <f t="shared" si="48"/>
        <v>73.400000000000006</v>
      </c>
      <c r="O182" s="158">
        <f t="shared" si="49"/>
        <v>73.400000000000006</v>
      </c>
    </row>
    <row r="183" spans="1:15">
      <c r="A183" s="6" t="s">
        <v>359</v>
      </c>
      <c r="B183" s="156" t="s">
        <v>149</v>
      </c>
      <c r="C183" s="156" t="s">
        <v>204</v>
      </c>
      <c r="D183" s="156" t="s">
        <v>202</v>
      </c>
      <c r="E183" s="156" t="s">
        <v>330</v>
      </c>
      <c r="F183" s="6" t="s">
        <v>359</v>
      </c>
      <c r="G183" s="162" t="s">
        <v>819</v>
      </c>
      <c r="H183" s="113" t="s">
        <v>1718</v>
      </c>
      <c r="I183" s="116" t="s">
        <v>20</v>
      </c>
      <c r="J183" s="123">
        <v>7</v>
      </c>
      <c r="K183" s="123"/>
      <c r="L183" s="121">
        <v>67</v>
      </c>
      <c r="M183" s="158">
        <f t="shared" si="47"/>
        <v>0</v>
      </c>
      <c r="N183" s="158">
        <f t="shared" si="48"/>
        <v>469</v>
      </c>
      <c r="O183" s="158">
        <f t="shared" si="49"/>
        <v>469</v>
      </c>
    </row>
    <row r="184" spans="1:15">
      <c r="A184" s="6" t="s">
        <v>360</v>
      </c>
      <c r="B184" s="156" t="s">
        <v>149</v>
      </c>
      <c r="C184" s="156" t="s">
        <v>204</v>
      </c>
      <c r="D184" s="156" t="s">
        <v>202</v>
      </c>
      <c r="E184" s="156" t="s">
        <v>330</v>
      </c>
      <c r="F184" s="6" t="s">
        <v>360</v>
      </c>
      <c r="G184" s="162" t="s">
        <v>820</v>
      </c>
      <c r="H184" s="113" t="s">
        <v>559</v>
      </c>
      <c r="I184" s="116" t="s">
        <v>20</v>
      </c>
      <c r="J184" s="123">
        <v>6</v>
      </c>
      <c r="K184" s="123"/>
      <c r="L184" s="121">
        <v>324</v>
      </c>
      <c r="M184" s="158">
        <f t="shared" si="47"/>
        <v>0</v>
      </c>
      <c r="N184" s="158">
        <f t="shared" si="48"/>
        <v>1944</v>
      </c>
      <c r="O184" s="158">
        <f t="shared" si="49"/>
        <v>1944</v>
      </c>
    </row>
    <row r="185" spans="1:15">
      <c r="A185" s="6" t="s">
        <v>361</v>
      </c>
      <c r="B185" s="156" t="s">
        <v>149</v>
      </c>
      <c r="C185" s="156" t="s">
        <v>204</v>
      </c>
      <c r="D185" s="156" t="s">
        <v>202</v>
      </c>
      <c r="E185" s="156" t="s">
        <v>330</v>
      </c>
      <c r="F185" s="6" t="s">
        <v>361</v>
      </c>
      <c r="G185" s="162" t="s">
        <v>821</v>
      </c>
      <c r="H185" s="113" t="s">
        <v>1050</v>
      </c>
      <c r="I185" s="116" t="s">
        <v>20</v>
      </c>
      <c r="J185" s="123">
        <v>3</v>
      </c>
      <c r="K185" s="123"/>
      <c r="L185" s="121">
        <v>116.4</v>
      </c>
      <c r="M185" s="158">
        <f t="shared" si="47"/>
        <v>0</v>
      </c>
      <c r="N185" s="158">
        <f t="shared" si="48"/>
        <v>349.20000000000005</v>
      </c>
      <c r="O185" s="158">
        <f t="shared" si="49"/>
        <v>349.20000000000005</v>
      </c>
    </row>
    <row r="186" spans="1:15">
      <c r="A186" s="6" t="s">
        <v>362</v>
      </c>
      <c r="B186" s="156" t="s">
        <v>149</v>
      </c>
      <c r="C186" s="156" t="s">
        <v>204</v>
      </c>
      <c r="D186" s="156" t="s">
        <v>202</v>
      </c>
      <c r="E186" s="156" t="s">
        <v>330</v>
      </c>
      <c r="F186" s="6" t="s">
        <v>362</v>
      </c>
      <c r="G186" s="162" t="s">
        <v>658</v>
      </c>
      <c r="H186" s="113" t="s">
        <v>1718</v>
      </c>
      <c r="I186" s="116" t="s">
        <v>20</v>
      </c>
      <c r="J186" s="123">
        <v>1</v>
      </c>
      <c r="K186" s="123"/>
      <c r="L186" s="121">
        <v>111</v>
      </c>
      <c r="M186" s="158">
        <f t="shared" si="47"/>
        <v>0</v>
      </c>
      <c r="N186" s="158">
        <f t="shared" si="48"/>
        <v>111</v>
      </c>
      <c r="O186" s="158">
        <f t="shared" si="49"/>
        <v>111</v>
      </c>
    </row>
    <row r="187" spans="1:15">
      <c r="A187" s="6" t="s">
        <v>363</v>
      </c>
      <c r="B187" s="156" t="s">
        <v>149</v>
      </c>
      <c r="C187" s="156" t="s">
        <v>204</v>
      </c>
      <c r="D187" s="156" t="s">
        <v>202</v>
      </c>
      <c r="E187" s="156" t="s">
        <v>330</v>
      </c>
      <c r="F187" s="6" t="s">
        <v>363</v>
      </c>
      <c r="G187" s="162" t="s">
        <v>659</v>
      </c>
      <c r="H187" s="113" t="s">
        <v>651</v>
      </c>
      <c r="I187" s="116" t="s">
        <v>20</v>
      </c>
      <c r="J187" s="123">
        <v>1</v>
      </c>
      <c r="K187" s="123"/>
      <c r="L187" s="121">
        <v>196.6</v>
      </c>
      <c r="M187" s="158">
        <f t="shared" si="47"/>
        <v>0</v>
      </c>
      <c r="N187" s="158">
        <f t="shared" si="48"/>
        <v>196.6</v>
      </c>
      <c r="O187" s="158">
        <f t="shared" si="49"/>
        <v>196.6</v>
      </c>
    </row>
    <row r="188" spans="1:15">
      <c r="A188" s="6" t="s">
        <v>364</v>
      </c>
      <c r="B188" s="156" t="s">
        <v>149</v>
      </c>
      <c r="C188" s="156" t="s">
        <v>204</v>
      </c>
      <c r="D188" s="156" t="s">
        <v>202</v>
      </c>
      <c r="E188" s="156" t="s">
        <v>330</v>
      </c>
      <c r="F188" s="6" t="s">
        <v>364</v>
      </c>
      <c r="G188" s="162" t="s">
        <v>966</v>
      </c>
      <c r="H188" s="113" t="s">
        <v>1489</v>
      </c>
      <c r="I188" s="116" t="s">
        <v>20</v>
      </c>
      <c r="J188" s="123">
        <v>3</v>
      </c>
      <c r="K188" s="123"/>
      <c r="L188" s="121">
        <v>129.80000000000001</v>
      </c>
      <c r="M188" s="158">
        <f t="shared" si="47"/>
        <v>0</v>
      </c>
      <c r="N188" s="158">
        <f t="shared" si="48"/>
        <v>389.40000000000003</v>
      </c>
      <c r="O188" s="158">
        <f t="shared" si="49"/>
        <v>389.40000000000003</v>
      </c>
    </row>
    <row r="189" spans="1:15">
      <c r="A189" s="6" t="s">
        <v>365</v>
      </c>
      <c r="B189" s="156" t="s">
        <v>149</v>
      </c>
      <c r="C189" s="156" t="s">
        <v>204</v>
      </c>
      <c r="D189" s="156" t="s">
        <v>202</v>
      </c>
      <c r="E189" s="156" t="s">
        <v>330</v>
      </c>
      <c r="F189" s="6" t="s">
        <v>365</v>
      </c>
      <c r="G189" s="162" t="s">
        <v>823</v>
      </c>
      <c r="H189" s="113" t="s">
        <v>1906</v>
      </c>
      <c r="I189" s="116" t="s">
        <v>295</v>
      </c>
      <c r="J189" s="123">
        <v>50</v>
      </c>
      <c r="K189" s="123"/>
      <c r="L189" s="121">
        <v>29</v>
      </c>
      <c r="M189" s="158">
        <f t="shared" si="47"/>
        <v>0</v>
      </c>
      <c r="N189" s="158">
        <f t="shared" si="48"/>
        <v>1450</v>
      </c>
      <c r="O189" s="158">
        <f t="shared" si="49"/>
        <v>1450</v>
      </c>
    </row>
    <row r="190" spans="1:15">
      <c r="A190" s="6" t="s">
        <v>366</v>
      </c>
      <c r="B190" s="156" t="s">
        <v>149</v>
      </c>
      <c r="C190" s="156" t="s">
        <v>204</v>
      </c>
      <c r="D190" s="156" t="s">
        <v>202</v>
      </c>
      <c r="E190" s="156" t="s">
        <v>330</v>
      </c>
      <c r="F190" s="6" t="s">
        <v>366</v>
      </c>
      <c r="G190" s="162" t="s">
        <v>660</v>
      </c>
      <c r="H190" s="113" t="s">
        <v>657</v>
      </c>
      <c r="I190" s="116" t="s">
        <v>20</v>
      </c>
      <c r="J190" s="123">
        <v>14</v>
      </c>
      <c r="K190" s="123"/>
      <c r="L190" s="121">
        <v>66</v>
      </c>
      <c r="M190" s="158">
        <f t="shared" si="47"/>
        <v>0</v>
      </c>
      <c r="N190" s="158">
        <f t="shared" si="48"/>
        <v>924</v>
      </c>
      <c r="O190" s="158">
        <f t="shared" si="49"/>
        <v>924</v>
      </c>
    </row>
    <row r="191" spans="1:15">
      <c r="A191" s="6" t="s">
        <v>367</v>
      </c>
      <c r="B191" s="156" t="s">
        <v>149</v>
      </c>
      <c r="C191" s="156" t="s">
        <v>204</v>
      </c>
      <c r="D191" s="156" t="s">
        <v>202</v>
      </c>
      <c r="E191" s="156" t="s">
        <v>330</v>
      </c>
      <c r="F191" s="6" t="s">
        <v>367</v>
      </c>
      <c r="G191" s="162" t="s">
        <v>967</v>
      </c>
      <c r="H191" s="113" t="s">
        <v>3246</v>
      </c>
      <c r="I191" s="116" t="s">
        <v>20</v>
      </c>
      <c r="J191" s="123">
        <v>1</v>
      </c>
      <c r="K191" s="123"/>
      <c r="L191" s="121">
        <v>208</v>
      </c>
      <c r="M191" s="158">
        <f t="shared" si="47"/>
        <v>0</v>
      </c>
      <c r="N191" s="158">
        <f t="shared" si="48"/>
        <v>208</v>
      </c>
      <c r="O191" s="158">
        <f t="shared" si="49"/>
        <v>208</v>
      </c>
    </row>
    <row r="192" spans="1:15">
      <c r="A192" s="6" t="s">
        <v>368</v>
      </c>
      <c r="B192" s="156" t="s">
        <v>149</v>
      </c>
      <c r="C192" s="156" t="s">
        <v>204</v>
      </c>
      <c r="D192" s="156" t="s">
        <v>202</v>
      </c>
      <c r="E192" s="156" t="s">
        <v>330</v>
      </c>
      <c r="F192" s="6" t="s">
        <v>368</v>
      </c>
      <c r="G192" s="162" t="s">
        <v>652</v>
      </c>
      <c r="H192" s="160" t="s">
        <v>652</v>
      </c>
      <c r="I192" s="116" t="s">
        <v>20</v>
      </c>
      <c r="J192" s="123">
        <v>1</v>
      </c>
      <c r="K192" s="123"/>
      <c r="L192" s="121">
        <v>6700</v>
      </c>
      <c r="M192" s="158">
        <f t="shared" si="47"/>
        <v>0</v>
      </c>
      <c r="N192" s="158">
        <f t="shared" si="48"/>
        <v>6700</v>
      </c>
      <c r="O192" s="158">
        <f t="shared" si="49"/>
        <v>6700</v>
      </c>
    </row>
    <row r="193" spans="1:17">
      <c r="A193" s="6" t="s">
        <v>1011</v>
      </c>
      <c r="B193" s="156" t="s">
        <v>149</v>
      </c>
      <c r="C193" s="156" t="s">
        <v>204</v>
      </c>
      <c r="D193" s="156" t="s">
        <v>202</v>
      </c>
      <c r="E193" s="156" t="s">
        <v>330</v>
      </c>
      <c r="F193" s="6" t="s">
        <v>1011</v>
      </c>
      <c r="G193" s="162" t="s">
        <v>825</v>
      </c>
      <c r="H193" s="113" t="s">
        <v>1054</v>
      </c>
      <c r="I193" s="116" t="s">
        <v>20</v>
      </c>
      <c r="J193" s="123">
        <v>1</v>
      </c>
      <c r="K193" s="123"/>
      <c r="L193" s="121">
        <v>9200</v>
      </c>
      <c r="M193" s="158">
        <f t="shared" si="47"/>
        <v>0</v>
      </c>
      <c r="N193" s="158">
        <f t="shared" si="48"/>
        <v>9200</v>
      </c>
      <c r="O193" s="158">
        <f t="shared" si="49"/>
        <v>9200</v>
      </c>
    </row>
    <row r="194" spans="1:17">
      <c r="A194" s="6" t="s">
        <v>1012</v>
      </c>
      <c r="B194" s="156" t="s">
        <v>149</v>
      </c>
      <c r="C194" s="156" t="s">
        <v>204</v>
      </c>
      <c r="D194" s="156" t="s">
        <v>202</v>
      </c>
      <c r="E194" s="156" t="s">
        <v>330</v>
      </c>
      <c r="F194" s="6" t="s">
        <v>1012</v>
      </c>
      <c r="G194" s="162" t="s">
        <v>826</v>
      </c>
      <c r="H194" s="113" t="s">
        <v>656</v>
      </c>
      <c r="I194" s="116" t="s">
        <v>20</v>
      </c>
      <c r="J194" s="123">
        <v>1</v>
      </c>
      <c r="K194" s="123"/>
      <c r="L194" s="121">
        <v>1200</v>
      </c>
      <c r="M194" s="158">
        <f t="shared" si="47"/>
        <v>0</v>
      </c>
      <c r="N194" s="158">
        <f t="shared" si="48"/>
        <v>1200</v>
      </c>
      <c r="O194" s="158">
        <f t="shared" si="49"/>
        <v>1200</v>
      </c>
    </row>
    <row r="195" spans="1:17">
      <c r="A195" s="6" t="s">
        <v>1013</v>
      </c>
      <c r="B195" s="156" t="s">
        <v>149</v>
      </c>
      <c r="C195" s="156" t="s">
        <v>204</v>
      </c>
      <c r="D195" s="156" t="s">
        <v>202</v>
      </c>
      <c r="E195" s="156" t="s">
        <v>330</v>
      </c>
      <c r="F195" s="6" t="s">
        <v>1013</v>
      </c>
      <c r="G195" s="162" t="s">
        <v>827</v>
      </c>
      <c r="H195" s="113" t="s">
        <v>574</v>
      </c>
      <c r="I195" s="116" t="s">
        <v>20</v>
      </c>
      <c r="J195" s="123">
        <v>1</v>
      </c>
      <c r="K195" s="123"/>
      <c r="L195" s="121">
        <v>4230</v>
      </c>
      <c r="M195" s="158">
        <f t="shared" si="47"/>
        <v>0</v>
      </c>
      <c r="N195" s="158">
        <f t="shared" si="48"/>
        <v>4230</v>
      </c>
      <c r="O195" s="158">
        <f t="shared" si="49"/>
        <v>4230</v>
      </c>
    </row>
    <row r="196" spans="1:17">
      <c r="A196" s="6" t="s">
        <v>1014</v>
      </c>
      <c r="B196" s="156" t="s">
        <v>149</v>
      </c>
      <c r="C196" s="156" t="s">
        <v>204</v>
      </c>
      <c r="D196" s="156" t="s">
        <v>202</v>
      </c>
      <c r="E196" s="156" t="s">
        <v>330</v>
      </c>
      <c r="F196" s="6" t="s">
        <v>1014</v>
      </c>
      <c r="G196" s="162" t="s">
        <v>828</v>
      </c>
      <c r="H196" s="160" t="s">
        <v>1054</v>
      </c>
      <c r="I196" s="116" t="s">
        <v>20</v>
      </c>
      <c r="J196" s="123">
        <v>1</v>
      </c>
      <c r="K196" s="123"/>
      <c r="L196" s="121">
        <v>5600</v>
      </c>
      <c r="M196" s="158">
        <f t="shared" si="47"/>
        <v>0</v>
      </c>
      <c r="N196" s="158">
        <f t="shared" si="48"/>
        <v>5600</v>
      </c>
      <c r="O196" s="158">
        <f t="shared" si="49"/>
        <v>5600</v>
      </c>
      <c r="P196" s="153">
        <f>SUM(N162:N196)</f>
        <v>39783.4</v>
      </c>
      <c r="Q196" s="153" t="s">
        <v>703</v>
      </c>
    </row>
    <row r="197" spans="1:17">
      <c r="A197" s="170" t="s">
        <v>369</v>
      </c>
      <c r="B197" s="170"/>
      <c r="C197" s="170"/>
      <c r="D197" s="170"/>
      <c r="E197" s="170"/>
      <c r="F197" s="170" t="s">
        <v>369</v>
      </c>
      <c r="G197" s="2" t="s">
        <v>495</v>
      </c>
      <c r="H197" s="145"/>
      <c r="I197" s="124"/>
      <c r="J197" s="124"/>
      <c r="K197" s="124"/>
      <c r="L197" s="124"/>
      <c r="M197" s="124">
        <f t="shared" ref="M197" si="50">J197*K197</f>
        <v>0</v>
      </c>
      <c r="N197" s="124">
        <f t="shared" si="48"/>
        <v>0</v>
      </c>
      <c r="O197" s="124">
        <f t="shared" ref="O197:O202" si="51">N197+M197</f>
        <v>0</v>
      </c>
    </row>
    <row r="198" spans="1:17">
      <c r="A198" s="4" t="s">
        <v>370</v>
      </c>
      <c r="B198" s="156"/>
      <c r="C198" s="156"/>
      <c r="D198" s="156"/>
      <c r="E198" s="156"/>
      <c r="F198" s="4" t="s">
        <v>370</v>
      </c>
      <c r="G198" s="5" t="s">
        <v>10</v>
      </c>
      <c r="H198" s="113"/>
      <c r="I198" s="116"/>
      <c r="J198" s="116"/>
      <c r="K198" s="123"/>
      <c r="L198" s="121"/>
      <c r="M198" s="158"/>
      <c r="N198" s="158"/>
      <c r="O198" s="158"/>
    </row>
    <row r="199" spans="1:17">
      <c r="A199" s="6" t="s">
        <v>371</v>
      </c>
      <c r="B199" s="156" t="s">
        <v>193</v>
      </c>
      <c r="C199" s="156" t="s">
        <v>200</v>
      </c>
      <c r="D199" s="156" t="s">
        <v>202</v>
      </c>
      <c r="E199" s="156" t="s">
        <v>425</v>
      </c>
      <c r="F199" s="6" t="s">
        <v>371</v>
      </c>
      <c r="G199" s="157" t="s">
        <v>466</v>
      </c>
      <c r="H199" s="113"/>
      <c r="I199" s="116" t="s">
        <v>201</v>
      </c>
      <c r="J199" s="120"/>
      <c r="K199" s="123">
        <v>200</v>
      </c>
      <c r="L199" s="121"/>
      <c r="M199" s="158">
        <f>J199*K199</f>
        <v>0</v>
      </c>
      <c r="N199" s="158">
        <f t="shared" ref="N199:N202" si="52">J199*L199</f>
        <v>0</v>
      </c>
      <c r="O199" s="158">
        <f t="shared" si="51"/>
        <v>0</v>
      </c>
    </row>
    <row r="200" spans="1:17">
      <c r="A200" s="6" t="s">
        <v>372</v>
      </c>
      <c r="B200" s="156" t="s">
        <v>193</v>
      </c>
      <c r="C200" s="156" t="s">
        <v>200</v>
      </c>
      <c r="D200" s="156" t="s">
        <v>202</v>
      </c>
      <c r="E200" s="156" t="s">
        <v>425</v>
      </c>
      <c r="F200" s="6" t="s">
        <v>372</v>
      </c>
      <c r="G200" s="157" t="s">
        <v>467</v>
      </c>
      <c r="H200" s="113"/>
      <c r="I200" s="116" t="s">
        <v>201</v>
      </c>
      <c r="J200" s="120"/>
      <c r="K200" s="123">
        <v>200</v>
      </c>
      <c r="L200" s="121"/>
      <c r="M200" s="158">
        <f>J200*K200</f>
        <v>0</v>
      </c>
      <c r="N200" s="158">
        <f t="shared" si="52"/>
        <v>0</v>
      </c>
      <c r="O200" s="158">
        <f t="shared" si="51"/>
        <v>0</v>
      </c>
    </row>
    <row r="201" spans="1:17">
      <c r="A201" s="6" t="s">
        <v>373</v>
      </c>
      <c r="B201" s="156" t="s">
        <v>193</v>
      </c>
      <c r="C201" s="156" t="s">
        <v>200</v>
      </c>
      <c r="D201" s="156" t="s">
        <v>202</v>
      </c>
      <c r="E201" s="156" t="s">
        <v>425</v>
      </c>
      <c r="F201" s="6" t="s">
        <v>373</v>
      </c>
      <c r="G201" s="157" t="s">
        <v>468</v>
      </c>
      <c r="H201" s="113"/>
      <c r="I201" s="116" t="s">
        <v>20</v>
      </c>
      <c r="J201" s="120">
        <v>1</v>
      </c>
      <c r="K201" s="123">
        <v>6500</v>
      </c>
      <c r="L201" s="121"/>
      <c r="M201" s="158">
        <f>J201*K201</f>
        <v>6500</v>
      </c>
      <c r="N201" s="158">
        <f t="shared" si="52"/>
        <v>0</v>
      </c>
      <c r="O201" s="158">
        <f t="shared" si="51"/>
        <v>6500</v>
      </c>
    </row>
    <row r="202" spans="1:17">
      <c r="A202" s="6" t="s">
        <v>374</v>
      </c>
      <c r="B202" s="156" t="s">
        <v>193</v>
      </c>
      <c r="C202" s="156" t="s">
        <v>200</v>
      </c>
      <c r="D202" s="156" t="s">
        <v>202</v>
      </c>
      <c r="E202" s="156" t="s">
        <v>425</v>
      </c>
      <c r="F202" s="6" t="s">
        <v>374</v>
      </c>
      <c r="G202" s="157" t="s">
        <v>469</v>
      </c>
      <c r="H202" s="113"/>
      <c r="I202" s="116" t="s">
        <v>201</v>
      </c>
      <c r="J202" s="120"/>
      <c r="K202" s="123">
        <v>200</v>
      </c>
      <c r="L202" s="121"/>
      <c r="M202" s="158">
        <f>J202*K202</f>
        <v>0</v>
      </c>
      <c r="N202" s="158">
        <f t="shared" si="52"/>
        <v>0</v>
      </c>
      <c r="O202" s="158">
        <f t="shared" si="51"/>
        <v>0</v>
      </c>
    </row>
    <row r="203" spans="1:17">
      <c r="A203" s="6" t="s">
        <v>483</v>
      </c>
      <c r="B203" s="156" t="s">
        <v>193</v>
      </c>
      <c r="C203" s="156" t="s">
        <v>200</v>
      </c>
      <c r="D203" s="156" t="s">
        <v>202</v>
      </c>
      <c r="E203" s="156" t="s">
        <v>425</v>
      </c>
      <c r="F203" s="6" t="s">
        <v>483</v>
      </c>
      <c r="G203" s="157" t="s">
        <v>470</v>
      </c>
      <c r="H203" s="113"/>
      <c r="I203" s="116" t="s">
        <v>201</v>
      </c>
      <c r="J203" s="120"/>
      <c r="K203" s="123">
        <v>200</v>
      </c>
      <c r="L203" s="122"/>
      <c r="M203" s="158">
        <f t="shared" ref="M203:M205" si="53">J203*K203</f>
        <v>0</v>
      </c>
      <c r="N203" s="158">
        <f t="shared" ref="N203:N205" si="54">J203*L203</f>
        <v>0</v>
      </c>
      <c r="O203" s="158">
        <f t="shared" ref="O203:O205" si="55">N203+M203</f>
        <v>0</v>
      </c>
    </row>
    <row r="204" spans="1:17">
      <c r="A204" s="6" t="s">
        <v>484</v>
      </c>
      <c r="B204" s="156" t="s">
        <v>193</v>
      </c>
      <c r="C204" s="156" t="s">
        <v>200</v>
      </c>
      <c r="D204" s="156" t="s">
        <v>202</v>
      </c>
      <c r="E204" s="156" t="s">
        <v>425</v>
      </c>
      <c r="F204" s="6" t="s">
        <v>5216</v>
      </c>
      <c r="G204" s="157" t="s">
        <v>471</v>
      </c>
      <c r="H204" s="113"/>
      <c r="I204" s="116" t="s">
        <v>201</v>
      </c>
      <c r="J204" s="120"/>
      <c r="K204" s="123">
        <v>200</v>
      </c>
      <c r="L204" s="122"/>
      <c r="M204" s="158">
        <f t="shared" si="53"/>
        <v>0</v>
      </c>
      <c r="N204" s="158">
        <f t="shared" si="54"/>
        <v>0</v>
      </c>
      <c r="O204" s="158">
        <f t="shared" si="55"/>
        <v>0</v>
      </c>
    </row>
    <row r="205" spans="1:17">
      <c r="A205" s="6" t="s">
        <v>485</v>
      </c>
      <c r="B205" s="156" t="s">
        <v>193</v>
      </c>
      <c r="C205" s="156" t="s">
        <v>200</v>
      </c>
      <c r="D205" s="156" t="s">
        <v>202</v>
      </c>
      <c r="E205" s="156" t="s">
        <v>425</v>
      </c>
      <c r="F205" s="6" t="s">
        <v>485</v>
      </c>
      <c r="G205" s="157" t="s">
        <v>472</v>
      </c>
      <c r="H205" s="113"/>
      <c r="I205" s="116" t="s">
        <v>201</v>
      </c>
      <c r="J205" s="120"/>
      <c r="K205" s="123">
        <v>200</v>
      </c>
      <c r="L205" s="122"/>
      <c r="M205" s="158">
        <f t="shared" si="53"/>
        <v>0</v>
      </c>
      <c r="N205" s="158">
        <f t="shared" si="54"/>
        <v>0</v>
      </c>
      <c r="O205" s="158">
        <f t="shared" si="55"/>
        <v>0</v>
      </c>
    </row>
    <row r="206" spans="1:17">
      <c r="A206" s="4" t="s">
        <v>375</v>
      </c>
      <c r="B206" s="156"/>
      <c r="C206" s="156"/>
      <c r="D206" s="156"/>
      <c r="E206" s="156"/>
      <c r="F206" s="4" t="s">
        <v>375</v>
      </c>
      <c r="G206" s="5" t="s">
        <v>15</v>
      </c>
      <c r="H206" s="113"/>
      <c r="I206" s="123"/>
      <c r="J206" s="123"/>
      <c r="K206" s="123"/>
      <c r="L206" s="121"/>
      <c r="M206" s="158">
        <f t="shared" ref="M206" si="56">J206*K206</f>
        <v>0</v>
      </c>
      <c r="N206" s="158">
        <f t="shared" ref="N206" si="57">J206*L206</f>
        <v>0</v>
      </c>
      <c r="O206" s="158">
        <f t="shared" ref="O206" si="58">N206+M206</f>
        <v>0</v>
      </c>
    </row>
    <row r="207" spans="1:17">
      <c r="A207" s="6" t="s">
        <v>376</v>
      </c>
      <c r="B207" s="156" t="s">
        <v>149</v>
      </c>
      <c r="C207" s="156" t="s">
        <v>204</v>
      </c>
      <c r="D207" s="156" t="s">
        <v>202</v>
      </c>
      <c r="E207" s="156" t="s">
        <v>425</v>
      </c>
      <c r="F207" s="6" t="s">
        <v>376</v>
      </c>
      <c r="G207" s="163" t="s">
        <v>830</v>
      </c>
      <c r="H207" s="113" t="s">
        <v>670</v>
      </c>
      <c r="I207" s="116" t="s">
        <v>20</v>
      </c>
      <c r="J207" s="123">
        <v>1</v>
      </c>
      <c r="K207" s="123"/>
      <c r="L207" s="121">
        <v>560</v>
      </c>
      <c r="M207" s="158">
        <f t="shared" ref="M207:M226" si="59">J207*K207</f>
        <v>0</v>
      </c>
      <c r="N207" s="158">
        <f t="shared" ref="N207:N226" si="60">J207*L207</f>
        <v>560</v>
      </c>
      <c r="O207" s="158">
        <f t="shared" ref="O207:O226" si="61">M207+N207</f>
        <v>560</v>
      </c>
    </row>
    <row r="208" spans="1:17">
      <c r="A208" s="6" t="s">
        <v>377</v>
      </c>
      <c r="B208" s="156" t="s">
        <v>149</v>
      </c>
      <c r="C208" s="156" t="s">
        <v>204</v>
      </c>
      <c r="D208" s="156" t="s">
        <v>202</v>
      </c>
      <c r="E208" s="156" t="s">
        <v>425</v>
      </c>
      <c r="F208" s="6" t="s">
        <v>377</v>
      </c>
      <c r="G208" s="163" t="s">
        <v>671</v>
      </c>
      <c r="H208" s="174" t="s">
        <v>671</v>
      </c>
      <c r="I208" s="116" t="s">
        <v>20</v>
      </c>
      <c r="J208" s="123">
        <v>1</v>
      </c>
      <c r="K208" s="123"/>
      <c r="L208" s="121">
        <v>460</v>
      </c>
      <c r="M208" s="158">
        <f t="shared" si="59"/>
        <v>0</v>
      </c>
      <c r="N208" s="158">
        <f t="shared" si="60"/>
        <v>460</v>
      </c>
      <c r="O208" s="158">
        <f t="shared" si="61"/>
        <v>460</v>
      </c>
    </row>
    <row r="209" spans="1:15">
      <c r="A209" s="6" t="s">
        <v>378</v>
      </c>
      <c r="B209" s="156" t="s">
        <v>149</v>
      </c>
      <c r="C209" s="156" t="s">
        <v>204</v>
      </c>
      <c r="D209" s="156" t="s">
        <v>202</v>
      </c>
      <c r="E209" s="156" t="s">
        <v>425</v>
      </c>
      <c r="F209" s="6" t="s">
        <v>378</v>
      </c>
      <c r="G209" s="163" t="s">
        <v>831</v>
      </c>
      <c r="H209" s="174" t="s">
        <v>672</v>
      </c>
      <c r="I209" s="116" t="s">
        <v>20</v>
      </c>
      <c r="J209" s="123">
        <v>1</v>
      </c>
      <c r="K209" s="123"/>
      <c r="L209" s="121">
        <v>500</v>
      </c>
      <c r="M209" s="158">
        <f t="shared" si="59"/>
        <v>0</v>
      </c>
      <c r="N209" s="158">
        <f t="shared" si="60"/>
        <v>500</v>
      </c>
      <c r="O209" s="158">
        <f t="shared" si="61"/>
        <v>500</v>
      </c>
    </row>
    <row r="210" spans="1:15">
      <c r="A210" s="6" t="s">
        <v>379</v>
      </c>
      <c r="B210" s="156" t="s">
        <v>149</v>
      </c>
      <c r="C210" s="156" t="s">
        <v>204</v>
      </c>
      <c r="D210" s="156" t="s">
        <v>202</v>
      </c>
      <c r="E210" s="156" t="s">
        <v>425</v>
      </c>
      <c r="F210" s="6" t="s">
        <v>379</v>
      </c>
      <c r="G210" s="163" t="s">
        <v>832</v>
      </c>
      <c r="H210" s="174" t="s">
        <v>639</v>
      </c>
      <c r="I210" s="116" t="s">
        <v>20</v>
      </c>
      <c r="J210" s="123">
        <v>1</v>
      </c>
      <c r="K210" s="123"/>
      <c r="L210" s="121">
        <v>17000</v>
      </c>
      <c r="M210" s="158">
        <f t="shared" si="59"/>
        <v>0</v>
      </c>
      <c r="N210" s="158">
        <f t="shared" si="60"/>
        <v>17000</v>
      </c>
      <c r="O210" s="158">
        <f t="shared" si="61"/>
        <v>17000</v>
      </c>
    </row>
    <row r="211" spans="1:15">
      <c r="A211" s="6" t="s">
        <v>380</v>
      </c>
      <c r="B211" s="156" t="s">
        <v>149</v>
      </c>
      <c r="C211" s="156" t="s">
        <v>204</v>
      </c>
      <c r="D211" s="156" t="s">
        <v>202</v>
      </c>
      <c r="E211" s="156" t="s">
        <v>425</v>
      </c>
      <c r="F211" s="6" t="s">
        <v>380</v>
      </c>
      <c r="G211" s="163" t="s">
        <v>968</v>
      </c>
      <c r="H211" s="113" t="s">
        <v>673</v>
      </c>
      <c r="I211" s="116" t="s">
        <v>20</v>
      </c>
      <c r="J211" s="123">
        <v>3</v>
      </c>
      <c r="K211" s="123"/>
      <c r="L211" s="121">
        <v>1500</v>
      </c>
      <c r="M211" s="158">
        <f t="shared" si="59"/>
        <v>0</v>
      </c>
      <c r="N211" s="158">
        <f t="shared" si="60"/>
        <v>4500</v>
      </c>
      <c r="O211" s="158">
        <f t="shared" si="61"/>
        <v>4500</v>
      </c>
    </row>
    <row r="212" spans="1:15">
      <c r="A212" s="6" t="s">
        <v>381</v>
      </c>
      <c r="B212" s="156" t="s">
        <v>149</v>
      </c>
      <c r="C212" s="156" t="s">
        <v>204</v>
      </c>
      <c r="D212" s="156" t="s">
        <v>202</v>
      </c>
      <c r="E212" s="156" t="s">
        <v>425</v>
      </c>
      <c r="F212" s="6" t="s">
        <v>381</v>
      </c>
      <c r="G212" s="163" t="s">
        <v>655</v>
      </c>
      <c r="H212" s="113" t="s">
        <v>655</v>
      </c>
      <c r="I212" s="116" t="s">
        <v>20</v>
      </c>
      <c r="J212" s="123">
        <v>3</v>
      </c>
      <c r="K212" s="123"/>
      <c r="L212" s="121">
        <v>340</v>
      </c>
      <c r="M212" s="158">
        <f t="shared" si="59"/>
        <v>0</v>
      </c>
      <c r="N212" s="158">
        <f t="shared" si="60"/>
        <v>1020</v>
      </c>
      <c r="O212" s="158">
        <f t="shared" si="61"/>
        <v>1020</v>
      </c>
    </row>
    <row r="213" spans="1:15">
      <c r="A213" s="6" t="s">
        <v>382</v>
      </c>
      <c r="B213" s="156" t="s">
        <v>149</v>
      </c>
      <c r="C213" s="156" t="s">
        <v>204</v>
      </c>
      <c r="D213" s="156" t="s">
        <v>202</v>
      </c>
      <c r="E213" s="156" t="s">
        <v>425</v>
      </c>
      <c r="F213" s="6" t="s">
        <v>382</v>
      </c>
      <c r="G213" s="163" t="s">
        <v>834</v>
      </c>
      <c r="H213" s="113" t="s">
        <v>834</v>
      </c>
      <c r="I213" s="116" t="s">
        <v>20</v>
      </c>
      <c r="J213" s="123">
        <v>1</v>
      </c>
      <c r="K213" s="123"/>
      <c r="L213" s="121">
        <v>587</v>
      </c>
      <c r="M213" s="158">
        <f t="shared" si="59"/>
        <v>0</v>
      </c>
      <c r="N213" s="158">
        <f t="shared" si="60"/>
        <v>587</v>
      </c>
      <c r="O213" s="158">
        <f t="shared" si="61"/>
        <v>587</v>
      </c>
    </row>
    <row r="214" spans="1:15">
      <c r="A214" s="6" t="s">
        <v>383</v>
      </c>
      <c r="B214" s="156" t="s">
        <v>149</v>
      </c>
      <c r="C214" s="156" t="s">
        <v>204</v>
      </c>
      <c r="D214" s="156" t="s">
        <v>202</v>
      </c>
      <c r="E214" s="156" t="s">
        <v>425</v>
      </c>
      <c r="F214" s="6" t="s">
        <v>383</v>
      </c>
      <c r="G214" s="173" t="s">
        <v>835</v>
      </c>
      <c r="H214" s="143" t="s">
        <v>835</v>
      </c>
      <c r="I214" s="116" t="s">
        <v>20</v>
      </c>
      <c r="J214" s="123">
        <v>1</v>
      </c>
      <c r="K214" s="123"/>
      <c r="L214" s="121">
        <v>360</v>
      </c>
      <c r="M214" s="158">
        <f t="shared" si="59"/>
        <v>0</v>
      </c>
      <c r="N214" s="158">
        <f t="shared" si="60"/>
        <v>360</v>
      </c>
      <c r="O214" s="158">
        <f t="shared" si="61"/>
        <v>360</v>
      </c>
    </row>
    <row r="215" spans="1:15">
      <c r="A215" s="112" t="s">
        <v>384</v>
      </c>
      <c r="B215" s="156" t="s">
        <v>149</v>
      </c>
      <c r="C215" s="156" t="s">
        <v>204</v>
      </c>
      <c r="D215" s="156" t="s">
        <v>202</v>
      </c>
      <c r="E215" s="156" t="s">
        <v>425</v>
      </c>
      <c r="F215" s="112" t="s">
        <v>384</v>
      </c>
      <c r="G215" s="315" t="s">
        <v>836</v>
      </c>
      <c r="H215" s="113" t="s">
        <v>675</v>
      </c>
      <c r="I215" s="125" t="s">
        <v>20</v>
      </c>
      <c r="J215" s="127">
        <v>1</v>
      </c>
      <c r="K215" s="127"/>
      <c r="L215" s="142">
        <v>3460</v>
      </c>
      <c r="M215" s="176">
        <f t="shared" si="59"/>
        <v>0</v>
      </c>
      <c r="N215" s="176">
        <f t="shared" si="60"/>
        <v>3460</v>
      </c>
      <c r="O215" s="176">
        <f t="shared" si="61"/>
        <v>3460</v>
      </c>
    </row>
    <row r="216" spans="1:15">
      <c r="A216" s="112" t="s">
        <v>1016</v>
      </c>
      <c r="B216" s="156" t="s">
        <v>149</v>
      </c>
      <c r="C216" s="156" t="s">
        <v>204</v>
      </c>
      <c r="D216" s="156" t="s">
        <v>202</v>
      </c>
      <c r="E216" s="156" t="s">
        <v>425</v>
      </c>
      <c r="F216" s="112" t="s">
        <v>1016</v>
      </c>
      <c r="G216" s="315" t="s">
        <v>837</v>
      </c>
      <c r="H216" s="113" t="s">
        <v>837</v>
      </c>
      <c r="I216" s="125" t="s">
        <v>20</v>
      </c>
      <c r="J216" s="127">
        <v>1</v>
      </c>
      <c r="K216" s="127"/>
      <c r="L216" s="142">
        <v>6700</v>
      </c>
      <c r="M216" s="176">
        <f t="shared" si="59"/>
        <v>0</v>
      </c>
      <c r="N216" s="176">
        <f t="shared" si="60"/>
        <v>6700</v>
      </c>
      <c r="O216" s="176">
        <f t="shared" si="61"/>
        <v>6700</v>
      </c>
    </row>
    <row r="217" spans="1:15">
      <c r="A217" s="112" t="s">
        <v>1017</v>
      </c>
      <c r="B217" s="156" t="s">
        <v>149</v>
      </c>
      <c r="C217" s="156" t="s">
        <v>204</v>
      </c>
      <c r="D217" s="156" t="s">
        <v>202</v>
      </c>
      <c r="E217" s="156" t="s">
        <v>425</v>
      </c>
      <c r="F217" s="112" t="s">
        <v>1017</v>
      </c>
      <c r="G217" s="315" t="s">
        <v>838</v>
      </c>
      <c r="H217" s="113" t="s">
        <v>1055</v>
      </c>
      <c r="I217" s="125" t="s">
        <v>20</v>
      </c>
      <c r="J217" s="127">
        <v>1</v>
      </c>
      <c r="K217" s="127"/>
      <c r="L217" s="142">
        <v>1500</v>
      </c>
      <c r="M217" s="176">
        <f t="shared" si="59"/>
        <v>0</v>
      </c>
      <c r="N217" s="176">
        <f t="shared" si="60"/>
        <v>1500</v>
      </c>
      <c r="O217" s="176">
        <f t="shared" si="61"/>
        <v>1500</v>
      </c>
    </row>
    <row r="218" spans="1:15">
      <c r="A218" s="112" t="s">
        <v>1018</v>
      </c>
      <c r="B218" s="156" t="s">
        <v>149</v>
      </c>
      <c r="C218" s="156" t="s">
        <v>204</v>
      </c>
      <c r="D218" s="156" t="s">
        <v>202</v>
      </c>
      <c r="E218" s="156" t="s">
        <v>425</v>
      </c>
      <c r="F218" s="112" t="s">
        <v>1018</v>
      </c>
      <c r="G218" s="315" t="s">
        <v>839</v>
      </c>
      <c r="H218" s="113" t="s">
        <v>2860</v>
      </c>
      <c r="I218" s="125" t="s">
        <v>20</v>
      </c>
      <c r="J218" s="127">
        <v>1</v>
      </c>
      <c r="K218" s="127"/>
      <c r="L218" s="142">
        <v>7800</v>
      </c>
      <c r="M218" s="176">
        <f t="shared" si="59"/>
        <v>0</v>
      </c>
      <c r="N218" s="176">
        <f t="shared" si="60"/>
        <v>7800</v>
      </c>
      <c r="O218" s="176">
        <f t="shared" si="61"/>
        <v>7800</v>
      </c>
    </row>
    <row r="219" spans="1:15">
      <c r="A219" s="112" t="s">
        <v>1019</v>
      </c>
      <c r="B219" s="156" t="s">
        <v>149</v>
      </c>
      <c r="C219" s="156" t="s">
        <v>204</v>
      </c>
      <c r="D219" s="156" t="s">
        <v>202</v>
      </c>
      <c r="E219" s="156" t="s">
        <v>425</v>
      </c>
      <c r="F219" s="112" t="s">
        <v>1019</v>
      </c>
      <c r="G219" s="315" t="s">
        <v>679</v>
      </c>
      <c r="H219" s="113" t="s">
        <v>575</v>
      </c>
      <c r="I219" s="125" t="s">
        <v>20</v>
      </c>
      <c r="J219" s="127">
        <v>1</v>
      </c>
      <c r="K219" s="127"/>
      <c r="L219" s="142">
        <v>1260</v>
      </c>
      <c r="M219" s="176">
        <f t="shared" si="59"/>
        <v>0</v>
      </c>
      <c r="N219" s="176">
        <f t="shared" si="60"/>
        <v>1260</v>
      </c>
      <c r="O219" s="176">
        <f t="shared" si="61"/>
        <v>1260</v>
      </c>
    </row>
    <row r="220" spans="1:15">
      <c r="A220" s="112" t="s">
        <v>1020</v>
      </c>
      <c r="B220" s="156" t="s">
        <v>149</v>
      </c>
      <c r="C220" s="156" t="s">
        <v>204</v>
      </c>
      <c r="D220" s="156" t="s">
        <v>202</v>
      </c>
      <c r="E220" s="156" t="s">
        <v>425</v>
      </c>
      <c r="F220" s="112" t="s">
        <v>1020</v>
      </c>
      <c r="G220" s="315" t="s">
        <v>840</v>
      </c>
      <c r="H220" s="113" t="s">
        <v>562</v>
      </c>
      <c r="I220" s="125" t="s">
        <v>20</v>
      </c>
      <c r="J220" s="127">
        <v>1</v>
      </c>
      <c r="K220" s="127"/>
      <c r="L220" s="142">
        <v>11200</v>
      </c>
      <c r="M220" s="176">
        <f t="shared" si="59"/>
        <v>0</v>
      </c>
      <c r="N220" s="176">
        <f t="shared" si="60"/>
        <v>11200</v>
      </c>
      <c r="O220" s="176">
        <f t="shared" si="61"/>
        <v>11200</v>
      </c>
    </row>
    <row r="221" spans="1:15">
      <c r="A221" s="112" t="s">
        <v>1021</v>
      </c>
      <c r="B221" s="156" t="s">
        <v>149</v>
      </c>
      <c r="C221" s="156" t="s">
        <v>204</v>
      </c>
      <c r="D221" s="156" t="s">
        <v>202</v>
      </c>
      <c r="E221" s="156" t="s">
        <v>425</v>
      </c>
      <c r="F221" s="112" t="s">
        <v>1021</v>
      </c>
      <c r="G221" s="315" t="s">
        <v>841</v>
      </c>
      <c r="H221" s="113" t="s">
        <v>681</v>
      </c>
      <c r="I221" s="125" t="s">
        <v>20</v>
      </c>
      <c r="J221" s="127">
        <v>1</v>
      </c>
      <c r="K221" s="127"/>
      <c r="L221" s="142">
        <v>1600</v>
      </c>
      <c r="M221" s="176">
        <f t="shared" si="59"/>
        <v>0</v>
      </c>
      <c r="N221" s="176">
        <f t="shared" si="60"/>
        <v>1600</v>
      </c>
      <c r="O221" s="176">
        <f t="shared" si="61"/>
        <v>1600</v>
      </c>
    </row>
    <row r="222" spans="1:15">
      <c r="A222" s="112" t="s">
        <v>1022</v>
      </c>
      <c r="B222" s="156" t="s">
        <v>149</v>
      </c>
      <c r="C222" s="156" t="s">
        <v>204</v>
      </c>
      <c r="D222" s="156" t="s">
        <v>202</v>
      </c>
      <c r="E222" s="156" t="s">
        <v>425</v>
      </c>
      <c r="F222" s="112" t="s">
        <v>1022</v>
      </c>
      <c r="G222" s="315" t="s">
        <v>842</v>
      </c>
      <c r="H222" s="113" t="s">
        <v>842</v>
      </c>
      <c r="I222" s="125" t="s">
        <v>20</v>
      </c>
      <c r="J222" s="127">
        <v>1</v>
      </c>
      <c r="K222" s="127"/>
      <c r="L222" s="142">
        <v>350</v>
      </c>
      <c r="M222" s="176">
        <f t="shared" si="59"/>
        <v>0</v>
      </c>
      <c r="N222" s="176">
        <f t="shared" si="60"/>
        <v>350</v>
      </c>
      <c r="O222" s="176">
        <f t="shared" si="61"/>
        <v>350</v>
      </c>
    </row>
    <row r="223" spans="1:15">
      <c r="A223" s="112" t="s">
        <v>1023</v>
      </c>
      <c r="B223" s="156" t="s">
        <v>149</v>
      </c>
      <c r="C223" s="156" t="s">
        <v>204</v>
      </c>
      <c r="D223" s="156" t="s">
        <v>202</v>
      </c>
      <c r="E223" s="156" t="s">
        <v>425</v>
      </c>
      <c r="F223" s="112" t="s">
        <v>1023</v>
      </c>
      <c r="G223" s="315" t="s">
        <v>843</v>
      </c>
      <c r="H223" s="113" t="s">
        <v>683</v>
      </c>
      <c r="I223" s="125" t="s">
        <v>20</v>
      </c>
      <c r="J223" s="127">
        <v>1</v>
      </c>
      <c r="K223" s="127"/>
      <c r="L223" s="142">
        <v>70000</v>
      </c>
      <c r="M223" s="176">
        <f t="shared" si="59"/>
        <v>0</v>
      </c>
      <c r="N223" s="176">
        <f t="shared" si="60"/>
        <v>70000</v>
      </c>
      <c r="O223" s="176">
        <f t="shared" si="61"/>
        <v>70000</v>
      </c>
    </row>
    <row r="224" spans="1:15">
      <c r="A224" s="112" t="s">
        <v>1024</v>
      </c>
      <c r="B224" s="156" t="s">
        <v>149</v>
      </c>
      <c r="C224" s="156" t="s">
        <v>204</v>
      </c>
      <c r="D224" s="156" t="s">
        <v>202</v>
      </c>
      <c r="E224" s="156" t="s">
        <v>425</v>
      </c>
      <c r="F224" s="112" t="s">
        <v>1024</v>
      </c>
      <c r="G224" s="315" t="s">
        <v>844</v>
      </c>
      <c r="H224" s="113" t="s">
        <v>607</v>
      </c>
      <c r="I224" s="125" t="s">
        <v>20</v>
      </c>
      <c r="J224" s="127">
        <v>1</v>
      </c>
      <c r="K224" s="127"/>
      <c r="L224" s="142">
        <v>6400</v>
      </c>
      <c r="M224" s="176">
        <f t="shared" si="59"/>
        <v>0</v>
      </c>
      <c r="N224" s="176">
        <f t="shared" si="60"/>
        <v>6400</v>
      </c>
      <c r="O224" s="176">
        <f t="shared" si="61"/>
        <v>6400</v>
      </c>
    </row>
    <row r="225" spans="1:17">
      <c r="A225" s="112" t="s">
        <v>1025</v>
      </c>
      <c r="B225" s="156" t="s">
        <v>149</v>
      </c>
      <c r="C225" s="156" t="s">
        <v>204</v>
      </c>
      <c r="D225" s="156" t="s">
        <v>202</v>
      </c>
      <c r="E225" s="156" t="s">
        <v>425</v>
      </c>
      <c r="F225" s="112" t="s">
        <v>1025</v>
      </c>
      <c r="G225" s="315" t="s">
        <v>969</v>
      </c>
      <c r="H225" s="113" t="s">
        <v>2643</v>
      </c>
      <c r="I225" s="125" t="s">
        <v>20</v>
      </c>
      <c r="J225" s="127">
        <v>1</v>
      </c>
      <c r="K225" s="127"/>
      <c r="L225" s="142">
        <v>7830</v>
      </c>
      <c r="M225" s="176">
        <f t="shared" si="59"/>
        <v>0</v>
      </c>
      <c r="N225" s="176">
        <f t="shared" si="60"/>
        <v>7830</v>
      </c>
      <c r="O225" s="176">
        <f t="shared" si="61"/>
        <v>7830</v>
      </c>
      <c r="Q225" s="153" t="s">
        <v>703</v>
      </c>
    </row>
    <row r="226" spans="1:17">
      <c r="A226" s="112" t="s">
        <v>1026</v>
      </c>
      <c r="B226" s="316" t="s">
        <v>149</v>
      </c>
      <c r="C226" s="316" t="s">
        <v>204</v>
      </c>
      <c r="D226" s="316" t="s">
        <v>202</v>
      </c>
      <c r="E226" s="316" t="s">
        <v>425</v>
      </c>
      <c r="F226" s="112" t="s">
        <v>1026</v>
      </c>
      <c r="G226" s="315" t="s">
        <v>1056</v>
      </c>
      <c r="H226" s="113" t="s">
        <v>1056</v>
      </c>
      <c r="I226" s="125" t="s">
        <v>20</v>
      </c>
      <c r="J226" s="127">
        <v>1</v>
      </c>
      <c r="K226" s="127"/>
      <c r="L226" s="142">
        <v>12000</v>
      </c>
      <c r="M226" s="176">
        <f t="shared" si="59"/>
        <v>0</v>
      </c>
      <c r="N226" s="176">
        <f t="shared" si="60"/>
        <v>12000</v>
      </c>
      <c r="O226" s="176">
        <f t="shared" si="61"/>
        <v>12000</v>
      </c>
      <c r="P226" s="153">
        <f>SUM(N207:N226)</f>
        <v>155087</v>
      </c>
      <c r="Q226" s="153" t="s">
        <v>703</v>
      </c>
    </row>
    <row r="227" spans="1:17">
      <c r="A227" s="170" t="s">
        <v>385</v>
      </c>
      <c r="B227" s="170"/>
      <c r="C227" s="170"/>
      <c r="D227" s="170"/>
      <c r="E227" s="170"/>
      <c r="F227" s="170" t="s">
        <v>385</v>
      </c>
      <c r="G227" s="2" t="s">
        <v>386</v>
      </c>
      <c r="H227" s="145" t="s">
        <v>564</v>
      </c>
      <c r="I227" s="124"/>
      <c r="J227" s="124"/>
      <c r="K227" s="124"/>
      <c r="L227" s="124"/>
      <c r="M227" s="124">
        <f t="shared" ref="M227:M228" si="62">J227*K227</f>
        <v>0</v>
      </c>
      <c r="N227" s="124">
        <f t="shared" ref="N227" si="63">J227*L227</f>
        <v>0</v>
      </c>
      <c r="O227" s="124">
        <f t="shared" ref="O227:O237" si="64">N227+M227</f>
        <v>0</v>
      </c>
    </row>
    <row r="228" spans="1:17">
      <c r="A228" s="4" t="s">
        <v>387</v>
      </c>
      <c r="B228" s="156"/>
      <c r="C228" s="156"/>
      <c r="D228" s="156"/>
      <c r="E228" s="156"/>
      <c r="F228" s="4" t="s">
        <v>387</v>
      </c>
      <c r="G228" s="5" t="s">
        <v>10</v>
      </c>
      <c r="H228" s="113"/>
      <c r="I228" s="116"/>
      <c r="J228" s="116"/>
      <c r="K228" s="123"/>
      <c r="L228" s="121"/>
      <c r="M228" s="158">
        <f t="shared" si="62"/>
        <v>0</v>
      </c>
      <c r="N228" s="158">
        <f t="shared" ref="N228:N237" si="65">J228*L228</f>
        <v>0</v>
      </c>
      <c r="O228" s="158">
        <f t="shared" si="64"/>
        <v>0</v>
      </c>
    </row>
    <row r="229" spans="1:17">
      <c r="A229" s="6" t="s">
        <v>388</v>
      </c>
      <c r="B229" s="156" t="s">
        <v>193</v>
      </c>
      <c r="C229" s="156" t="s">
        <v>200</v>
      </c>
      <c r="D229" s="156" t="s">
        <v>202</v>
      </c>
      <c r="E229" s="156" t="s">
        <v>386</v>
      </c>
      <c r="F229" s="6" t="s">
        <v>388</v>
      </c>
      <c r="G229" s="157" t="s">
        <v>473</v>
      </c>
      <c r="H229" s="113"/>
      <c r="I229" s="116" t="s">
        <v>201</v>
      </c>
      <c r="J229" s="120"/>
      <c r="K229" s="123">
        <v>350</v>
      </c>
      <c r="L229" s="121"/>
      <c r="M229" s="158">
        <f>J229*K229</f>
        <v>0</v>
      </c>
      <c r="N229" s="158">
        <f t="shared" si="65"/>
        <v>0</v>
      </c>
      <c r="O229" s="158">
        <f t="shared" si="64"/>
        <v>0</v>
      </c>
    </row>
    <row r="230" spans="1:17">
      <c r="A230" s="6" t="s">
        <v>389</v>
      </c>
      <c r="B230" s="156" t="s">
        <v>193</v>
      </c>
      <c r="C230" s="156" t="s">
        <v>200</v>
      </c>
      <c r="D230" s="156" t="s">
        <v>202</v>
      </c>
      <c r="E230" s="156" t="s">
        <v>386</v>
      </c>
      <c r="F230" s="6" t="s">
        <v>389</v>
      </c>
      <c r="G230" s="157" t="s">
        <v>474</v>
      </c>
      <c r="H230" s="113"/>
      <c r="I230" s="116" t="s">
        <v>201</v>
      </c>
      <c r="J230" s="126">
        <v>40</v>
      </c>
      <c r="K230" s="123">
        <v>350</v>
      </c>
      <c r="L230" s="121"/>
      <c r="M230" s="158">
        <f t="shared" ref="M230:M236" si="66">J230*K230</f>
        <v>14000</v>
      </c>
      <c r="N230" s="158">
        <f t="shared" ref="N230:N236" si="67">J230*L230</f>
        <v>0</v>
      </c>
      <c r="O230" s="158">
        <f t="shared" ref="O230:O236" si="68">N230+M230</f>
        <v>14000</v>
      </c>
    </row>
    <row r="231" spans="1:17">
      <c r="A231" s="6" t="s">
        <v>390</v>
      </c>
      <c r="B231" s="156" t="s">
        <v>193</v>
      </c>
      <c r="C231" s="156" t="s">
        <v>200</v>
      </c>
      <c r="D231" s="156" t="s">
        <v>202</v>
      </c>
      <c r="E231" s="156" t="s">
        <v>386</v>
      </c>
      <c r="F231" s="6" t="s">
        <v>390</v>
      </c>
      <c r="G231" s="157" t="s">
        <v>475</v>
      </c>
      <c r="H231" s="113"/>
      <c r="I231" s="116" t="s">
        <v>201</v>
      </c>
      <c r="J231" s="126">
        <v>120</v>
      </c>
      <c r="K231" s="123">
        <v>350</v>
      </c>
      <c r="L231" s="121"/>
      <c r="M231" s="158">
        <f t="shared" si="66"/>
        <v>42000</v>
      </c>
      <c r="N231" s="158">
        <f t="shared" si="67"/>
        <v>0</v>
      </c>
      <c r="O231" s="158">
        <f t="shared" si="68"/>
        <v>42000</v>
      </c>
    </row>
    <row r="232" spans="1:17">
      <c r="A232" s="6" t="s">
        <v>391</v>
      </c>
      <c r="B232" s="156" t="s">
        <v>193</v>
      </c>
      <c r="C232" s="156" t="s">
        <v>200</v>
      </c>
      <c r="D232" s="156" t="s">
        <v>202</v>
      </c>
      <c r="E232" s="156" t="s">
        <v>386</v>
      </c>
      <c r="F232" s="6" t="s">
        <v>391</v>
      </c>
      <c r="G232" s="157" t="s">
        <v>476</v>
      </c>
      <c r="H232" s="113"/>
      <c r="I232" s="116" t="s">
        <v>201</v>
      </c>
      <c r="J232" s="126">
        <v>16</v>
      </c>
      <c r="K232" s="123">
        <v>350</v>
      </c>
      <c r="L232" s="121"/>
      <c r="M232" s="158">
        <f t="shared" si="66"/>
        <v>5600</v>
      </c>
      <c r="N232" s="158">
        <f t="shared" si="67"/>
        <v>0</v>
      </c>
      <c r="O232" s="158">
        <f t="shared" si="68"/>
        <v>5600</v>
      </c>
    </row>
    <row r="233" spans="1:17">
      <c r="A233" s="6" t="s">
        <v>392</v>
      </c>
      <c r="B233" s="156" t="s">
        <v>193</v>
      </c>
      <c r="C233" s="156" t="s">
        <v>200</v>
      </c>
      <c r="D233" s="156" t="s">
        <v>202</v>
      </c>
      <c r="E233" s="156" t="s">
        <v>386</v>
      </c>
      <c r="F233" s="6" t="s">
        <v>392</v>
      </c>
      <c r="G233" s="157" t="s">
        <v>477</v>
      </c>
      <c r="H233" s="113"/>
      <c r="I233" s="116" t="s">
        <v>201</v>
      </c>
      <c r="J233" s="126">
        <v>20</v>
      </c>
      <c r="K233" s="123">
        <v>350</v>
      </c>
      <c r="L233" s="121"/>
      <c r="M233" s="158">
        <f t="shared" si="66"/>
        <v>7000</v>
      </c>
      <c r="N233" s="158">
        <f t="shared" si="67"/>
        <v>0</v>
      </c>
      <c r="O233" s="158">
        <f t="shared" si="68"/>
        <v>7000</v>
      </c>
    </row>
    <row r="234" spans="1:17">
      <c r="A234" s="6" t="s">
        <v>393</v>
      </c>
      <c r="B234" s="156" t="s">
        <v>193</v>
      </c>
      <c r="C234" s="156" t="s">
        <v>200</v>
      </c>
      <c r="D234" s="156" t="s">
        <v>202</v>
      </c>
      <c r="E234" s="156" t="s">
        <v>386</v>
      </c>
      <c r="F234" s="6" t="s">
        <v>393</v>
      </c>
      <c r="G234" s="157" t="s">
        <v>478</v>
      </c>
      <c r="H234" s="113"/>
      <c r="I234" s="116" t="s">
        <v>201</v>
      </c>
      <c r="J234" s="126">
        <v>20</v>
      </c>
      <c r="K234" s="123">
        <v>350</v>
      </c>
      <c r="L234" s="121"/>
      <c r="M234" s="158">
        <f t="shared" si="66"/>
        <v>7000</v>
      </c>
      <c r="N234" s="158">
        <f t="shared" si="67"/>
        <v>0</v>
      </c>
      <c r="O234" s="158">
        <f t="shared" si="68"/>
        <v>7000</v>
      </c>
    </row>
    <row r="235" spans="1:17">
      <c r="A235" s="6" t="s">
        <v>394</v>
      </c>
      <c r="B235" s="156" t="s">
        <v>193</v>
      </c>
      <c r="C235" s="156" t="s">
        <v>200</v>
      </c>
      <c r="D235" s="156" t="s">
        <v>202</v>
      </c>
      <c r="E235" s="156" t="s">
        <v>386</v>
      </c>
      <c r="F235" s="6" t="s">
        <v>394</v>
      </c>
      <c r="G235" s="157" t="s">
        <v>479</v>
      </c>
      <c r="H235" s="113"/>
      <c r="I235" s="116" t="s">
        <v>201</v>
      </c>
      <c r="J235" s="126">
        <v>40</v>
      </c>
      <c r="K235" s="123">
        <v>350</v>
      </c>
      <c r="L235" s="121"/>
      <c r="M235" s="158">
        <f t="shared" si="66"/>
        <v>14000</v>
      </c>
      <c r="N235" s="158">
        <f t="shared" si="67"/>
        <v>0</v>
      </c>
      <c r="O235" s="158">
        <f t="shared" si="68"/>
        <v>14000</v>
      </c>
    </row>
    <row r="236" spans="1:17">
      <c r="A236" s="6" t="s">
        <v>395</v>
      </c>
      <c r="B236" s="156" t="s">
        <v>193</v>
      </c>
      <c r="C236" s="156" t="s">
        <v>200</v>
      </c>
      <c r="D236" s="156" t="s">
        <v>202</v>
      </c>
      <c r="E236" s="156" t="s">
        <v>386</v>
      </c>
      <c r="F236" s="6" t="s">
        <v>395</v>
      </c>
      <c r="G236" s="157" t="s">
        <v>480</v>
      </c>
      <c r="H236" s="113"/>
      <c r="I236" s="116" t="s">
        <v>201</v>
      </c>
      <c r="J236" s="120"/>
      <c r="K236" s="123">
        <v>350</v>
      </c>
      <c r="L236" s="121"/>
      <c r="M236" s="158">
        <f t="shared" si="66"/>
        <v>0</v>
      </c>
      <c r="N236" s="158">
        <f t="shared" si="67"/>
        <v>0</v>
      </c>
      <c r="O236" s="158">
        <f t="shared" si="68"/>
        <v>0</v>
      </c>
    </row>
    <row r="237" spans="1:17">
      <c r="A237" s="6" t="s">
        <v>396</v>
      </c>
      <c r="B237" s="156" t="s">
        <v>193</v>
      </c>
      <c r="C237" s="156" t="s">
        <v>200</v>
      </c>
      <c r="D237" s="156" t="s">
        <v>202</v>
      </c>
      <c r="E237" s="156" t="s">
        <v>386</v>
      </c>
      <c r="F237" s="6" t="s">
        <v>396</v>
      </c>
      <c r="G237" s="175"/>
      <c r="H237" s="143"/>
      <c r="I237" s="116"/>
      <c r="J237" s="123"/>
      <c r="K237" s="123"/>
      <c r="L237" s="121"/>
      <c r="M237" s="158">
        <f>J237*K237</f>
        <v>0</v>
      </c>
      <c r="N237" s="158">
        <f t="shared" si="65"/>
        <v>0</v>
      </c>
      <c r="O237" s="158">
        <f t="shared" si="64"/>
        <v>0</v>
      </c>
    </row>
    <row r="238" spans="1:17">
      <c r="A238" s="4" t="s">
        <v>397</v>
      </c>
      <c r="B238" s="156"/>
      <c r="C238" s="156"/>
      <c r="D238" s="156"/>
      <c r="E238" s="156" t="s">
        <v>386</v>
      </c>
      <c r="F238" s="4" t="s">
        <v>397</v>
      </c>
      <c r="G238" s="5" t="s">
        <v>15</v>
      </c>
      <c r="H238" s="113"/>
      <c r="I238" s="123"/>
      <c r="J238" s="123"/>
      <c r="K238" s="123"/>
      <c r="L238" s="121"/>
      <c r="M238" s="158">
        <f t="shared" ref="M238:M276" si="69">J238*K238</f>
        <v>0</v>
      </c>
      <c r="N238" s="158">
        <f t="shared" ref="N238:N276" si="70">J238*L238</f>
        <v>0</v>
      </c>
      <c r="O238" s="158">
        <f t="shared" ref="O238:O276" si="71">N238+M238</f>
        <v>0</v>
      </c>
    </row>
    <row r="239" spans="1:17">
      <c r="A239" s="140"/>
      <c r="B239" s="156" t="s">
        <v>149</v>
      </c>
      <c r="C239" s="156" t="s">
        <v>204</v>
      </c>
      <c r="D239" s="156" t="s">
        <v>202</v>
      </c>
      <c r="E239" s="156" t="s">
        <v>386</v>
      </c>
      <c r="F239" s="6" t="s">
        <v>398</v>
      </c>
      <c r="G239" s="141"/>
      <c r="H239" s="113"/>
      <c r="I239" s="127" t="s">
        <v>20</v>
      </c>
      <c r="J239" s="127">
        <v>0</v>
      </c>
      <c r="K239" s="127"/>
      <c r="L239" s="142">
        <v>0</v>
      </c>
      <c r="M239" s="158">
        <f t="shared" ref="M239:M254" si="72">J239*K239</f>
        <v>0</v>
      </c>
      <c r="N239" s="158">
        <f t="shared" ref="N239:N254" si="73">J239*L239</f>
        <v>0</v>
      </c>
      <c r="O239" s="158">
        <f t="shared" ref="O239:O254" si="74">M239+N239</f>
        <v>0</v>
      </c>
    </row>
    <row r="240" spans="1:17">
      <c r="A240" s="140"/>
      <c r="B240" s="156" t="s">
        <v>149</v>
      </c>
      <c r="C240" s="156" t="s">
        <v>204</v>
      </c>
      <c r="D240" s="156" t="s">
        <v>202</v>
      </c>
      <c r="E240" s="156" t="s">
        <v>386</v>
      </c>
      <c r="F240" s="6" t="s">
        <v>399</v>
      </c>
      <c r="G240" s="141"/>
      <c r="H240" s="113"/>
      <c r="I240" s="127" t="s">
        <v>20</v>
      </c>
      <c r="J240" s="127">
        <v>0</v>
      </c>
      <c r="K240" s="127"/>
      <c r="L240" s="142">
        <v>0</v>
      </c>
      <c r="M240" s="158">
        <f t="shared" si="72"/>
        <v>0</v>
      </c>
      <c r="N240" s="158">
        <f t="shared" si="73"/>
        <v>0</v>
      </c>
      <c r="O240" s="158">
        <f t="shared" si="74"/>
        <v>0</v>
      </c>
    </row>
    <row r="241" spans="1:17">
      <c r="A241" s="140"/>
      <c r="B241" s="156" t="s">
        <v>149</v>
      </c>
      <c r="C241" s="156" t="s">
        <v>204</v>
      </c>
      <c r="D241" s="156" t="s">
        <v>202</v>
      </c>
      <c r="E241" s="156" t="s">
        <v>386</v>
      </c>
      <c r="F241" s="6" t="s">
        <v>400</v>
      </c>
      <c r="G241" s="141"/>
      <c r="H241" s="113"/>
      <c r="I241" s="127" t="s">
        <v>20</v>
      </c>
      <c r="J241" s="127">
        <v>0</v>
      </c>
      <c r="K241" s="127"/>
      <c r="L241" s="142">
        <v>0</v>
      </c>
      <c r="M241" s="158">
        <f t="shared" si="72"/>
        <v>0</v>
      </c>
      <c r="N241" s="158">
        <f t="shared" si="73"/>
        <v>0</v>
      </c>
      <c r="O241" s="158">
        <f t="shared" si="74"/>
        <v>0</v>
      </c>
    </row>
    <row r="242" spans="1:17">
      <c r="A242" s="140"/>
      <c r="B242" s="156" t="s">
        <v>149</v>
      </c>
      <c r="C242" s="156" t="s">
        <v>204</v>
      </c>
      <c r="D242" s="156" t="s">
        <v>202</v>
      </c>
      <c r="E242" s="156" t="s">
        <v>386</v>
      </c>
      <c r="F242" s="6" t="s">
        <v>519</v>
      </c>
      <c r="G242" s="141"/>
      <c r="H242" s="113"/>
      <c r="I242" s="127" t="s">
        <v>20</v>
      </c>
      <c r="J242" s="127">
        <v>0</v>
      </c>
      <c r="K242" s="127"/>
      <c r="L242" s="142">
        <v>0</v>
      </c>
      <c r="M242" s="158">
        <f t="shared" si="72"/>
        <v>0</v>
      </c>
      <c r="N242" s="158">
        <f t="shared" si="73"/>
        <v>0</v>
      </c>
      <c r="O242" s="158">
        <f t="shared" si="74"/>
        <v>0</v>
      </c>
    </row>
    <row r="243" spans="1:17">
      <c r="A243" s="140"/>
      <c r="B243" s="156" t="s">
        <v>149</v>
      </c>
      <c r="C243" s="156" t="s">
        <v>204</v>
      </c>
      <c r="D243" s="156" t="s">
        <v>202</v>
      </c>
      <c r="E243" s="156" t="s">
        <v>386</v>
      </c>
      <c r="F243" s="6" t="s">
        <v>520</v>
      </c>
      <c r="G243" s="141"/>
      <c r="H243" s="113"/>
      <c r="I243" s="127" t="s">
        <v>20</v>
      </c>
      <c r="J243" s="127">
        <v>0</v>
      </c>
      <c r="K243" s="127"/>
      <c r="L243" s="142">
        <v>0</v>
      </c>
      <c r="M243" s="158">
        <f t="shared" si="72"/>
        <v>0</v>
      </c>
      <c r="N243" s="158">
        <f t="shared" si="73"/>
        <v>0</v>
      </c>
      <c r="O243" s="158">
        <f t="shared" si="74"/>
        <v>0</v>
      </c>
    </row>
    <row r="244" spans="1:17">
      <c r="A244" s="140"/>
      <c r="B244" s="156" t="s">
        <v>149</v>
      </c>
      <c r="C244" s="156" t="s">
        <v>204</v>
      </c>
      <c r="D244" s="156" t="s">
        <v>202</v>
      </c>
      <c r="E244" s="156" t="s">
        <v>386</v>
      </c>
      <c r="F244" s="6" t="s">
        <v>521</v>
      </c>
      <c r="G244" s="141"/>
      <c r="H244" s="113"/>
      <c r="I244" s="127" t="s">
        <v>20</v>
      </c>
      <c r="J244" s="127">
        <v>0</v>
      </c>
      <c r="K244" s="127"/>
      <c r="L244" s="142">
        <v>0</v>
      </c>
      <c r="M244" s="158">
        <f t="shared" si="72"/>
        <v>0</v>
      </c>
      <c r="N244" s="158">
        <f t="shared" si="73"/>
        <v>0</v>
      </c>
      <c r="O244" s="158">
        <f t="shared" si="74"/>
        <v>0</v>
      </c>
    </row>
    <row r="245" spans="1:17">
      <c r="A245" s="140"/>
      <c r="B245" s="156" t="s">
        <v>149</v>
      </c>
      <c r="C245" s="156" t="s">
        <v>204</v>
      </c>
      <c r="D245" s="156" t="s">
        <v>202</v>
      </c>
      <c r="E245" s="156" t="s">
        <v>386</v>
      </c>
      <c r="F245" s="6" t="s">
        <v>522</v>
      </c>
      <c r="G245" s="141"/>
      <c r="H245" s="174"/>
      <c r="I245" s="127" t="s">
        <v>20</v>
      </c>
      <c r="J245" s="127">
        <v>0</v>
      </c>
      <c r="K245" s="127"/>
      <c r="L245" s="142">
        <v>0</v>
      </c>
      <c r="M245" s="158">
        <f t="shared" si="72"/>
        <v>0</v>
      </c>
      <c r="N245" s="158">
        <f t="shared" si="73"/>
        <v>0</v>
      </c>
      <c r="O245" s="158">
        <f t="shared" si="74"/>
        <v>0</v>
      </c>
    </row>
    <row r="246" spans="1:17">
      <c r="A246" s="140"/>
      <c r="B246" s="156" t="s">
        <v>149</v>
      </c>
      <c r="C246" s="156" t="s">
        <v>204</v>
      </c>
      <c r="D246" s="156" t="s">
        <v>202</v>
      </c>
      <c r="E246" s="156" t="s">
        <v>386</v>
      </c>
      <c r="F246" s="6" t="s">
        <v>523</v>
      </c>
      <c r="G246" s="141"/>
      <c r="H246" s="113"/>
      <c r="I246" s="127" t="s">
        <v>20</v>
      </c>
      <c r="J246" s="127">
        <v>0</v>
      </c>
      <c r="K246" s="127"/>
      <c r="L246" s="142">
        <v>0</v>
      </c>
      <c r="M246" s="158">
        <f t="shared" si="72"/>
        <v>0</v>
      </c>
      <c r="N246" s="158">
        <f t="shared" si="73"/>
        <v>0</v>
      </c>
      <c r="O246" s="158">
        <f t="shared" si="74"/>
        <v>0</v>
      </c>
    </row>
    <row r="247" spans="1:17">
      <c r="A247" s="140"/>
      <c r="B247" s="156" t="s">
        <v>149</v>
      </c>
      <c r="C247" s="156" t="s">
        <v>204</v>
      </c>
      <c r="D247" s="156" t="s">
        <v>202</v>
      </c>
      <c r="E247" s="156" t="s">
        <v>386</v>
      </c>
      <c r="F247" s="6" t="s">
        <v>524</v>
      </c>
      <c r="G247" s="141"/>
      <c r="H247" s="113"/>
      <c r="I247" s="127" t="s">
        <v>20</v>
      </c>
      <c r="J247" s="127">
        <v>0</v>
      </c>
      <c r="K247" s="127"/>
      <c r="L247" s="142">
        <v>0</v>
      </c>
      <c r="M247" s="158">
        <f t="shared" si="72"/>
        <v>0</v>
      </c>
      <c r="N247" s="158">
        <f t="shared" si="73"/>
        <v>0</v>
      </c>
      <c r="O247" s="158">
        <f t="shared" si="74"/>
        <v>0</v>
      </c>
    </row>
    <row r="248" spans="1:17">
      <c r="A248" s="140"/>
      <c r="B248" s="156" t="s">
        <v>149</v>
      </c>
      <c r="C248" s="156" t="s">
        <v>204</v>
      </c>
      <c r="D248" s="156" t="s">
        <v>202</v>
      </c>
      <c r="E248" s="156" t="s">
        <v>386</v>
      </c>
      <c r="F248" s="6" t="s">
        <v>525</v>
      </c>
      <c r="G248" s="141"/>
      <c r="H248" s="113"/>
      <c r="I248" s="127" t="s">
        <v>20</v>
      </c>
      <c r="J248" s="127">
        <v>0</v>
      </c>
      <c r="K248" s="127"/>
      <c r="L248" s="142">
        <v>0</v>
      </c>
      <c r="M248" s="158">
        <f t="shared" si="72"/>
        <v>0</v>
      </c>
      <c r="N248" s="158">
        <f t="shared" si="73"/>
        <v>0</v>
      </c>
      <c r="O248" s="158">
        <f t="shared" si="74"/>
        <v>0</v>
      </c>
    </row>
    <row r="249" spans="1:17">
      <c r="A249" s="140"/>
      <c r="B249" s="156" t="s">
        <v>149</v>
      </c>
      <c r="C249" s="156" t="s">
        <v>204</v>
      </c>
      <c r="D249" s="156" t="s">
        <v>202</v>
      </c>
      <c r="E249" s="156" t="s">
        <v>386</v>
      </c>
      <c r="F249" s="6" t="s">
        <v>526</v>
      </c>
      <c r="G249" s="141"/>
      <c r="H249" s="113"/>
      <c r="I249" s="127" t="s">
        <v>20</v>
      </c>
      <c r="J249" s="127">
        <v>0</v>
      </c>
      <c r="K249" s="127"/>
      <c r="L249" s="142">
        <v>0</v>
      </c>
      <c r="M249" s="158">
        <f t="shared" si="72"/>
        <v>0</v>
      </c>
      <c r="N249" s="158">
        <f t="shared" si="73"/>
        <v>0</v>
      </c>
      <c r="O249" s="158">
        <f t="shared" si="74"/>
        <v>0</v>
      </c>
    </row>
    <row r="250" spans="1:17">
      <c r="A250" s="140"/>
      <c r="B250" s="156" t="s">
        <v>149</v>
      </c>
      <c r="C250" s="156" t="s">
        <v>204</v>
      </c>
      <c r="D250" s="156" t="s">
        <v>202</v>
      </c>
      <c r="E250" s="156" t="s">
        <v>386</v>
      </c>
      <c r="F250" s="6" t="s">
        <v>527</v>
      </c>
      <c r="G250" s="141"/>
      <c r="H250" s="113"/>
      <c r="I250" s="127" t="s">
        <v>20</v>
      </c>
      <c r="J250" s="127">
        <v>0</v>
      </c>
      <c r="K250" s="127"/>
      <c r="L250" s="142">
        <v>0</v>
      </c>
      <c r="M250" s="158">
        <f t="shared" si="72"/>
        <v>0</v>
      </c>
      <c r="N250" s="158">
        <f t="shared" si="73"/>
        <v>0</v>
      </c>
      <c r="O250" s="158">
        <f t="shared" si="74"/>
        <v>0</v>
      </c>
    </row>
    <row r="251" spans="1:17">
      <c r="A251" s="140"/>
      <c r="B251" s="156" t="s">
        <v>149</v>
      </c>
      <c r="C251" s="156" t="s">
        <v>204</v>
      </c>
      <c r="D251" s="156" t="s">
        <v>202</v>
      </c>
      <c r="E251" s="156" t="s">
        <v>386</v>
      </c>
      <c r="F251" s="6" t="s">
        <v>528</v>
      </c>
      <c r="G251" s="141"/>
      <c r="H251" s="113"/>
      <c r="I251" s="127" t="s">
        <v>20</v>
      </c>
      <c r="J251" s="127">
        <v>0</v>
      </c>
      <c r="K251" s="127"/>
      <c r="L251" s="142">
        <v>0</v>
      </c>
      <c r="M251" s="158">
        <f t="shared" si="72"/>
        <v>0</v>
      </c>
      <c r="N251" s="158">
        <f t="shared" si="73"/>
        <v>0</v>
      </c>
      <c r="O251" s="158">
        <f t="shared" si="74"/>
        <v>0</v>
      </c>
    </row>
    <row r="252" spans="1:17">
      <c r="A252" s="140"/>
      <c r="B252" s="156" t="s">
        <v>149</v>
      </c>
      <c r="C252" s="156" t="s">
        <v>204</v>
      </c>
      <c r="D252" s="156" t="s">
        <v>202</v>
      </c>
      <c r="E252" s="156" t="s">
        <v>386</v>
      </c>
      <c r="F252" s="6" t="s">
        <v>529</v>
      </c>
      <c r="G252" s="141"/>
      <c r="H252" s="113"/>
      <c r="I252" s="127" t="s">
        <v>20</v>
      </c>
      <c r="J252" s="127">
        <v>0</v>
      </c>
      <c r="K252" s="127"/>
      <c r="L252" s="142">
        <v>0</v>
      </c>
      <c r="M252" s="158">
        <f t="shared" si="72"/>
        <v>0</v>
      </c>
      <c r="N252" s="158">
        <f t="shared" si="73"/>
        <v>0</v>
      </c>
      <c r="O252" s="158">
        <f t="shared" si="74"/>
        <v>0</v>
      </c>
    </row>
    <row r="253" spans="1:17">
      <c r="A253" s="140"/>
      <c r="B253" s="156" t="s">
        <v>149</v>
      </c>
      <c r="C253" s="156" t="s">
        <v>204</v>
      </c>
      <c r="D253" s="156" t="s">
        <v>202</v>
      </c>
      <c r="E253" s="156" t="s">
        <v>386</v>
      </c>
      <c r="F253" s="6" t="s">
        <v>530</v>
      </c>
      <c r="G253" s="141"/>
      <c r="H253" s="174"/>
      <c r="I253" s="127" t="s">
        <v>20</v>
      </c>
      <c r="J253" s="127">
        <v>0</v>
      </c>
      <c r="K253" s="127"/>
      <c r="L253" s="142">
        <v>0</v>
      </c>
      <c r="M253" s="158">
        <f t="shared" si="72"/>
        <v>0</v>
      </c>
      <c r="N253" s="158">
        <f t="shared" si="73"/>
        <v>0</v>
      </c>
      <c r="O253" s="158">
        <f t="shared" si="74"/>
        <v>0</v>
      </c>
    </row>
    <row r="254" spans="1:17">
      <c r="A254" s="140"/>
      <c r="B254" s="156" t="s">
        <v>149</v>
      </c>
      <c r="C254" s="156" t="s">
        <v>204</v>
      </c>
      <c r="D254" s="156" t="s">
        <v>202</v>
      </c>
      <c r="E254" s="156" t="s">
        <v>386</v>
      </c>
      <c r="F254" s="6" t="s">
        <v>531</v>
      </c>
      <c r="G254" s="141"/>
      <c r="H254" s="113"/>
      <c r="I254" s="127" t="s">
        <v>20</v>
      </c>
      <c r="J254" s="127">
        <v>0</v>
      </c>
      <c r="K254" s="127"/>
      <c r="L254" s="142">
        <v>0</v>
      </c>
      <c r="M254" s="158">
        <f t="shared" si="72"/>
        <v>0</v>
      </c>
      <c r="N254" s="158">
        <f t="shared" si="73"/>
        <v>0</v>
      </c>
      <c r="O254" s="158">
        <f t="shared" si="74"/>
        <v>0</v>
      </c>
      <c r="P254" s="153">
        <f>SUM(N239:N254)</f>
        <v>0</v>
      </c>
      <c r="Q254" s="153" t="s">
        <v>703</v>
      </c>
    </row>
    <row r="255" spans="1:17">
      <c r="A255" s="140"/>
      <c r="B255" s="156"/>
      <c r="C255" s="156"/>
      <c r="D255" s="156"/>
      <c r="E255" s="156"/>
      <c r="F255" s="6" t="s">
        <v>532</v>
      </c>
      <c r="G255" s="141"/>
      <c r="H255" s="113"/>
      <c r="I255" s="127" t="s">
        <v>20</v>
      </c>
      <c r="J255" s="127">
        <v>0</v>
      </c>
      <c r="K255" s="127"/>
      <c r="L255" s="142">
        <v>0</v>
      </c>
      <c r="M255" s="158">
        <f t="shared" si="69"/>
        <v>0</v>
      </c>
      <c r="N255" s="158">
        <f t="shared" si="70"/>
        <v>0</v>
      </c>
      <c r="O255" s="158">
        <f t="shared" si="71"/>
        <v>0</v>
      </c>
    </row>
    <row r="256" spans="1:17">
      <c r="A256" s="140"/>
      <c r="B256" s="156"/>
      <c r="C256" s="156"/>
      <c r="D256" s="156"/>
      <c r="E256" s="156"/>
      <c r="F256" s="6" t="s">
        <v>533</v>
      </c>
      <c r="G256" s="141"/>
      <c r="H256" s="113"/>
      <c r="I256" s="127" t="s">
        <v>20</v>
      </c>
      <c r="J256" s="127">
        <v>0</v>
      </c>
      <c r="K256" s="127"/>
      <c r="L256" s="142">
        <v>0</v>
      </c>
      <c r="M256" s="158">
        <f t="shared" si="69"/>
        <v>0</v>
      </c>
      <c r="N256" s="158">
        <f t="shared" si="70"/>
        <v>0</v>
      </c>
      <c r="O256" s="158">
        <f t="shared" si="71"/>
        <v>0</v>
      </c>
    </row>
    <row r="257" spans="1:15">
      <c r="A257" s="140"/>
      <c r="B257" s="156"/>
      <c r="C257" s="156"/>
      <c r="D257" s="156"/>
      <c r="E257" s="156"/>
      <c r="F257" s="6" t="s">
        <v>534</v>
      </c>
      <c r="G257" s="141"/>
      <c r="H257" s="113"/>
      <c r="I257" s="127" t="s">
        <v>20</v>
      </c>
      <c r="J257" s="127">
        <v>0</v>
      </c>
      <c r="K257" s="127"/>
      <c r="L257" s="142">
        <v>0</v>
      </c>
      <c r="M257" s="158">
        <f t="shared" si="69"/>
        <v>0</v>
      </c>
      <c r="N257" s="158">
        <f t="shared" si="70"/>
        <v>0</v>
      </c>
      <c r="O257" s="158">
        <f t="shared" si="71"/>
        <v>0</v>
      </c>
    </row>
    <row r="258" spans="1:15">
      <c r="A258" s="140"/>
      <c r="B258" s="156"/>
      <c r="C258" s="156"/>
      <c r="D258" s="156"/>
      <c r="E258" s="156"/>
      <c r="F258" s="6" t="s">
        <v>684</v>
      </c>
      <c r="G258" s="141"/>
      <c r="H258" s="113"/>
      <c r="I258" s="127" t="s">
        <v>20</v>
      </c>
      <c r="J258" s="127">
        <v>0</v>
      </c>
      <c r="K258" s="127"/>
      <c r="L258" s="142">
        <v>0</v>
      </c>
      <c r="M258" s="158">
        <f t="shared" si="69"/>
        <v>0</v>
      </c>
      <c r="N258" s="158">
        <f t="shared" si="70"/>
        <v>0</v>
      </c>
      <c r="O258" s="158">
        <f t="shared" si="71"/>
        <v>0</v>
      </c>
    </row>
    <row r="259" spans="1:15">
      <c r="A259" s="140"/>
      <c r="B259" s="156"/>
      <c r="C259" s="156"/>
      <c r="D259" s="156"/>
      <c r="E259" s="156"/>
      <c r="F259" s="6" t="s">
        <v>685</v>
      </c>
      <c r="G259" s="141"/>
      <c r="H259" s="113"/>
      <c r="I259" s="127" t="s">
        <v>20</v>
      </c>
      <c r="J259" s="127">
        <v>0</v>
      </c>
      <c r="K259" s="127"/>
      <c r="L259" s="142">
        <v>0</v>
      </c>
      <c r="M259" s="158">
        <f t="shared" si="69"/>
        <v>0</v>
      </c>
      <c r="N259" s="158">
        <f t="shared" si="70"/>
        <v>0</v>
      </c>
      <c r="O259" s="158">
        <f t="shared" si="71"/>
        <v>0</v>
      </c>
    </row>
    <row r="260" spans="1:15">
      <c r="A260" s="140"/>
      <c r="B260" s="156"/>
      <c r="C260" s="156"/>
      <c r="D260" s="156"/>
      <c r="E260" s="156"/>
      <c r="F260" s="6" t="s">
        <v>686</v>
      </c>
      <c r="G260" s="141"/>
      <c r="H260" s="113"/>
      <c r="I260" s="127" t="s">
        <v>20</v>
      </c>
      <c r="J260" s="127">
        <v>0</v>
      </c>
      <c r="K260" s="127"/>
      <c r="L260" s="142">
        <v>0</v>
      </c>
      <c r="M260" s="158">
        <f t="shared" si="69"/>
        <v>0</v>
      </c>
      <c r="N260" s="158">
        <f t="shared" si="70"/>
        <v>0</v>
      </c>
      <c r="O260" s="158">
        <f t="shared" si="71"/>
        <v>0</v>
      </c>
    </row>
    <row r="261" spans="1:15">
      <c r="A261" s="140"/>
      <c r="B261" s="156"/>
      <c r="C261" s="156"/>
      <c r="D261" s="156"/>
      <c r="E261" s="156"/>
      <c r="F261" s="6" t="s">
        <v>687</v>
      </c>
      <c r="G261" s="141"/>
      <c r="H261" s="113"/>
      <c r="I261" s="127" t="s">
        <v>20</v>
      </c>
      <c r="J261" s="127">
        <v>0</v>
      </c>
      <c r="K261" s="127"/>
      <c r="L261" s="142">
        <v>0</v>
      </c>
      <c r="M261" s="158">
        <f t="shared" si="69"/>
        <v>0</v>
      </c>
      <c r="N261" s="158">
        <f t="shared" si="70"/>
        <v>0</v>
      </c>
      <c r="O261" s="158">
        <f t="shared" si="71"/>
        <v>0</v>
      </c>
    </row>
    <row r="262" spans="1:15">
      <c r="A262" s="140"/>
      <c r="B262" s="156"/>
      <c r="C262" s="156"/>
      <c r="D262" s="156"/>
      <c r="E262" s="156"/>
      <c r="F262" s="6" t="s">
        <v>688</v>
      </c>
      <c r="G262" s="141"/>
      <c r="H262" s="113"/>
      <c r="I262" s="127" t="s">
        <v>20</v>
      </c>
      <c r="J262" s="127">
        <v>0</v>
      </c>
      <c r="K262" s="127"/>
      <c r="L262" s="142">
        <v>0</v>
      </c>
      <c r="M262" s="158">
        <f t="shared" si="69"/>
        <v>0</v>
      </c>
      <c r="N262" s="158">
        <f t="shared" si="70"/>
        <v>0</v>
      </c>
      <c r="O262" s="158">
        <f t="shared" si="71"/>
        <v>0</v>
      </c>
    </row>
    <row r="263" spans="1:15">
      <c r="A263" s="140"/>
      <c r="B263" s="156"/>
      <c r="C263" s="156"/>
      <c r="D263" s="156"/>
      <c r="E263" s="156"/>
      <c r="F263" s="6" t="s">
        <v>689</v>
      </c>
      <c r="G263" s="141"/>
      <c r="H263" s="113"/>
      <c r="I263" s="127" t="s">
        <v>20</v>
      </c>
      <c r="J263" s="127">
        <v>0</v>
      </c>
      <c r="K263" s="127"/>
      <c r="L263" s="142">
        <v>0</v>
      </c>
      <c r="M263" s="158">
        <f t="shared" si="69"/>
        <v>0</v>
      </c>
      <c r="N263" s="158">
        <f t="shared" si="70"/>
        <v>0</v>
      </c>
      <c r="O263" s="158">
        <f t="shared" si="71"/>
        <v>0</v>
      </c>
    </row>
    <row r="264" spans="1:15">
      <c r="A264" s="140"/>
      <c r="B264" s="156"/>
      <c r="C264" s="156"/>
      <c r="D264" s="156"/>
      <c r="E264" s="156"/>
      <c r="F264" s="6" t="s">
        <v>690</v>
      </c>
      <c r="G264" s="141"/>
      <c r="H264" s="113"/>
      <c r="I264" s="127" t="s">
        <v>20</v>
      </c>
      <c r="J264" s="127">
        <v>0</v>
      </c>
      <c r="K264" s="127"/>
      <c r="L264" s="142">
        <v>0</v>
      </c>
      <c r="M264" s="158">
        <f t="shared" si="69"/>
        <v>0</v>
      </c>
      <c r="N264" s="158">
        <f t="shared" si="70"/>
        <v>0</v>
      </c>
      <c r="O264" s="158">
        <f t="shared" si="71"/>
        <v>0</v>
      </c>
    </row>
    <row r="265" spans="1:15">
      <c r="A265" s="140"/>
      <c r="B265" s="156"/>
      <c r="C265" s="156"/>
      <c r="D265" s="156"/>
      <c r="E265" s="156"/>
      <c r="F265" s="6" t="s">
        <v>691</v>
      </c>
      <c r="G265" s="141"/>
      <c r="H265" s="113"/>
      <c r="I265" s="127" t="s">
        <v>20</v>
      </c>
      <c r="J265" s="127">
        <v>0</v>
      </c>
      <c r="K265" s="127"/>
      <c r="L265" s="142">
        <v>0</v>
      </c>
      <c r="M265" s="158">
        <f t="shared" si="69"/>
        <v>0</v>
      </c>
      <c r="N265" s="158">
        <f t="shared" si="70"/>
        <v>0</v>
      </c>
      <c r="O265" s="158">
        <f t="shared" si="71"/>
        <v>0</v>
      </c>
    </row>
    <row r="266" spans="1:15">
      <c r="A266" s="140"/>
      <c r="B266" s="156"/>
      <c r="C266" s="156"/>
      <c r="D266" s="156"/>
      <c r="E266" s="156"/>
      <c r="F266" s="6" t="s">
        <v>692</v>
      </c>
      <c r="G266" s="141"/>
      <c r="H266" s="113"/>
      <c r="I266" s="127" t="s">
        <v>20</v>
      </c>
      <c r="J266" s="127">
        <v>0</v>
      </c>
      <c r="K266" s="127"/>
      <c r="L266" s="142">
        <v>0</v>
      </c>
      <c r="M266" s="158">
        <f t="shared" si="69"/>
        <v>0</v>
      </c>
      <c r="N266" s="158">
        <f t="shared" si="70"/>
        <v>0</v>
      </c>
      <c r="O266" s="158">
        <f t="shared" si="71"/>
        <v>0</v>
      </c>
    </row>
    <row r="267" spans="1:15">
      <c r="A267" s="140"/>
      <c r="B267" s="156"/>
      <c r="C267" s="156"/>
      <c r="D267" s="156"/>
      <c r="E267" s="156"/>
      <c r="F267" s="6" t="s">
        <v>693</v>
      </c>
      <c r="G267" s="141"/>
      <c r="H267" s="113"/>
      <c r="I267" s="127" t="s">
        <v>20</v>
      </c>
      <c r="J267" s="127">
        <v>0</v>
      </c>
      <c r="K267" s="127"/>
      <c r="L267" s="142">
        <v>0</v>
      </c>
      <c r="M267" s="158">
        <f t="shared" si="69"/>
        <v>0</v>
      </c>
      <c r="N267" s="158">
        <f t="shared" si="70"/>
        <v>0</v>
      </c>
      <c r="O267" s="158">
        <f t="shared" si="71"/>
        <v>0</v>
      </c>
    </row>
    <row r="268" spans="1:15">
      <c r="A268" s="140"/>
      <c r="B268" s="156"/>
      <c r="C268" s="156"/>
      <c r="D268" s="156"/>
      <c r="E268" s="156"/>
      <c r="F268" s="6" t="s">
        <v>694</v>
      </c>
      <c r="G268" s="141"/>
      <c r="H268" s="113"/>
      <c r="I268" s="127" t="s">
        <v>20</v>
      </c>
      <c r="J268" s="127">
        <v>0</v>
      </c>
      <c r="K268" s="127"/>
      <c r="L268" s="142">
        <v>0</v>
      </c>
      <c r="M268" s="158">
        <f t="shared" si="69"/>
        <v>0</v>
      </c>
      <c r="N268" s="158">
        <f t="shared" si="70"/>
        <v>0</v>
      </c>
      <c r="O268" s="158">
        <f t="shared" si="71"/>
        <v>0</v>
      </c>
    </row>
    <row r="269" spans="1:15">
      <c r="A269" s="140"/>
      <c r="B269" s="156"/>
      <c r="C269" s="156"/>
      <c r="D269" s="156"/>
      <c r="E269" s="156"/>
      <c r="F269" s="6" t="s">
        <v>695</v>
      </c>
      <c r="G269" s="141"/>
      <c r="H269" s="113"/>
      <c r="I269" s="127" t="s">
        <v>20</v>
      </c>
      <c r="J269" s="127">
        <v>0</v>
      </c>
      <c r="K269" s="127"/>
      <c r="L269" s="142">
        <v>0</v>
      </c>
      <c r="M269" s="158">
        <f t="shared" si="69"/>
        <v>0</v>
      </c>
      <c r="N269" s="158">
        <f t="shared" si="70"/>
        <v>0</v>
      </c>
      <c r="O269" s="158">
        <f t="shared" si="71"/>
        <v>0</v>
      </c>
    </row>
    <row r="270" spans="1:15">
      <c r="A270" s="140"/>
      <c r="B270" s="156"/>
      <c r="C270" s="156"/>
      <c r="D270" s="156"/>
      <c r="E270" s="156"/>
      <c r="F270" s="6" t="s">
        <v>696</v>
      </c>
      <c r="G270" s="141"/>
      <c r="H270" s="113"/>
      <c r="I270" s="127" t="s">
        <v>20</v>
      </c>
      <c r="J270" s="127">
        <v>0</v>
      </c>
      <c r="K270" s="127"/>
      <c r="L270" s="142">
        <v>0</v>
      </c>
      <c r="M270" s="158">
        <f t="shared" si="69"/>
        <v>0</v>
      </c>
      <c r="N270" s="158">
        <f t="shared" si="70"/>
        <v>0</v>
      </c>
      <c r="O270" s="158">
        <f t="shared" si="71"/>
        <v>0</v>
      </c>
    </row>
    <row r="271" spans="1:15">
      <c r="A271" s="140"/>
      <c r="B271" s="156"/>
      <c r="C271" s="156"/>
      <c r="D271" s="156"/>
      <c r="E271" s="156"/>
      <c r="F271" s="6" t="s">
        <v>697</v>
      </c>
      <c r="G271" s="141"/>
      <c r="H271" s="113"/>
      <c r="I271" s="127" t="s">
        <v>20</v>
      </c>
      <c r="J271" s="127">
        <v>0</v>
      </c>
      <c r="K271" s="127"/>
      <c r="L271" s="142">
        <v>0</v>
      </c>
      <c r="M271" s="158">
        <f t="shared" si="69"/>
        <v>0</v>
      </c>
      <c r="N271" s="158">
        <f t="shared" si="70"/>
        <v>0</v>
      </c>
      <c r="O271" s="158">
        <f t="shared" si="71"/>
        <v>0</v>
      </c>
    </row>
    <row r="272" spans="1:15">
      <c r="A272" s="140"/>
      <c r="B272" s="156"/>
      <c r="C272" s="156"/>
      <c r="D272" s="156"/>
      <c r="E272" s="156"/>
      <c r="F272" s="6" t="s">
        <v>698</v>
      </c>
      <c r="G272" s="141"/>
      <c r="H272" s="113"/>
      <c r="I272" s="127" t="s">
        <v>20</v>
      </c>
      <c r="J272" s="127">
        <v>0</v>
      </c>
      <c r="K272" s="127"/>
      <c r="L272" s="142">
        <v>0</v>
      </c>
      <c r="M272" s="158">
        <f t="shared" si="69"/>
        <v>0</v>
      </c>
      <c r="N272" s="158">
        <f t="shared" si="70"/>
        <v>0</v>
      </c>
      <c r="O272" s="158">
        <f t="shared" si="71"/>
        <v>0</v>
      </c>
    </row>
    <row r="273" spans="1:16">
      <c r="A273" s="140"/>
      <c r="B273" s="156"/>
      <c r="C273" s="156"/>
      <c r="D273" s="156"/>
      <c r="E273" s="156"/>
      <c r="F273" s="6" t="s">
        <v>699</v>
      </c>
      <c r="G273" s="141"/>
      <c r="H273" s="113"/>
      <c r="I273" s="127" t="s">
        <v>20</v>
      </c>
      <c r="J273" s="127">
        <v>0</v>
      </c>
      <c r="K273" s="127"/>
      <c r="L273" s="142">
        <v>0</v>
      </c>
      <c r="M273" s="158">
        <f t="shared" si="69"/>
        <v>0</v>
      </c>
      <c r="N273" s="158">
        <f t="shared" si="70"/>
        <v>0</v>
      </c>
      <c r="O273" s="158">
        <f t="shared" si="71"/>
        <v>0</v>
      </c>
    </row>
    <row r="274" spans="1:16">
      <c r="A274" s="140"/>
      <c r="B274" s="156"/>
      <c r="C274" s="156"/>
      <c r="D274" s="156"/>
      <c r="E274" s="156"/>
      <c r="F274" s="6" t="s">
        <v>700</v>
      </c>
      <c r="G274" s="141"/>
      <c r="H274" s="113"/>
      <c r="I274" s="127" t="s">
        <v>20</v>
      </c>
      <c r="J274" s="127">
        <v>0</v>
      </c>
      <c r="K274" s="127"/>
      <c r="L274" s="142">
        <v>0</v>
      </c>
      <c r="M274" s="158">
        <f t="shared" si="69"/>
        <v>0</v>
      </c>
      <c r="N274" s="158">
        <f t="shared" si="70"/>
        <v>0</v>
      </c>
      <c r="O274" s="158">
        <f t="shared" si="71"/>
        <v>0</v>
      </c>
    </row>
    <row r="275" spans="1:16">
      <c r="A275" s="140"/>
      <c r="B275" s="156"/>
      <c r="C275" s="156"/>
      <c r="D275" s="156"/>
      <c r="E275" s="156"/>
      <c r="F275" s="6" t="s">
        <v>701</v>
      </c>
      <c r="G275" s="141"/>
      <c r="H275" s="113"/>
      <c r="I275" s="127" t="s">
        <v>295</v>
      </c>
      <c r="J275" s="127">
        <v>0</v>
      </c>
      <c r="K275" s="127"/>
      <c r="L275" s="142">
        <v>0</v>
      </c>
      <c r="M275" s="158">
        <f t="shared" si="69"/>
        <v>0</v>
      </c>
      <c r="N275" s="158">
        <f t="shared" si="70"/>
        <v>0</v>
      </c>
      <c r="O275" s="158">
        <f t="shared" si="71"/>
        <v>0</v>
      </c>
    </row>
    <row r="276" spans="1:16" ht="15.75">
      <c r="A276" s="140"/>
      <c r="B276" s="156"/>
      <c r="C276" s="156"/>
      <c r="D276" s="156"/>
      <c r="E276" s="156"/>
      <c r="F276" s="6" t="s">
        <v>702</v>
      </c>
      <c r="G276" s="141"/>
      <c r="H276" s="113"/>
      <c r="I276" s="127" t="s">
        <v>20</v>
      </c>
      <c r="J276" s="127">
        <v>0</v>
      </c>
      <c r="K276" s="127"/>
      <c r="L276" s="142">
        <v>0</v>
      </c>
      <c r="M276" s="158">
        <f t="shared" si="69"/>
        <v>0</v>
      </c>
      <c r="N276" s="158">
        <f t="shared" si="70"/>
        <v>0</v>
      </c>
      <c r="O276" s="158">
        <f t="shared" si="71"/>
        <v>0</v>
      </c>
      <c r="P276" s="213">
        <f>SUM(O239:O276)</f>
        <v>0</v>
      </c>
    </row>
    <row r="277" spans="1:16">
      <c r="A277" s="2" t="s">
        <v>401</v>
      </c>
      <c r="B277" s="2"/>
      <c r="C277" s="2"/>
      <c r="D277" s="2"/>
      <c r="E277" s="2"/>
      <c r="F277" s="170" t="s">
        <v>401</v>
      </c>
      <c r="G277" s="2" t="s">
        <v>24</v>
      </c>
      <c r="H277" s="145" t="s">
        <v>566</v>
      </c>
      <c r="I277" s="124"/>
      <c r="J277" s="124"/>
      <c r="K277" s="124"/>
      <c r="L277" s="124"/>
      <c r="M277" s="124">
        <f t="shared" ref="M277:M299" si="75">J277*K277</f>
        <v>0</v>
      </c>
      <c r="N277" s="124">
        <f>J277*L277</f>
        <v>0</v>
      </c>
      <c r="O277" s="124">
        <f t="shared" ref="O277" si="76">N277+M277</f>
        <v>0</v>
      </c>
    </row>
    <row r="278" spans="1:16">
      <c r="A278" s="4" t="s">
        <v>402</v>
      </c>
      <c r="B278" s="156"/>
      <c r="C278" s="156"/>
      <c r="D278" s="156"/>
      <c r="E278" s="156"/>
      <c r="F278" s="4" t="s">
        <v>402</v>
      </c>
      <c r="G278" s="5"/>
      <c r="H278" s="5"/>
      <c r="I278" s="116"/>
      <c r="J278" s="116"/>
      <c r="K278" s="123"/>
      <c r="L278" s="121"/>
      <c r="M278" s="158">
        <f t="shared" si="75"/>
        <v>0</v>
      </c>
      <c r="N278" s="158"/>
      <c r="O278" s="158"/>
    </row>
    <row r="279" spans="1:16">
      <c r="A279" s="6" t="s">
        <v>403</v>
      </c>
      <c r="B279" s="177" t="s">
        <v>148</v>
      </c>
      <c r="C279" s="156" t="s">
        <v>200</v>
      </c>
      <c r="D279" s="156" t="s">
        <v>202</v>
      </c>
      <c r="E279" s="156" t="s">
        <v>24</v>
      </c>
      <c r="F279" s="6" t="s">
        <v>403</v>
      </c>
      <c r="G279" s="173" t="s">
        <v>24</v>
      </c>
      <c r="H279" s="113"/>
      <c r="I279" s="116">
        <v>0.05</v>
      </c>
      <c r="J279" s="120"/>
      <c r="K279" s="123"/>
      <c r="L279" s="121"/>
      <c r="M279" s="158">
        <f t="shared" si="75"/>
        <v>0</v>
      </c>
      <c r="N279" s="158"/>
      <c r="O279" s="158">
        <f t="shared" ref="O279:O303" si="77">N279+M279</f>
        <v>0</v>
      </c>
    </row>
    <row r="280" spans="1:16">
      <c r="A280" s="6" t="s">
        <v>404</v>
      </c>
      <c r="B280" s="156" t="s">
        <v>193</v>
      </c>
      <c r="C280" s="156" t="s">
        <v>200</v>
      </c>
      <c r="D280" s="156" t="s">
        <v>202</v>
      </c>
      <c r="E280" s="156" t="s">
        <v>24</v>
      </c>
      <c r="F280" s="6" t="s">
        <v>404</v>
      </c>
      <c r="G280" s="173" t="s">
        <v>25</v>
      </c>
      <c r="H280" s="113"/>
      <c r="I280" s="116" t="s">
        <v>26</v>
      </c>
      <c r="J280" s="120"/>
      <c r="K280" s="123"/>
      <c r="L280" s="121"/>
      <c r="M280" s="158">
        <f t="shared" si="75"/>
        <v>0</v>
      </c>
      <c r="N280" s="158"/>
      <c r="O280" s="158">
        <f t="shared" si="77"/>
        <v>0</v>
      </c>
    </row>
    <row r="281" spans="1:16">
      <c r="A281" s="6" t="s">
        <v>405</v>
      </c>
      <c r="B281" s="156" t="s">
        <v>193</v>
      </c>
      <c r="C281" s="156" t="s">
        <v>200</v>
      </c>
      <c r="D281" s="156" t="s">
        <v>202</v>
      </c>
      <c r="E281" s="156" t="s">
        <v>24</v>
      </c>
      <c r="F281" s="6" t="s">
        <v>405</v>
      </c>
      <c r="G281" s="173" t="s">
        <v>27</v>
      </c>
      <c r="H281" s="113"/>
      <c r="I281" s="116">
        <v>5.0000000000000001E-3</v>
      </c>
      <c r="J281" s="120"/>
      <c r="K281" s="123"/>
      <c r="L281" s="121"/>
      <c r="M281" s="158">
        <f t="shared" si="75"/>
        <v>0</v>
      </c>
      <c r="N281" s="158"/>
      <c r="O281" s="158">
        <f t="shared" si="77"/>
        <v>0</v>
      </c>
    </row>
    <row r="282" spans="1:16">
      <c r="A282" s="6" t="s">
        <v>406</v>
      </c>
      <c r="B282" s="177" t="s">
        <v>107</v>
      </c>
      <c r="C282" s="156" t="s">
        <v>200</v>
      </c>
      <c r="D282" s="156" t="s">
        <v>202</v>
      </c>
      <c r="E282" s="156" t="s">
        <v>24</v>
      </c>
      <c r="F282" s="6" t="s">
        <v>406</v>
      </c>
      <c r="G282" s="173" t="s">
        <v>28</v>
      </c>
      <c r="H282" s="113"/>
      <c r="I282" s="116" t="s">
        <v>23</v>
      </c>
      <c r="J282" s="126">
        <v>1</v>
      </c>
      <c r="K282" s="127">
        <v>10000</v>
      </c>
      <c r="L282" s="121"/>
      <c r="M282" s="158">
        <f t="shared" ref="M282" si="78">J282*K282</f>
        <v>10000</v>
      </c>
      <c r="N282" s="158"/>
      <c r="O282" s="158">
        <f t="shared" si="77"/>
        <v>10000</v>
      </c>
    </row>
    <row r="283" spans="1:16">
      <c r="A283" s="6" t="s">
        <v>407</v>
      </c>
      <c r="B283" s="156"/>
      <c r="C283" s="156" t="s">
        <v>200</v>
      </c>
      <c r="D283" s="156" t="s">
        <v>202</v>
      </c>
      <c r="E283" s="156" t="s">
        <v>24</v>
      </c>
      <c r="F283" s="6" t="s">
        <v>407</v>
      </c>
      <c r="G283" s="173" t="s">
        <v>29</v>
      </c>
      <c r="H283" s="113"/>
      <c r="I283" s="116" t="s">
        <v>23</v>
      </c>
      <c r="J283" s="126"/>
      <c r="K283" s="127"/>
      <c r="L283" s="121"/>
      <c r="M283" s="158">
        <f t="shared" si="75"/>
        <v>0</v>
      </c>
      <c r="N283" s="158"/>
      <c r="O283" s="158">
        <f t="shared" si="77"/>
        <v>0</v>
      </c>
    </row>
    <row r="284" spans="1:16">
      <c r="A284" s="6" t="s">
        <v>408</v>
      </c>
      <c r="B284" s="177" t="s">
        <v>92</v>
      </c>
      <c r="C284" s="156" t="s">
        <v>200</v>
      </c>
      <c r="D284" s="156" t="s">
        <v>202</v>
      </c>
      <c r="E284" s="156" t="s">
        <v>24</v>
      </c>
      <c r="F284" s="6" t="s">
        <v>408</v>
      </c>
      <c r="G284" s="173" t="s">
        <v>30</v>
      </c>
      <c r="H284" s="113"/>
      <c r="I284" s="116" t="s">
        <v>26</v>
      </c>
      <c r="J284" s="126"/>
      <c r="K284" s="127"/>
      <c r="L284" s="121"/>
      <c r="M284" s="158">
        <f t="shared" si="75"/>
        <v>0</v>
      </c>
      <c r="N284" s="158"/>
      <c r="O284" s="158">
        <f t="shared" si="77"/>
        <v>0</v>
      </c>
    </row>
    <row r="285" spans="1:16">
      <c r="A285" s="6" t="s">
        <v>409</v>
      </c>
      <c r="B285" s="177" t="s">
        <v>92</v>
      </c>
      <c r="C285" s="156" t="s">
        <v>200</v>
      </c>
      <c r="D285" s="156" t="s">
        <v>202</v>
      </c>
      <c r="E285" s="156" t="s">
        <v>24</v>
      </c>
      <c r="F285" s="6" t="s">
        <v>409</v>
      </c>
      <c r="G285" s="173" t="s">
        <v>31</v>
      </c>
      <c r="H285" s="113"/>
      <c r="I285" s="116" t="s">
        <v>26</v>
      </c>
      <c r="J285" s="126"/>
      <c r="K285" s="127"/>
      <c r="L285" s="121"/>
      <c r="M285" s="158">
        <f t="shared" si="75"/>
        <v>0</v>
      </c>
      <c r="N285" s="158"/>
      <c r="O285" s="158">
        <f t="shared" si="77"/>
        <v>0</v>
      </c>
    </row>
    <row r="286" spans="1:16">
      <c r="A286" s="6" t="s">
        <v>410</v>
      </c>
      <c r="B286" s="177" t="s">
        <v>32</v>
      </c>
      <c r="C286" s="156" t="s">
        <v>200</v>
      </c>
      <c r="D286" s="156" t="s">
        <v>202</v>
      </c>
      <c r="E286" s="156" t="s">
        <v>24</v>
      </c>
      <c r="F286" s="6" t="s">
        <v>410</v>
      </c>
      <c r="G286" s="173" t="s">
        <v>32</v>
      </c>
      <c r="H286" s="113"/>
      <c r="I286" s="116" t="s">
        <v>26</v>
      </c>
      <c r="J286" s="126"/>
      <c r="K286" s="127"/>
      <c r="L286" s="121"/>
      <c r="M286" s="158">
        <f t="shared" si="75"/>
        <v>0</v>
      </c>
      <c r="N286" s="158"/>
      <c r="O286" s="158">
        <f t="shared" si="77"/>
        <v>0</v>
      </c>
    </row>
    <row r="287" spans="1:16">
      <c r="A287" s="6" t="s">
        <v>411</v>
      </c>
      <c r="B287" s="177" t="s">
        <v>94</v>
      </c>
      <c r="C287" s="156" t="s">
        <v>200</v>
      </c>
      <c r="D287" s="156" t="s">
        <v>202</v>
      </c>
      <c r="E287" s="156" t="s">
        <v>24</v>
      </c>
      <c r="F287" s="6" t="s">
        <v>411</v>
      </c>
      <c r="G287" s="173" t="s">
        <v>33</v>
      </c>
      <c r="H287" s="113"/>
      <c r="I287" s="116" t="s">
        <v>26</v>
      </c>
      <c r="J287" s="126"/>
      <c r="K287" s="127"/>
      <c r="L287" s="121"/>
      <c r="M287" s="158">
        <f t="shared" si="75"/>
        <v>0</v>
      </c>
      <c r="N287" s="158"/>
      <c r="O287" s="158">
        <f t="shared" si="77"/>
        <v>0</v>
      </c>
    </row>
    <row r="288" spans="1:16">
      <c r="A288" s="6" t="s">
        <v>412</v>
      </c>
      <c r="B288" s="178" t="s">
        <v>165</v>
      </c>
      <c r="C288" s="156" t="s">
        <v>200</v>
      </c>
      <c r="D288" s="156" t="s">
        <v>202</v>
      </c>
      <c r="E288" s="156" t="s">
        <v>24</v>
      </c>
      <c r="F288" s="6" t="s">
        <v>412</v>
      </c>
      <c r="G288" s="173" t="s">
        <v>422</v>
      </c>
      <c r="H288" s="113"/>
      <c r="I288" s="116" t="s">
        <v>26</v>
      </c>
      <c r="J288" s="126"/>
      <c r="K288" s="127"/>
      <c r="L288" s="121"/>
      <c r="M288" s="158">
        <f t="shared" si="75"/>
        <v>0</v>
      </c>
      <c r="N288" s="158"/>
      <c r="O288" s="158">
        <f t="shared" si="77"/>
        <v>0</v>
      </c>
    </row>
    <row r="289" spans="1:15">
      <c r="A289" s="6" t="s">
        <v>413</v>
      </c>
      <c r="B289" s="178" t="s">
        <v>165</v>
      </c>
      <c r="C289" s="156" t="s">
        <v>200</v>
      </c>
      <c r="D289" s="156" t="s">
        <v>202</v>
      </c>
      <c r="E289" s="156" t="s">
        <v>24</v>
      </c>
      <c r="F289" s="6" t="s">
        <v>413</v>
      </c>
      <c r="G289" s="173" t="s">
        <v>423</v>
      </c>
      <c r="H289" s="113"/>
      <c r="I289" s="116" t="s">
        <v>26</v>
      </c>
      <c r="J289" s="126"/>
      <c r="K289" s="127"/>
      <c r="L289" s="121"/>
      <c r="M289" s="158">
        <f t="shared" si="75"/>
        <v>0</v>
      </c>
      <c r="N289" s="158"/>
      <c r="O289" s="158">
        <f t="shared" si="77"/>
        <v>0</v>
      </c>
    </row>
    <row r="290" spans="1:15">
      <c r="A290" s="6" t="s">
        <v>414</v>
      </c>
      <c r="B290" s="179" t="s">
        <v>167</v>
      </c>
      <c r="C290" s="156" t="s">
        <v>200</v>
      </c>
      <c r="D290" s="156" t="s">
        <v>202</v>
      </c>
      <c r="E290" s="156" t="s">
        <v>24</v>
      </c>
      <c r="F290" s="6" t="s">
        <v>414</v>
      </c>
      <c r="G290" s="173" t="s">
        <v>167</v>
      </c>
      <c r="H290" s="113"/>
      <c r="I290" s="116" t="s">
        <v>26</v>
      </c>
      <c r="J290" s="126"/>
      <c r="K290" s="127"/>
      <c r="L290" s="121"/>
      <c r="M290" s="158">
        <f t="shared" si="75"/>
        <v>0</v>
      </c>
      <c r="N290" s="158"/>
      <c r="O290" s="158">
        <f t="shared" si="77"/>
        <v>0</v>
      </c>
    </row>
    <row r="291" spans="1:15">
      <c r="A291" s="6" t="s">
        <v>415</v>
      </c>
      <c r="B291" s="156" t="s">
        <v>166</v>
      </c>
      <c r="C291" s="156" t="s">
        <v>200</v>
      </c>
      <c r="D291" s="156" t="s">
        <v>202</v>
      </c>
      <c r="E291" s="156" t="s">
        <v>24</v>
      </c>
      <c r="F291" s="112" t="s">
        <v>415</v>
      </c>
      <c r="G291" s="180" t="s">
        <v>424</v>
      </c>
      <c r="H291" s="113"/>
      <c r="I291" s="125" t="s">
        <v>26</v>
      </c>
      <c r="J291" s="126"/>
      <c r="K291" s="127"/>
      <c r="L291" s="127"/>
      <c r="M291" s="158">
        <f t="shared" si="75"/>
        <v>0</v>
      </c>
      <c r="N291" s="176"/>
      <c r="O291" s="176">
        <f t="shared" si="77"/>
        <v>0</v>
      </c>
    </row>
    <row r="292" spans="1:15">
      <c r="A292" s="6" t="s">
        <v>416</v>
      </c>
      <c r="B292" s="177" t="s">
        <v>91</v>
      </c>
      <c r="C292" s="156" t="s">
        <v>200</v>
      </c>
      <c r="D292" s="156" t="s">
        <v>202</v>
      </c>
      <c r="E292" s="156" t="s">
        <v>24</v>
      </c>
      <c r="F292" s="112" t="s">
        <v>416</v>
      </c>
      <c r="G292" s="180" t="s">
        <v>34</v>
      </c>
      <c r="H292" s="113"/>
      <c r="I292" s="125" t="s">
        <v>35</v>
      </c>
      <c r="J292" s="126"/>
      <c r="K292" s="127"/>
      <c r="L292" s="127"/>
      <c r="M292" s="158">
        <f t="shared" si="75"/>
        <v>0</v>
      </c>
      <c r="N292" s="176"/>
      <c r="O292" s="176">
        <f t="shared" si="77"/>
        <v>0</v>
      </c>
    </row>
    <row r="293" spans="1:15">
      <c r="A293" s="6" t="s">
        <v>417</v>
      </c>
      <c r="B293" s="177" t="s">
        <v>90</v>
      </c>
      <c r="C293" s="156" t="s">
        <v>200</v>
      </c>
      <c r="D293" s="156" t="s">
        <v>202</v>
      </c>
      <c r="E293" s="156" t="s">
        <v>24</v>
      </c>
      <c r="F293" s="112" t="s">
        <v>417</v>
      </c>
      <c r="G293" s="180" t="s">
        <v>36</v>
      </c>
      <c r="H293" s="113"/>
      <c r="I293" s="125" t="s">
        <v>26</v>
      </c>
      <c r="J293" s="126"/>
      <c r="K293" s="127"/>
      <c r="L293" s="127"/>
      <c r="M293" s="158">
        <f t="shared" si="75"/>
        <v>0</v>
      </c>
      <c r="N293" s="176"/>
      <c r="O293" s="176">
        <f t="shared" si="77"/>
        <v>0</v>
      </c>
    </row>
    <row r="294" spans="1:15">
      <c r="A294" s="6" t="s">
        <v>418</v>
      </c>
      <c r="B294" s="177" t="s">
        <v>90</v>
      </c>
      <c r="C294" s="156" t="s">
        <v>200</v>
      </c>
      <c r="D294" s="156" t="s">
        <v>202</v>
      </c>
      <c r="E294" s="156" t="s">
        <v>24</v>
      </c>
      <c r="F294" s="112" t="s">
        <v>418</v>
      </c>
      <c r="G294" s="180" t="s">
        <v>37</v>
      </c>
      <c r="H294" s="113"/>
      <c r="I294" s="125" t="s">
        <v>35</v>
      </c>
      <c r="J294" s="126">
        <v>5</v>
      </c>
      <c r="K294" s="127">
        <v>1000</v>
      </c>
      <c r="L294" s="127"/>
      <c r="M294" s="158">
        <f t="shared" si="75"/>
        <v>5000</v>
      </c>
      <c r="N294" s="176"/>
      <c r="O294" s="176">
        <f t="shared" si="77"/>
        <v>5000</v>
      </c>
    </row>
    <row r="295" spans="1:15">
      <c r="A295" s="6" t="s">
        <v>419</v>
      </c>
      <c r="B295" s="156" t="s">
        <v>194</v>
      </c>
      <c r="C295" s="156" t="s">
        <v>200</v>
      </c>
      <c r="D295" s="156" t="s">
        <v>202</v>
      </c>
      <c r="E295" s="156" t="s">
        <v>24</v>
      </c>
      <c r="F295" s="112" t="s">
        <v>419</v>
      </c>
      <c r="G295" s="180" t="s">
        <v>38</v>
      </c>
      <c r="H295" s="113"/>
      <c r="I295" s="125" t="s">
        <v>35</v>
      </c>
      <c r="J295" s="126"/>
      <c r="K295" s="127"/>
      <c r="L295" s="127"/>
      <c r="M295" s="158">
        <f t="shared" si="75"/>
        <v>0</v>
      </c>
      <c r="N295" s="176"/>
      <c r="O295" s="176">
        <f t="shared" si="77"/>
        <v>0</v>
      </c>
    </row>
    <row r="296" spans="1:15">
      <c r="A296" s="6" t="s">
        <v>420</v>
      </c>
      <c r="B296" s="177" t="s">
        <v>101</v>
      </c>
      <c r="C296" s="156" t="s">
        <v>200</v>
      </c>
      <c r="D296" s="156" t="s">
        <v>202</v>
      </c>
      <c r="E296" s="156" t="s">
        <v>24</v>
      </c>
      <c r="F296" s="112" t="s">
        <v>420</v>
      </c>
      <c r="G296" s="180" t="s">
        <v>39</v>
      </c>
      <c r="H296" s="113"/>
      <c r="I296" s="125">
        <v>0.03</v>
      </c>
      <c r="J296" s="126"/>
      <c r="K296" s="127"/>
      <c r="L296" s="127"/>
      <c r="M296" s="158">
        <f t="shared" si="75"/>
        <v>0</v>
      </c>
      <c r="N296" s="176"/>
      <c r="O296" s="176">
        <f t="shared" si="77"/>
        <v>0</v>
      </c>
    </row>
    <row r="297" spans="1:15">
      <c r="A297" s="6" t="s">
        <v>421</v>
      </c>
      <c r="B297" s="177" t="s">
        <v>196</v>
      </c>
      <c r="C297" s="156" t="s">
        <v>200</v>
      </c>
      <c r="D297" s="156" t="s">
        <v>202</v>
      </c>
      <c r="E297" s="156" t="s">
        <v>24</v>
      </c>
      <c r="F297" s="112" t="s">
        <v>421</v>
      </c>
      <c r="G297" s="180" t="s">
        <v>40</v>
      </c>
      <c r="H297" s="113"/>
      <c r="I297" s="125">
        <v>0.15</v>
      </c>
      <c r="J297" s="126"/>
      <c r="K297" s="127"/>
      <c r="L297" s="127"/>
      <c r="M297" s="158">
        <f t="shared" si="75"/>
        <v>0</v>
      </c>
      <c r="N297" s="176"/>
      <c r="O297" s="176">
        <f t="shared" si="77"/>
        <v>0</v>
      </c>
    </row>
    <row r="298" spans="1:15">
      <c r="A298" s="6" t="s">
        <v>511</v>
      </c>
      <c r="B298" s="177" t="s">
        <v>154</v>
      </c>
      <c r="C298" s="156" t="s">
        <v>200</v>
      </c>
      <c r="D298" s="156" t="s">
        <v>202</v>
      </c>
      <c r="E298" s="156" t="s">
        <v>24</v>
      </c>
      <c r="F298" s="112" t="s">
        <v>511</v>
      </c>
      <c r="G298" s="180" t="s">
        <v>496</v>
      </c>
      <c r="H298" s="113"/>
      <c r="I298" s="125" t="s">
        <v>497</v>
      </c>
      <c r="J298" s="126">
        <v>1</v>
      </c>
      <c r="K298" s="127">
        <v>11200</v>
      </c>
      <c r="L298" s="127"/>
      <c r="M298" s="158">
        <f t="shared" si="75"/>
        <v>11200</v>
      </c>
      <c r="N298" s="176"/>
      <c r="O298" s="176">
        <f t="shared" si="77"/>
        <v>11200</v>
      </c>
    </row>
    <row r="299" spans="1:15">
      <c r="A299" s="6" t="s">
        <v>512</v>
      </c>
      <c r="B299" s="156" t="s">
        <v>193</v>
      </c>
      <c r="C299" s="156" t="s">
        <v>200</v>
      </c>
      <c r="D299" s="156" t="s">
        <v>202</v>
      </c>
      <c r="E299" s="156" t="s">
        <v>24</v>
      </c>
      <c r="F299" s="112" t="s">
        <v>512</v>
      </c>
      <c r="G299" s="180" t="s">
        <v>498</v>
      </c>
      <c r="H299" s="113"/>
      <c r="I299" s="125" t="s">
        <v>497</v>
      </c>
      <c r="J299" s="126">
        <v>1</v>
      </c>
      <c r="K299" s="127">
        <v>2500</v>
      </c>
      <c r="L299" s="127"/>
      <c r="M299" s="158">
        <f t="shared" si="75"/>
        <v>2500</v>
      </c>
      <c r="N299" s="176"/>
      <c r="O299" s="176">
        <f t="shared" si="77"/>
        <v>2500</v>
      </c>
    </row>
    <row r="300" spans="1:15">
      <c r="A300" s="6" t="s">
        <v>513</v>
      </c>
      <c r="B300" s="177" t="s">
        <v>148</v>
      </c>
      <c r="C300" s="156" t="s">
        <v>200</v>
      </c>
      <c r="D300" s="156" t="s">
        <v>202</v>
      </c>
      <c r="E300" s="156" t="s">
        <v>24</v>
      </c>
      <c r="F300" s="112" t="s">
        <v>513</v>
      </c>
      <c r="G300" s="180" t="s">
        <v>499</v>
      </c>
      <c r="H300" s="113"/>
      <c r="I300" s="125" t="s">
        <v>497</v>
      </c>
      <c r="J300" s="126">
        <v>1</v>
      </c>
      <c r="K300" s="127">
        <v>2500</v>
      </c>
      <c r="L300" s="127"/>
      <c r="M300" s="176">
        <f t="shared" ref="M300:M303" si="79">J300*K300</f>
        <v>2500</v>
      </c>
      <c r="N300" s="176"/>
      <c r="O300" s="176">
        <f t="shared" si="77"/>
        <v>2500</v>
      </c>
    </row>
    <row r="301" spans="1:15">
      <c r="A301" s="6" t="s">
        <v>514</v>
      </c>
      <c r="B301" s="177" t="s">
        <v>154</v>
      </c>
      <c r="C301" s="156" t="s">
        <v>200</v>
      </c>
      <c r="D301" s="156" t="s">
        <v>202</v>
      </c>
      <c r="E301" s="156" t="s">
        <v>24</v>
      </c>
      <c r="F301" s="112" t="s">
        <v>514</v>
      </c>
      <c r="G301" s="180" t="s">
        <v>500</v>
      </c>
      <c r="H301" s="113"/>
      <c r="I301" s="125" t="s">
        <v>497</v>
      </c>
      <c r="J301" s="126">
        <v>1</v>
      </c>
      <c r="K301" s="127">
        <v>14400</v>
      </c>
      <c r="L301" s="127"/>
      <c r="M301" s="176">
        <f t="shared" si="79"/>
        <v>14400</v>
      </c>
      <c r="N301" s="176"/>
      <c r="O301" s="176">
        <f t="shared" si="77"/>
        <v>14400</v>
      </c>
    </row>
    <row r="302" spans="1:15">
      <c r="A302" s="6" t="s">
        <v>515</v>
      </c>
      <c r="B302" s="177" t="s">
        <v>151</v>
      </c>
      <c r="C302" s="156" t="s">
        <v>200</v>
      </c>
      <c r="D302" s="156" t="s">
        <v>202</v>
      </c>
      <c r="E302" s="156" t="s">
        <v>24</v>
      </c>
      <c r="F302" s="112" t="s">
        <v>515</v>
      </c>
      <c r="G302" s="180" t="s">
        <v>501</v>
      </c>
      <c r="H302" s="113"/>
      <c r="I302" s="125" t="s">
        <v>497</v>
      </c>
      <c r="J302" s="126">
        <v>1</v>
      </c>
      <c r="K302" s="127">
        <v>54083</v>
      </c>
      <c r="L302" s="127"/>
      <c r="M302" s="176">
        <f t="shared" si="79"/>
        <v>54083</v>
      </c>
      <c r="N302" s="176"/>
      <c r="O302" s="176">
        <f t="shared" si="77"/>
        <v>54083</v>
      </c>
    </row>
    <row r="303" spans="1:15">
      <c r="A303" s="6" t="s">
        <v>516</v>
      </c>
      <c r="B303" s="177" t="s">
        <v>191</v>
      </c>
      <c r="C303" s="156" t="s">
        <v>200</v>
      </c>
      <c r="D303" s="156" t="s">
        <v>202</v>
      </c>
      <c r="E303" s="156" t="s">
        <v>24</v>
      </c>
      <c r="F303" s="112" t="s">
        <v>516</v>
      </c>
      <c r="G303" s="180" t="s">
        <v>502</v>
      </c>
      <c r="H303" s="113"/>
      <c r="I303" s="125" t="s">
        <v>497</v>
      </c>
      <c r="J303" s="126"/>
      <c r="K303" s="127">
        <v>50000</v>
      </c>
      <c r="L303" s="127"/>
      <c r="M303" s="176">
        <f t="shared" si="79"/>
        <v>0</v>
      </c>
      <c r="N303" s="176"/>
      <c r="O303" s="176">
        <f t="shared" si="77"/>
        <v>0</v>
      </c>
    </row>
    <row r="304" spans="1:15">
      <c r="G304" s="182"/>
      <c r="H304" s="146"/>
      <c r="I304" s="183"/>
      <c r="K304" s="185"/>
    </row>
    <row r="305" spans="2:15">
      <c r="G305" s="182"/>
      <c r="H305" s="146"/>
      <c r="I305" s="183"/>
      <c r="K305" s="185"/>
    </row>
    <row r="306" spans="2:15">
      <c r="G306" s="153"/>
      <c r="H306" s="146"/>
      <c r="I306" s="186"/>
      <c r="J306" s="186"/>
      <c r="K306" s="186"/>
      <c r="L306" s="186"/>
      <c r="M306" s="186"/>
      <c r="N306" s="186"/>
      <c r="O306" s="186"/>
    </row>
    <row r="307" spans="2:15" ht="13.5" thickBot="1">
      <c r="G307" s="187"/>
      <c r="H307" s="147"/>
      <c r="I307" s="188"/>
      <c r="J307" s="188"/>
      <c r="K307" s="188"/>
      <c r="L307" s="188"/>
      <c r="M307" s="188"/>
      <c r="N307" s="188"/>
      <c r="O307" s="189"/>
    </row>
    <row r="308" spans="2:15" ht="39" thickBot="1">
      <c r="G308" s="190" t="s">
        <v>43</v>
      </c>
      <c r="H308" s="191" t="s">
        <v>44</v>
      </c>
      <c r="I308" s="192" t="s">
        <v>45</v>
      </c>
      <c r="J308" s="193" t="s">
        <v>46</v>
      </c>
      <c r="K308" s="193" t="s">
        <v>47</v>
      </c>
      <c r="L308" s="193" t="s">
        <v>48</v>
      </c>
      <c r="M308" s="193" t="s">
        <v>49</v>
      </c>
      <c r="N308" s="193" t="s">
        <v>50</v>
      </c>
      <c r="O308" s="193"/>
    </row>
    <row r="309" spans="2:15" ht="13.5" thickBot="1">
      <c r="G309" s="194">
        <v>1</v>
      </c>
      <c r="H309" s="195">
        <v>2</v>
      </c>
      <c r="I309" s="196">
        <v>3</v>
      </c>
      <c r="J309" s="197">
        <v>4</v>
      </c>
      <c r="K309" s="198">
        <v>5</v>
      </c>
      <c r="L309" s="199">
        <v>6</v>
      </c>
      <c r="M309" s="197">
        <v>7</v>
      </c>
      <c r="N309" s="199">
        <v>8</v>
      </c>
      <c r="O309" s="197">
        <v>9</v>
      </c>
    </row>
    <row r="310" spans="2:15">
      <c r="B310" s="200" t="s">
        <v>21</v>
      </c>
      <c r="G310" s="201"/>
      <c r="H310" s="200" t="s">
        <v>21</v>
      </c>
      <c r="I310" s="202" t="s">
        <v>21</v>
      </c>
      <c r="J310" s="203" t="s">
        <v>51</v>
      </c>
      <c r="K310" s="204"/>
      <c r="L310" s="205">
        <v>4000</v>
      </c>
      <c r="M310" s="205">
        <v>1</v>
      </c>
      <c r="N310" s="205">
        <v>1.1499999999999999</v>
      </c>
      <c r="O310" s="205">
        <f t="shared" ref="O310:O316" si="80">K310*L310*N310*M310</f>
        <v>0</v>
      </c>
    </row>
    <row r="311" spans="2:15">
      <c r="B311" s="200" t="s">
        <v>53</v>
      </c>
      <c r="G311" s="201"/>
      <c r="H311" s="200" t="s">
        <v>53</v>
      </c>
      <c r="I311" s="202" t="s">
        <v>53</v>
      </c>
      <c r="J311" s="203" t="s">
        <v>51</v>
      </c>
      <c r="K311" s="204"/>
      <c r="L311" s="205">
        <v>1700</v>
      </c>
      <c r="M311" s="205">
        <v>1</v>
      </c>
      <c r="N311" s="205">
        <v>1</v>
      </c>
      <c r="O311" s="205">
        <f>K311*L311*N311*M311</f>
        <v>0</v>
      </c>
    </row>
    <row r="312" spans="2:15">
      <c r="B312" s="200" t="s">
        <v>55</v>
      </c>
      <c r="G312" s="201"/>
      <c r="H312" s="200" t="s">
        <v>55</v>
      </c>
      <c r="I312" s="202" t="s">
        <v>56</v>
      </c>
      <c r="J312" s="205" t="s">
        <v>51</v>
      </c>
      <c r="K312" s="204"/>
      <c r="L312" s="205">
        <v>1000</v>
      </c>
      <c r="M312" s="205">
        <v>1</v>
      </c>
      <c r="N312" s="205">
        <v>1.1499999999999999</v>
      </c>
      <c r="O312" s="205">
        <f>K312*L312*N312*M312</f>
        <v>0</v>
      </c>
    </row>
    <row r="313" spans="2:15">
      <c r="B313" s="200" t="s">
        <v>57</v>
      </c>
      <c r="G313" s="201"/>
      <c r="H313" s="200" t="s">
        <v>57</v>
      </c>
      <c r="I313" s="202" t="s">
        <v>57</v>
      </c>
      <c r="J313" s="205" t="s">
        <v>51</v>
      </c>
      <c r="K313" s="204"/>
      <c r="L313" s="205">
        <v>400</v>
      </c>
      <c r="M313" s="205">
        <v>1</v>
      </c>
      <c r="N313" s="205">
        <v>1.1499999999999999</v>
      </c>
      <c r="O313" s="205">
        <f>K313*L313*N313*M313</f>
        <v>0</v>
      </c>
    </row>
    <row r="314" spans="2:15">
      <c r="B314" s="200" t="s">
        <v>58</v>
      </c>
      <c r="G314" s="201"/>
      <c r="H314" s="200" t="s">
        <v>58</v>
      </c>
      <c r="I314" s="202" t="s">
        <v>58</v>
      </c>
      <c r="J314" s="205" t="s">
        <v>51</v>
      </c>
      <c r="K314" s="204"/>
      <c r="L314" s="205">
        <v>1000</v>
      </c>
      <c r="M314" s="205">
        <v>1</v>
      </c>
      <c r="N314" s="205">
        <v>1</v>
      </c>
      <c r="O314" s="205">
        <f t="shared" si="80"/>
        <v>0</v>
      </c>
    </row>
    <row r="315" spans="2:15">
      <c r="B315" s="200" t="s">
        <v>59</v>
      </c>
      <c r="G315" s="201"/>
      <c r="H315" s="200" t="s">
        <v>59</v>
      </c>
      <c r="I315" s="202" t="s">
        <v>59</v>
      </c>
      <c r="J315" s="205" t="s">
        <v>51</v>
      </c>
      <c r="K315" s="204"/>
      <c r="L315" s="205">
        <v>5000</v>
      </c>
      <c r="M315" s="205">
        <v>1</v>
      </c>
      <c r="N315" s="205">
        <v>1</v>
      </c>
      <c r="O315" s="206">
        <f t="shared" si="80"/>
        <v>0</v>
      </c>
    </row>
    <row r="316" spans="2:15">
      <c r="B316" s="200" t="s">
        <v>60</v>
      </c>
      <c r="G316" s="201"/>
      <c r="H316" s="200" t="s">
        <v>60</v>
      </c>
      <c r="I316" s="202" t="s">
        <v>61</v>
      </c>
      <c r="J316" s="205" t="s">
        <v>51</v>
      </c>
      <c r="K316" s="204"/>
      <c r="L316" s="205">
        <v>3000</v>
      </c>
      <c r="M316" s="205">
        <v>1</v>
      </c>
      <c r="N316" s="205">
        <v>1</v>
      </c>
      <c r="O316" s="206">
        <f t="shared" si="80"/>
        <v>0</v>
      </c>
    </row>
    <row r="317" spans="2:15" ht="13.5" thickBot="1">
      <c r="G317" s="207"/>
      <c r="H317" s="208"/>
      <c r="I317" s="209" t="s">
        <v>62</v>
      </c>
      <c r="J317" s="210"/>
      <c r="K317" s="211"/>
      <c r="L317" s="211"/>
      <c r="M317" s="211"/>
      <c r="N317" s="211"/>
      <c r="O317" s="211">
        <f>SUM(O310:O316)</f>
        <v>0</v>
      </c>
    </row>
  </sheetData>
  <autoFilter ref="A1:Q303" xr:uid="{4DBA13AA-7F57-48AF-9B7A-91A817F3321C}"/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F635-37F6-4C91-8A37-5227F0338068}">
  <dimension ref="A1:Q319"/>
  <sheetViews>
    <sheetView topLeftCell="F83" zoomScale="70" zoomScaleNormal="70" workbookViewId="0">
      <selection activeCell="H83" sqref="H1:H1048576"/>
    </sheetView>
  </sheetViews>
  <sheetFormatPr defaultColWidth="8.85546875" defaultRowHeight="12.75" outlineLevelCol="1"/>
  <cols>
    <col min="1" max="1" width="17.28515625" style="181" hidden="1" customWidth="1" outlineLevel="1"/>
    <col min="2" max="2" width="34" style="181" hidden="1" customWidth="1" outlineLevel="1"/>
    <col min="3" max="3" width="24.85546875" style="181" hidden="1" customWidth="1" outlineLevel="1"/>
    <col min="4" max="5" width="24.42578125" style="181" hidden="1" customWidth="1" outlineLevel="1"/>
    <col min="6" max="6" width="17.28515625" style="181" customWidth="1" collapsed="1"/>
    <col min="7" max="7" width="51.7109375" style="181" customWidth="1"/>
    <col min="8" max="8" width="43.5703125" style="212" bestFit="1" customWidth="1"/>
    <col min="9" max="9" width="24.42578125" style="184" bestFit="1" customWidth="1"/>
    <col min="10" max="10" width="12.140625" style="184" bestFit="1" customWidth="1"/>
    <col min="11" max="11" width="17.28515625" style="184" bestFit="1" customWidth="1"/>
    <col min="12" max="12" width="23" style="184" bestFit="1" customWidth="1"/>
    <col min="13" max="14" width="23" style="184" customWidth="1"/>
    <col min="15" max="15" width="13.85546875" style="184" bestFit="1" customWidth="1"/>
    <col min="16" max="16" width="15" style="153" customWidth="1"/>
    <col min="17" max="16384" width="8.85546875" style="153"/>
  </cols>
  <sheetData>
    <row r="1" spans="1:15" ht="38.25">
      <c r="A1" s="348" t="s">
        <v>431</v>
      </c>
      <c r="B1" s="150" t="s">
        <v>274</v>
      </c>
      <c r="C1" s="150" t="s">
        <v>41</v>
      </c>
      <c r="D1" s="150" t="s">
        <v>202</v>
      </c>
      <c r="E1" s="150" t="s">
        <v>426</v>
      </c>
      <c r="F1" s="348" t="s">
        <v>0</v>
      </c>
      <c r="G1" s="150" t="s">
        <v>1</v>
      </c>
      <c r="H1" s="150"/>
      <c r="I1" s="349" t="s">
        <v>2</v>
      </c>
      <c r="J1" s="350" t="s">
        <v>3</v>
      </c>
      <c r="K1" s="349" t="s">
        <v>4</v>
      </c>
      <c r="L1" s="349" t="s">
        <v>5</v>
      </c>
      <c r="M1" s="349" t="s">
        <v>6</v>
      </c>
      <c r="N1" s="349" t="s">
        <v>7</v>
      </c>
      <c r="O1" s="349" t="s">
        <v>8</v>
      </c>
    </row>
    <row r="2" spans="1:15">
      <c r="A2" s="104" t="s">
        <v>9</v>
      </c>
      <c r="B2" s="104"/>
      <c r="C2" s="104"/>
      <c r="D2" s="104"/>
      <c r="E2" s="104"/>
      <c r="F2" s="104" t="s">
        <v>9</v>
      </c>
      <c r="G2" s="351" t="s">
        <v>199</v>
      </c>
      <c r="H2" s="351"/>
      <c r="I2" s="352"/>
      <c r="J2" s="353">
        <f>L3+L12</f>
        <v>0</v>
      </c>
      <c r="K2" s="354"/>
      <c r="L2" s="354"/>
      <c r="M2" s="353"/>
      <c r="N2" s="353"/>
      <c r="O2" s="353"/>
    </row>
    <row r="3" spans="1:15">
      <c r="A3" s="140" t="s">
        <v>11</v>
      </c>
      <c r="B3" s="3"/>
      <c r="C3" s="3"/>
      <c r="D3" s="3"/>
      <c r="E3" s="3"/>
      <c r="F3" s="140" t="s">
        <v>11</v>
      </c>
      <c r="G3" s="141" t="s">
        <v>10</v>
      </c>
      <c r="H3" s="141"/>
      <c r="I3" s="125"/>
      <c r="J3" s="125"/>
      <c r="K3" s="125"/>
      <c r="L3" s="355">
        <f>SUM(L5:L11)</f>
        <v>0</v>
      </c>
      <c r="M3" s="356"/>
      <c r="N3" s="357"/>
      <c r="O3" s="357"/>
    </row>
    <row r="4" spans="1:15">
      <c r="A4" s="112" t="s">
        <v>206</v>
      </c>
      <c r="B4" s="156" t="s">
        <v>193</v>
      </c>
      <c r="C4" s="156" t="s">
        <v>200</v>
      </c>
      <c r="D4" s="156" t="s">
        <v>202</v>
      </c>
      <c r="E4" s="156" t="s">
        <v>199</v>
      </c>
      <c r="F4" s="112" t="s">
        <v>206</v>
      </c>
      <c r="G4" s="358" t="s">
        <v>443</v>
      </c>
      <c r="H4" s="141"/>
      <c r="I4" s="125" t="s">
        <v>201</v>
      </c>
      <c r="J4" s="359"/>
      <c r="K4" s="125">
        <v>200</v>
      </c>
      <c r="L4" s="355"/>
      <c r="M4" s="176">
        <f>J4*K4</f>
        <v>0</v>
      </c>
      <c r="N4" s="176">
        <f>J4*L4</f>
        <v>0</v>
      </c>
      <c r="O4" s="176">
        <f t="shared" ref="O4:O79" si="0">N4+M4</f>
        <v>0</v>
      </c>
    </row>
    <row r="5" spans="1:15">
      <c r="A5" s="112" t="s">
        <v>207</v>
      </c>
      <c r="B5" s="156" t="s">
        <v>193</v>
      </c>
      <c r="C5" s="156" t="s">
        <v>200</v>
      </c>
      <c r="D5" s="156" t="s">
        <v>202</v>
      </c>
      <c r="E5" s="156" t="s">
        <v>199</v>
      </c>
      <c r="F5" s="112" t="s">
        <v>207</v>
      </c>
      <c r="G5" s="358" t="s">
        <v>438</v>
      </c>
      <c r="H5" s="113"/>
      <c r="I5" s="125" t="s">
        <v>201</v>
      </c>
      <c r="J5" s="126"/>
      <c r="K5" s="125">
        <v>200</v>
      </c>
      <c r="L5" s="142"/>
      <c r="M5" s="176">
        <f>J5*K5</f>
        <v>0</v>
      </c>
      <c r="N5" s="176">
        <f>J5*L5</f>
        <v>0</v>
      </c>
      <c r="O5" s="176">
        <f t="shared" si="0"/>
        <v>0</v>
      </c>
    </row>
    <row r="6" spans="1:15">
      <c r="A6" s="112" t="s">
        <v>208</v>
      </c>
      <c r="B6" s="156" t="s">
        <v>193</v>
      </c>
      <c r="C6" s="156" t="s">
        <v>200</v>
      </c>
      <c r="D6" s="156" t="s">
        <v>202</v>
      </c>
      <c r="E6" s="156" t="s">
        <v>199</v>
      </c>
      <c r="F6" s="112" t="s">
        <v>208</v>
      </c>
      <c r="G6" s="358" t="s">
        <v>437</v>
      </c>
      <c r="H6" s="113"/>
      <c r="I6" s="125" t="s">
        <v>201</v>
      </c>
      <c r="J6" s="126"/>
      <c r="K6" s="125">
        <v>200</v>
      </c>
      <c r="L6" s="142"/>
      <c r="M6" s="176">
        <f t="shared" ref="M6:M56" si="1">J6*K6</f>
        <v>0</v>
      </c>
      <c r="N6" s="176">
        <f t="shared" ref="N6:N11" si="2">J6*L6</f>
        <v>0</v>
      </c>
      <c r="O6" s="176">
        <f t="shared" si="0"/>
        <v>0</v>
      </c>
    </row>
    <row r="7" spans="1:15">
      <c r="A7" s="112" t="s">
        <v>209</v>
      </c>
      <c r="B7" s="156" t="s">
        <v>193</v>
      </c>
      <c r="C7" s="156" t="s">
        <v>200</v>
      </c>
      <c r="D7" s="156" t="s">
        <v>202</v>
      </c>
      <c r="E7" s="156" t="s">
        <v>199</v>
      </c>
      <c r="F7" s="112" t="s">
        <v>209</v>
      </c>
      <c r="G7" s="358" t="s">
        <v>439</v>
      </c>
      <c r="H7" s="113"/>
      <c r="I7" s="125" t="s">
        <v>201</v>
      </c>
      <c r="J7" s="126"/>
      <c r="K7" s="125">
        <v>200</v>
      </c>
      <c r="L7" s="142"/>
      <c r="M7" s="176">
        <f t="shared" si="1"/>
        <v>0</v>
      </c>
      <c r="N7" s="176">
        <f t="shared" si="2"/>
        <v>0</v>
      </c>
      <c r="O7" s="176">
        <f t="shared" si="0"/>
        <v>0</v>
      </c>
    </row>
    <row r="8" spans="1:15">
      <c r="A8" s="112" t="s">
        <v>210</v>
      </c>
      <c r="B8" s="156" t="s">
        <v>193</v>
      </c>
      <c r="C8" s="156" t="s">
        <v>200</v>
      </c>
      <c r="D8" s="156" t="s">
        <v>202</v>
      </c>
      <c r="E8" s="156" t="s">
        <v>199</v>
      </c>
      <c r="F8" s="112" t="s">
        <v>210</v>
      </c>
      <c r="G8" s="358" t="s">
        <v>440</v>
      </c>
      <c r="H8" s="113"/>
      <c r="I8" s="125" t="s">
        <v>201</v>
      </c>
      <c r="J8" s="126"/>
      <c r="K8" s="125">
        <v>200</v>
      </c>
      <c r="L8" s="142"/>
      <c r="M8" s="176">
        <f t="shared" si="1"/>
        <v>0</v>
      </c>
      <c r="N8" s="176">
        <f t="shared" si="2"/>
        <v>0</v>
      </c>
      <c r="O8" s="176">
        <f t="shared" si="0"/>
        <v>0</v>
      </c>
    </row>
    <row r="9" spans="1:15">
      <c r="A9" s="112" t="s">
        <v>211</v>
      </c>
      <c r="B9" s="156" t="s">
        <v>193</v>
      </c>
      <c r="C9" s="156" t="s">
        <v>200</v>
      </c>
      <c r="D9" s="156" t="s">
        <v>202</v>
      </c>
      <c r="E9" s="156" t="s">
        <v>199</v>
      </c>
      <c r="F9" s="112" t="s">
        <v>211</v>
      </c>
      <c r="G9" s="358" t="s">
        <v>444</v>
      </c>
      <c r="H9" s="113"/>
      <c r="I9" s="125" t="s">
        <v>201</v>
      </c>
      <c r="J9" s="126"/>
      <c r="K9" s="125">
        <v>200</v>
      </c>
      <c r="L9" s="142"/>
      <c r="M9" s="176">
        <f t="shared" si="1"/>
        <v>0</v>
      </c>
      <c r="N9" s="176">
        <f t="shared" si="2"/>
        <v>0</v>
      </c>
      <c r="O9" s="176">
        <f t="shared" si="0"/>
        <v>0</v>
      </c>
    </row>
    <row r="10" spans="1:15">
      <c r="A10" s="112" t="s">
        <v>212</v>
      </c>
      <c r="B10" s="156" t="s">
        <v>193</v>
      </c>
      <c r="C10" s="156" t="s">
        <v>200</v>
      </c>
      <c r="D10" s="156" t="s">
        <v>202</v>
      </c>
      <c r="E10" s="156" t="s">
        <v>199</v>
      </c>
      <c r="F10" s="112" t="s">
        <v>212</v>
      </c>
      <c r="G10" s="358" t="s">
        <v>441</v>
      </c>
      <c r="H10" s="113"/>
      <c r="I10" s="125" t="s">
        <v>201</v>
      </c>
      <c r="J10" s="126"/>
      <c r="K10" s="125">
        <v>200</v>
      </c>
      <c r="L10" s="142"/>
      <c r="M10" s="176">
        <f t="shared" si="1"/>
        <v>0</v>
      </c>
      <c r="N10" s="176">
        <f t="shared" si="2"/>
        <v>0</v>
      </c>
      <c r="O10" s="176">
        <f t="shared" si="0"/>
        <v>0</v>
      </c>
    </row>
    <row r="11" spans="1:15">
      <c r="A11" s="112" t="s">
        <v>481</v>
      </c>
      <c r="B11" s="156" t="s">
        <v>193</v>
      </c>
      <c r="C11" s="156" t="s">
        <v>200</v>
      </c>
      <c r="D11" s="156" t="s">
        <v>202</v>
      </c>
      <c r="E11" s="156" t="s">
        <v>199</v>
      </c>
      <c r="F11" s="112" t="s">
        <v>481</v>
      </c>
      <c r="G11" s="358" t="s">
        <v>442</v>
      </c>
      <c r="H11" s="113"/>
      <c r="I11" s="125" t="s">
        <v>201</v>
      </c>
      <c r="J11" s="126"/>
      <c r="K11" s="125">
        <v>200</v>
      </c>
      <c r="L11" s="142"/>
      <c r="M11" s="176">
        <f t="shared" si="1"/>
        <v>0</v>
      </c>
      <c r="N11" s="176">
        <f t="shared" si="2"/>
        <v>0</v>
      </c>
      <c r="O11" s="176">
        <f t="shared" si="0"/>
        <v>0</v>
      </c>
    </row>
    <row r="12" spans="1:15">
      <c r="A12" s="112" t="s">
        <v>13</v>
      </c>
      <c r="B12" s="156"/>
      <c r="C12" s="156"/>
      <c r="D12" s="156"/>
      <c r="E12" s="156"/>
      <c r="F12" s="112" t="s">
        <v>13</v>
      </c>
      <c r="G12" s="141" t="s">
        <v>15</v>
      </c>
      <c r="H12" s="141"/>
      <c r="I12" s="127"/>
      <c r="J12" s="127"/>
      <c r="K12" s="127"/>
      <c r="L12" s="142"/>
      <c r="M12" s="176"/>
      <c r="N12" s="176"/>
      <c r="O12" s="176"/>
    </row>
    <row r="13" spans="1:15">
      <c r="A13" s="112" t="s">
        <v>213</v>
      </c>
      <c r="B13" s="156" t="s">
        <v>149</v>
      </c>
      <c r="C13" s="156" t="s">
        <v>204</v>
      </c>
      <c r="D13" s="156" t="s">
        <v>202</v>
      </c>
      <c r="E13" s="156" t="s">
        <v>199</v>
      </c>
      <c r="F13" s="112" t="s">
        <v>213</v>
      </c>
      <c r="G13" s="159" t="s">
        <v>709</v>
      </c>
      <c r="H13" s="160" t="s">
        <v>535</v>
      </c>
      <c r="I13" s="125" t="s">
        <v>262</v>
      </c>
      <c r="J13" s="127">
        <v>80.400000000000006</v>
      </c>
      <c r="K13" s="127"/>
      <c r="L13" s="142">
        <v>473</v>
      </c>
      <c r="M13" s="176">
        <f t="shared" si="1"/>
        <v>0</v>
      </c>
      <c r="N13" s="176">
        <f t="shared" ref="N13:N84" si="3">J13*L13</f>
        <v>38029.200000000004</v>
      </c>
      <c r="O13" s="176">
        <f t="shared" si="0"/>
        <v>38029.200000000004</v>
      </c>
    </row>
    <row r="14" spans="1:15">
      <c r="A14" s="112" t="s">
        <v>214</v>
      </c>
      <c r="B14" s="156" t="s">
        <v>149</v>
      </c>
      <c r="C14" s="156" t="s">
        <v>204</v>
      </c>
      <c r="D14" s="156" t="s">
        <v>202</v>
      </c>
      <c r="E14" s="156" t="s">
        <v>199</v>
      </c>
      <c r="F14" s="112" t="s">
        <v>214</v>
      </c>
      <c r="G14" s="159" t="s">
        <v>710</v>
      </c>
      <c r="H14" s="160" t="s">
        <v>535</v>
      </c>
      <c r="I14" s="125" t="s">
        <v>518</v>
      </c>
      <c r="J14" s="127">
        <v>240</v>
      </c>
      <c r="K14" s="127"/>
      <c r="L14" s="142">
        <v>157</v>
      </c>
      <c r="M14" s="176">
        <f t="shared" si="1"/>
        <v>0</v>
      </c>
      <c r="N14" s="176">
        <f t="shared" si="3"/>
        <v>37680</v>
      </c>
      <c r="O14" s="176">
        <f t="shared" si="0"/>
        <v>37680</v>
      </c>
    </row>
    <row r="15" spans="1:15">
      <c r="A15" s="112" t="s">
        <v>215</v>
      </c>
      <c r="B15" s="156" t="s">
        <v>149</v>
      </c>
      <c r="C15" s="156" t="s">
        <v>204</v>
      </c>
      <c r="D15" s="156" t="s">
        <v>202</v>
      </c>
      <c r="E15" s="156" t="s">
        <v>199</v>
      </c>
      <c r="F15" s="112" t="s">
        <v>215</v>
      </c>
      <c r="G15" s="159" t="s">
        <v>711</v>
      </c>
      <c r="H15" s="160" t="s">
        <v>535</v>
      </c>
      <c r="I15" s="125" t="s">
        <v>262</v>
      </c>
      <c r="J15" s="127">
        <v>2.5</v>
      </c>
      <c r="K15" s="127"/>
      <c r="L15" s="142">
        <v>151</v>
      </c>
      <c r="M15" s="176">
        <f t="shared" si="1"/>
        <v>0</v>
      </c>
      <c r="N15" s="176">
        <f t="shared" si="3"/>
        <v>377.5</v>
      </c>
      <c r="O15" s="176">
        <f t="shared" si="0"/>
        <v>377.5</v>
      </c>
    </row>
    <row r="16" spans="1:15">
      <c r="A16" s="112" t="s">
        <v>216</v>
      </c>
      <c r="B16" s="156" t="s">
        <v>149</v>
      </c>
      <c r="C16" s="156" t="s">
        <v>204</v>
      </c>
      <c r="D16" s="156" t="s">
        <v>202</v>
      </c>
      <c r="E16" s="156" t="s">
        <v>199</v>
      </c>
      <c r="F16" s="112" t="s">
        <v>216</v>
      </c>
      <c r="G16" s="161" t="s">
        <v>712</v>
      </c>
      <c r="H16" s="160" t="s">
        <v>535</v>
      </c>
      <c r="I16" s="125" t="s">
        <v>518</v>
      </c>
      <c r="J16" s="127">
        <v>2</v>
      </c>
      <c r="K16" s="127"/>
      <c r="L16" s="142">
        <v>339</v>
      </c>
      <c r="M16" s="176">
        <f t="shared" si="1"/>
        <v>0</v>
      </c>
      <c r="N16" s="176">
        <f t="shared" si="3"/>
        <v>678</v>
      </c>
      <c r="O16" s="176">
        <f t="shared" si="0"/>
        <v>678</v>
      </c>
    </row>
    <row r="17" spans="1:15">
      <c r="A17" s="112" t="s">
        <v>217</v>
      </c>
      <c r="B17" s="156" t="s">
        <v>149</v>
      </c>
      <c r="C17" s="156" t="s">
        <v>204</v>
      </c>
      <c r="D17" s="156" t="s">
        <v>202</v>
      </c>
      <c r="E17" s="156" t="s">
        <v>199</v>
      </c>
      <c r="F17" s="112" t="s">
        <v>217</v>
      </c>
      <c r="G17" s="161" t="s">
        <v>486</v>
      </c>
      <c r="H17" s="160" t="s">
        <v>590</v>
      </c>
      <c r="I17" s="125" t="s">
        <v>489</v>
      </c>
      <c r="J17" s="127">
        <v>1.02</v>
      </c>
      <c r="K17" s="127"/>
      <c r="L17" s="142">
        <v>1207</v>
      </c>
      <c r="M17" s="176">
        <f t="shared" si="1"/>
        <v>0</v>
      </c>
      <c r="N17" s="176">
        <f t="shared" si="3"/>
        <v>1231.1400000000001</v>
      </c>
      <c r="O17" s="176">
        <f t="shared" si="0"/>
        <v>1231.1400000000001</v>
      </c>
    </row>
    <row r="18" spans="1:15">
      <c r="A18" s="112" t="s">
        <v>218</v>
      </c>
      <c r="B18" s="156" t="s">
        <v>149</v>
      </c>
      <c r="C18" s="156" t="s">
        <v>204</v>
      </c>
      <c r="D18" s="156" t="s">
        <v>202</v>
      </c>
      <c r="E18" s="156" t="s">
        <v>199</v>
      </c>
      <c r="F18" s="112" t="s">
        <v>218</v>
      </c>
      <c r="G18" s="161" t="s">
        <v>487</v>
      </c>
      <c r="H18" s="160" t="s">
        <v>590</v>
      </c>
      <c r="I18" s="125" t="s">
        <v>489</v>
      </c>
      <c r="J18" s="127">
        <v>1.2150000000000001</v>
      </c>
      <c r="K18" s="127"/>
      <c r="L18" s="142">
        <v>2487</v>
      </c>
      <c r="M18" s="176">
        <f t="shared" si="1"/>
        <v>0</v>
      </c>
      <c r="N18" s="176">
        <f t="shared" si="3"/>
        <v>3021.7050000000004</v>
      </c>
      <c r="O18" s="176">
        <f t="shared" si="0"/>
        <v>3021.7050000000004</v>
      </c>
    </row>
    <row r="19" spans="1:15">
      <c r="A19" s="112" t="s">
        <v>219</v>
      </c>
      <c r="B19" s="156" t="s">
        <v>149</v>
      </c>
      <c r="C19" s="156" t="s">
        <v>204</v>
      </c>
      <c r="D19" s="156" t="s">
        <v>202</v>
      </c>
      <c r="E19" s="156" t="s">
        <v>199</v>
      </c>
      <c r="F19" s="112" t="s">
        <v>219</v>
      </c>
      <c r="G19" s="162" t="s">
        <v>488</v>
      </c>
      <c r="H19" s="160" t="s">
        <v>590</v>
      </c>
      <c r="I19" s="125" t="s">
        <v>489</v>
      </c>
      <c r="J19" s="127">
        <v>0.24</v>
      </c>
      <c r="K19" s="127"/>
      <c r="L19" s="142">
        <v>4976</v>
      </c>
      <c r="M19" s="176">
        <f t="shared" si="1"/>
        <v>0</v>
      </c>
      <c r="N19" s="176">
        <f t="shared" si="3"/>
        <v>1194.24</v>
      </c>
      <c r="O19" s="176">
        <f t="shared" si="0"/>
        <v>1194.24</v>
      </c>
    </row>
    <row r="20" spans="1:15">
      <c r="A20" s="112" t="s">
        <v>220</v>
      </c>
      <c r="B20" s="156" t="s">
        <v>149</v>
      </c>
      <c r="C20" s="156" t="s">
        <v>204</v>
      </c>
      <c r="D20" s="156" t="s">
        <v>202</v>
      </c>
      <c r="E20" s="156" t="s">
        <v>199</v>
      </c>
      <c r="F20" s="112" t="s">
        <v>220</v>
      </c>
      <c r="G20" s="162" t="s">
        <v>713</v>
      </c>
      <c r="H20" s="160" t="s">
        <v>537</v>
      </c>
      <c r="I20" s="125" t="s">
        <v>20</v>
      </c>
      <c r="J20" s="127">
        <v>11</v>
      </c>
      <c r="K20" s="127"/>
      <c r="L20" s="142">
        <v>350</v>
      </c>
      <c r="M20" s="176">
        <f t="shared" si="1"/>
        <v>0</v>
      </c>
      <c r="N20" s="176">
        <f t="shared" si="3"/>
        <v>3850</v>
      </c>
      <c r="O20" s="176">
        <f t="shared" si="0"/>
        <v>3850</v>
      </c>
    </row>
    <row r="21" spans="1:15">
      <c r="A21" s="112" t="s">
        <v>221</v>
      </c>
      <c r="B21" s="156" t="s">
        <v>149</v>
      </c>
      <c r="C21" s="156" t="s">
        <v>204</v>
      </c>
      <c r="D21" s="156" t="s">
        <v>202</v>
      </c>
      <c r="E21" s="156" t="s">
        <v>199</v>
      </c>
      <c r="F21" s="112" t="s">
        <v>221</v>
      </c>
      <c r="G21" s="162" t="s">
        <v>714</v>
      </c>
      <c r="H21" s="160" t="s">
        <v>591</v>
      </c>
      <c r="I21" s="125" t="s">
        <v>20</v>
      </c>
      <c r="J21" s="127">
        <v>5</v>
      </c>
      <c r="K21" s="127"/>
      <c r="L21" s="142">
        <v>3600</v>
      </c>
      <c r="M21" s="176">
        <f t="shared" si="1"/>
        <v>0</v>
      </c>
      <c r="N21" s="176">
        <f t="shared" si="3"/>
        <v>18000</v>
      </c>
      <c r="O21" s="176">
        <f t="shared" si="0"/>
        <v>18000</v>
      </c>
    </row>
    <row r="22" spans="1:15">
      <c r="A22" s="112" t="s">
        <v>222</v>
      </c>
      <c r="B22" s="156" t="s">
        <v>149</v>
      </c>
      <c r="C22" s="156" t="s">
        <v>204</v>
      </c>
      <c r="D22" s="156" t="s">
        <v>202</v>
      </c>
      <c r="E22" s="156" t="s">
        <v>199</v>
      </c>
      <c r="F22" s="112" t="s">
        <v>222</v>
      </c>
      <c r="G22" s="162" t="s">
        <v>715</v>
      </c>
      <c r="H22" s="160" t="s">
        <v>537</v>
      </c>
      <c r="I22" s="125" t="s">
        <v>20</v>
      </c>
      <c r="J22" s="127">
        <v>28</v>
      </c>
      <c r="K22" s="127"/>
      <c r="L22" s="142">
        <v>154</v>
      </c>
      <c r="M22" s="176">
        <f t="shared" si="1"/>
        <v>0</v>
      </c>
      <c r="N22" s="176">
        <f t="shared" si="3"/>
        <v>4312</v>
      </c>
      <c r="O22" s="176">
        <f t="shared" si="0"/>
        <v>4312</v>
      </c>
    </row>
    <row r="23" spans="1:15">
      <c r="A23" s="112" t="s">
        <v>223</v>
      </c>
      <c r="B23" s="156" t="s">
        <v>149</v>
      </c>
      <c r="C23" s="156" t="s">
        <v>204</v>
      </c>
      <c r="D23" s="156" t="s">
        <v>202</v>
      </c>
      <c r="E23" s="156" t="s">
        <v>199</v>
      </c>
      <c r="F23" s="112" t="s">
        <v>223</v>
      </c>
      <c r="G23" s="162" t="s">
        <v>716</v>
      </c>
      <c r="H23" s="160" t="s">
        <v>536</v>
      </c>
      <c r="I23" s="125" t="s">
        <v>20</v>
      </c>
      <c r="J23" s="127">
        <v>9</v>
      </c>
      <c r="K23" s="127"/>
      <c r="L23" s="142">
        <v>168</v>
      </c>
      <c r="M23" s="176">
        <f t="shared" si="1"/>
        <v>0</v>
      </c>
      <c r="N23" s="176">
        <f t="shared" si="3"/>
        <v>1512</v>
      </c>
      <c r="O23" s="176">
        <f t="shared" si="0"/>
        <v>1512</v>
      </c>
    </row>
    <row r="24" spans="1:15">
      <c r="A24" s="112" t="s">
        <v>224</v>
      </c>
      <c r="B24" s="156" t="s">
        <v>149</v>
      </c>
      <c r="C24" s="156" t="s">
        <v>204</v>
      </c>
      <c r="D24" s="156" t="s">
        <v>202</v>
      </c>
      <c r="E24" s="156" t="s">
        <v>199</v>
      </c>
      <c r="F24" s="112" t="s">
        <v>224</v>
      </c>
      <c r="G24" s="163" t="s">
        <v>592</v>
      </c>
      <c r="H24" s="160" t="s">
        <v>535</v>
      </c>
      <c r="I24" s="125" t="s">
        <v>518</v>
      </c>
      <c r="J24" s="127">
        <v>141</v>
      </c>
      <c r="K24" s="127"/>
      <c r="L24" s="142">
        <v>165</v>
      </c>
      <c r="M24" s="176">
        <f t="shared" si="1"/>
        <v>0</v>
      </c>
      <c r="N24" s="176">
        <f t="shared" si="3"/>
        <v>23265</v>
      </c>
      <c r="O24" s="176">
        <f t="shared" si="0"/>
        <v>23265</v>
      </c>
    </row>
    <row r="25" spans="1:15">
      <c r="A25" s="112" t="s">
        <v>225</v>
      </c>
      <c r="B25" s="156" t="s">
        <v>149</v>
      </c>
      <c r="C25" s="156" t="s">
        <v>204</v>
      </c>
      <c r="D25" s="156" t="s">
        <v>202</v>
      </c>
      <c r="E25" s="156" t="s">
        <v>199</v>
      </c>
      <c r="F25" s="112" t="s">
        <v>225</v>
      </c>
      <c r="G25" s="163" t="s">
        <v>593</v>
      </c>
      <c r="H25" s="160" t="s">
        <v>594</v>
      </c>
      <c r="I25" s="125" t="s">
        <v>518</v>
      </c>
      <c r="J25" s="127">
        <v>10</v>
      </c>
      <c r="K25" s="127"/>
      <c r="L25" s="142">
        <v>62</v>
      </c>
      <c r="M25" s="176">
        <f t="shared" si="1"/>
        <v>0</v>
      </c>
      <c r="N25" s="176">
        <f t="shared" si="3"/>
        <v>620</v>
      </c>
      <c r="O25" s="176">
        <f t="shared" si="0"/>
        <v>620</v>
      </c>
    </row>
    <row r="26" spans="1:15">
      <c r="A26" s="112" t="s">
        <v>226</v>
      </c>
      <c r="B26" s="156" t="s">
        <v>149</v>
      </c>
      <c r="C26" s="156" t="s">
        <v>204</v>
      </c>
      <c r="D26" s="156" t="s">
        <v>202</v>
      </c>
      <c r="E26" s="156" t="s">
        <v>199</v>
      </c>
      <c r="F26" s="112" t="s">
        <v>226</v>
      </c>
      <c r="G26" s="163" t="s">
        <v>595</v>
      </c>
      <c r="H26" s="113" t="s">
        <v>1641</v>
      </c>
      <c r="I26" s="125" t="s">
        <v>596</v>
      </c>
      <c r="J26" s="127">
        <v>2</v>
      </c>
      <c r="K26" s="127"/>
      <c r="L26" s="142">
        <v>1799.27</v>
      </c>
      <c r="M26" s="176">
        <f t="shared" si="1"/>
        <v>0</v>
      </c>
      <c r="N26" s="176">
        <f t="shared" si="3"/>
        <v>3598.54</v>
      </c>
      <c r="O26" s="176">
        <f t="shared" si="0"/>
        <v>3598.54</v>
      </c>
    </row>
    <row r="27" spans="1:15">
      <c r="A27" s="112" t="s">
        <v>227</v>
      </c>
      <c r="B27" s="156" t="s">
        <v>149</v>
      </c>
      <c r="C27" s="156" t="s">
        <v>204</v>
      </c>
      <c r="D27" s="156" t="s">
        <v>202</v>
      </c>
      <c r="E27" s="156" t="s">
        <v>199</v>
      </c>
      <c r="F27" s="112" t="s">
        <v>227</v>
      </c>
      <c r="G27" s="163" t="s">
        <v>597</v>
      </c>
      <c r="H27" s="160" t="s">
        <v>535</v>
      </c>
      <c r="I27" s="125" t="s">
        <v>518</v>
      </c>
      <c r="J27" s="127">
        <v>2</v>
      </c>
      <c r="K27" s="127"/>
      <c r="L27" s="142">
        <v>285</v>
      </c>
      <c r="M27" s="176">
        <f t="shared" si="1"/>
        <v>0</v>
      </c>
      <c r="N27" s="176">
        <f t="shared" si="3"/>
        <v>570</v>
      </c>
      <c r="O27" s="176">
        <f t="shared" si="0"/>
        <v>570</v>
      </c>
    </row>
    <row r="28" spans="1:15">
      <c r="A28" s="112" t="s">
        <v>228</v>
      </c>
      <c r="B28" s="156" t="s">
        <v>149</v>
      </c>
      <c r="C28" s="156" t="s">
        <v>204</v>
      </c>
      <c r="D28" s="156" t="s">
        <v>202</v>
      </c>
      <c r="E28" s="156" t="s">
        <v>199</v>
      </c>
      <c r="F28" s="112" t="s">
        <v>228</v>
      </c>
      <c r="G28" s="164" t="s">
        <v>598</v>
      </c>
      <c r="H28" s="160" t="s">
        <v>536</v>
      </c>
      <c r="I28" s="125" t="s">
        <v>20</v>
      </c>
      <c r="J28" s="127">
        <v>28</v>
      </c>
      <c r="K28" s="127"/>
      <c r="L28" s="142">
        <v>30</v>
      </c>
      <c r="M28" s="176">
        <f t="shared" si="1"/>
        <v>0</v>
      </c>
      <c r="N28" s="176">
        <f t="shared" si="3"/>
        <v>840</v>
      </c>
      <c r="O28" s="176">
        <f t="shared" si="0"/>
        <v>840</v>
      </c>
    </row>
    <row r="29" spans="1:15">
      <c r="A29" s="112" t="s">
        <v>229</v>
      </c>
      <c r="B29" s="156" t="s">
        <v>149</v>
      </c>
      <c r="C29" s="156" t="s">
        <v>204</v>
      </c>
      <c r="D29" s="156" t="s">
        <v>202</v>
      </c>
      <c r="E29" s="156" t="s">
        <v>199</v>
      </c>
      <c r="F29" s="112" t="s">
        <v>229</v>
      </c>
      <c r="G29" s="164" t="s">
        <v>599</v>
      </c>
      <c r="H29" s="160" t="s">
        <v>536</v>
      </c>
      <c r="I29" s="125" t="s">
        <v>20</v>
      </c>
      <c r="J29" s="127">
        <v>27</v>
      </c>
      <c r="K29" s="127"/>
      <c r="L29" s="142">
        <v>49</v>
      </c>
      <c r="M29" s="176">
        <f t="shared" si="1"/>
        <v>0</v>
      </c>
      <c r="N29" s="176">
        <f t="shared" si="3"/>
        <v>1323</v>
      </c>
      <c r="O29" s="176">
        <f t="shared" si="0"/>
        <v>1323</v>
      </c>
    </row>
    <row r="30" spans="1:15">
      <c r="A30" s="112" t="s">
        <v>230</v>
      </c>
      <c r="B30" s="156" t="s">
        <v>149</v>
      </c>
      <c r="C30" s="156" t="s">
        <v>204</v>
      </c>
      <c r="D30" s="156" t="s">
        <v>202</v>
      </c>
      <c r="E30" s="156" t="s">
        <v>199</v>
      </c>
      <c r="F30" s="112" t="s">
        <v>230</v>
      </c>
      <c r="G30" s="164" t="s">
        <v>717</v>
      </c>
      <c r="H30" s="113" t="s">
        <v>537</v>
      </c>
      <c r="I30" s="125" t="s">
        <v>20</v>
      </c>
      <c r="J30" s="127">
        <v>75</v>
      </c>
      <c r="K30" s="127"/>
      <c r="L30" s="142">
        <v>7.73</v>
      </c>
      <c r="M30" s="176">
        <f t="shared" si="1"/>
        <v>0</v>
      </c>
      <c r="N30" s="176">
        <f t="shared" si="3"/>
        <v>579.75</v>
      </c>
      <c r="O30" s="176">
        <f t="shared" si="0"/>
        <v>579.75</v>
      </c>
    </row>
    <row r="31" spans="1:15">
      <c r="A31" s="112" t="s">
        <v>231</v>
      </c>
      <c r="B31" s="156" t="s">
        <v>149</v>
      </c>
      <c r="C31" s="156" t="s">
        <v>204</v>
      </c>
      <c r="D31" s="156" t="s">
        <v>202</v>
      </c>
      <c r="E31" s="156" t="s">
        <v>199</v>
      </c>
      <c r="F31" s="112" t="s">
        <v>231</v>
      </c>
      <c r="G31" s="164" t="s">
        <v>600</v>
      </c>
      <c r="H31" s="113" t="s">
        <v>538</v>
      </c>
      <c r="I31" s="125" t="s">
        <v>20</v>
      </c>
      <c r="J31" s="127">
        <v>90</v>
      </c>
      <c r="K31" s="127"/>
      <c r="L31" s="142">
        <v>19.100000000000001</v>
      </c>
      <c r="M31" s="176">
        <f t="shared" si="1"/>
        <v>0</v>
      </c>
      <c r="N31" s="176">
        <f t="shared" si="3"/>
        <v>1719.0000000000002</v>
      </c>
      <c r="O31" s="176">
        <f t="shared" si="0"/>
        <v>1719.0000000000002</v>
      </c>
    </row>
    <row r="32" spans="1:15">
      <c r="A32" s="112" t="s">
        <v>232</v>
      </c>
      <c r="B32" s="156" t="s">
        <v>149</v>
      </c>
      <c r="C32" s="156" t="s">
        <v>204</v>
      </c>
      <c r="D32" s="156" t="s">
        <v>202</v>
      </c>
      <c r="E32" s="156" t="s">
        <v>199</v>
      </c>
      <c r="F32" s="112" t="s">
        <v>232</v>
      </c>
      <c r="G32" s="164" t="s">
        <v>601</v>
      </c>
      <c r="H32" s="165" t="s">
        <v>539</v>
      </c>
      <c r="I32" s="125" t="s">
        <v>20</v>
      </c>
      <c r="J32" s="127">
        <v>90</v>
      </c>
      <c r="K32" s="127"/>
      <c r="L32" s="142">
        <v>1.6</v>
      </c>
      <c r="M32" s="176">
        <f t="shared" si="1"/>
        <v>0</v>
      </c>
      <c r="N32" s="176">
        <f t="shared" si="3"/>
        <v>144</v>
      </c>
      <c r="O32" s="176">
        <f t="shared" si="0"/>
        <v>144</v>
      </c>
    </row>
    <row r="33" spans="1:15">
      <c r="A33" s="112" t="s">
        <v>233</v>
      </c>
      <c r="B33" s="156" t="s">
        <v>149</v>
      </c>
      <c r="C33" s="156" t="s">
        <v>204</v>
      </c>
      <c r="D33" s="156" t="s">
        <v>202</v>
      </c>
      <c r="E33" s="156" t="s">
        <v>199</v>
      </c>
      <c r="F33" s="112" t="s">
        <v>233</v>
      </c>
      <c r="G33" s="164" t="s">
        <v>602</v>
      </c>
      <c r="H33" s="113" t="s">
        <v>4752</v>
      </c>
      <c r="I33" s="125" t="s">
        <v>20</v>
      </c>
      <c r="J33" s="127">
        <v>23</v>
      </c>
      <c r="K33" s="127"/>
      <c r="L33" s="142">
        <v>86</v>
      </c>
      <c r="M33" s="176">
        <f t="shared" si="1"/>
        <v>0</v>
      </c>
      <c r="N33" s="176">
        <f t="shared" si="3"/>
        <v>1978</v>
      </c>
      <c r="O33" s="176">
        <f t="shared" si="0"/>
        <v>1978</v>
      </c>
    </row>
    <row r="34" spans="1:15">
      <c r="A34" s="112" t="s">
        <v>234</v>
      </c>
      <c r="B34" s="156" t="s">
        <v>149</v>
      </c>
      <c r="C34" s="156" t="s">
        <v>204</v>
      </c>
      <c r="D34" s="156" t="s">
        <v>202</v>
      </c>
      <c r="E34" s="156" t="s">
        <v>199</v>
      </c>
      <c r="F34" s="112" t="s">
        <v>234</v>
      </c>
      <c r="G34" s="166" t="s">
        <v>604</v>
      </c>
      <c r="H34" s="113" t="s">
        <v>605</v>
      </c>
      <c r="I34" s="125" t="s">
        <v>14</v>
      </c>
      <c r="J34" s="127">
        <v>45</v>
      </c>
      <c r="K34" s="127"/>
      <c r="L34" s="142">
        <v>168</v>
      </c>
      <c r="M34" s="176">
        <f t="shared" si="1"/>
        <v>0</v>
      </c>
      <c r="N34" s="176">
        <f t="shared" si="3"/>
        <v>7560</v>
      </c>
      <c r="O34" s="176">
        <f t="shared" si="0"/>
        <v>7560</v>
      </c>
    </row>
    <row r="35" spans="1:15">
      <c r="A35" s="112" t="s">
        <v>235</v>
      </c>
      <c r="B35" s="156" t="s">
        <v>149</v>
      </c>
      <c r="C35" s="156" t="s">
        <v>204</v>
      </c>
      <c r="D35" s="156" t="s">
        <v>202</v>
      </c>
      <c r="E35" s="156" t="s">
        <v>199</v>
      </c>
      <c r="F35" s="112" t="s">
        <v>235</v>
      </c>
      <c r="G35" s="166" t="s">
        <v>203</v>
      </c>
      <c r="H35" s="113" t="s">
        <v>203</v>
      </c>
      <c r="I35" s="125" t="s">
        <v>261</v>
      </c>
      <c r="J35" s="127">
        <v>10</v>
      </c>
      <c r="K35" s="127"/>
      <c r="L35" s="142">
        <v>96</v>
      </c>
      <c r="M35" s="176">
        <f t="shared" si="1"/>
        <v>0</v>
      </c>
      <c r="N35" s="176">
        <f t="shared" si="3"/>
        <v>960</v>
      </c>
      <c r="O35" s="176">
        <f t="shared" si="0"/>
        <v>960</v>
      </c>
    </row>
    <row r="36" spans="1:15">
      <c r="A36" s="112" t="s">
        <v>236</v>
      </c>
      <c r="B36" s="156" t="s">
        <v>149</v>
      </c>
      <c r="C36" s="156" t="s">
        <v>204</v>
      </c>
      <c r="D36" s="156" t="s">
        <v>202</v>
      </c>
      <c r="E36" s="156" t="s">
        <v>199</v>
      </c>
      <c r="F36" s="112" t="s">
        <v>236</v>
      </c>
      <c r="G36" s="166" t="s">
        <v>718</v>
      </c>
      <c r="H36" s="113" t="s">
        <v>606</v>
      </c>
      <c r="I36" s="125" t="s">
        <v>20</v>
      </c>
      <c r="J36" s="127">
        <v>60</v>
      </c>
      <c r="K36" s="127"/>
      <c r="L36" s="142">
        <v>312</v>
      </c>
      <c r="M36" s="176">
        <f t="shared" si="1"/>
        <v>0</v>
      </c>
      <c r="N36" s="176">
        <f t="shared" si="3"/>
        <v>18720</v>
      </c>
      <c r="O36" s="176">
        <f t="shared" si="0"/>
        <v>18720</v>
      </c>
    </row>
    <row r="37" spans="1:15">
      <c r="A37" s="112" t="s">
        <v>237</v>
      </c>
      <c r="B37" s="156" t="s">
        <v>149</v>
      </c>
      <c r="C37" s="156" t="s">
        <v>204</v>
      </c>
      <c r="D37" s="156" t="s">
        <v>202</v>
      </c>
      <c r="E37" s="156" t="s">
        <v>199</v>
      </c>
      <c r="F37" s="112" t="s">
        <v>237</v>
      </c>
      <c r="G37" s="166" t="s">
        <v>719</v>
      </c>
      <c r="H37" s="113" t="s">
        <v>720</v>
      </c>
      <c r="I37" s="125" t="s">
        <v>14</v>
      </c>
      <c r="J37" s="127">
        <v>16</v>
      </c>
      <c r="K37" s="127"/>
      <c r="L37" s="142">
        <v>167</v>
      </c>
      <c r="M37" s="176">
        <f t="shared" si="1"/>
        <v>0</v>
      </c>
      <c r="N37" s="176">
        <f t="shared" si="3"/>
        <v>2672</v>
      </c>
      <c r="O37" s="176">
        <f t="shared" si="0"/>
        <v>2672</v>
      </c>
    </row>
    <row r="38" spans="1:15">
      <c r="A38" s="112" t="s">
        <v>238</v>
      </c>
      <c r="B38" s="156" t="s">
        <v>149</v>
      </c>
      <c r="C38" s="156" t="s">
        <v>204</v>
      </c>
      <c r="D38" s="156" t="s">
        <v>202</v>
      </c>
      <c r="E38" s="156" t="s">
        <v>199</v>
      </c>
      <c r="F38" s="112" t="s">
        <v>238</v>
      </c>
      <c r="G38" s="166" t="s">
        <v>721</v>
      </c>
      <c r="H38" s="113" t="s">
        <v>1236</v>
      </c>
      <c r="I38" s="125" t="s">
        <v>14</v>
      </c>
      <c r="J38" s="127">
        <v>10</v>
      </c>
      <c r="K38" s="127"/>
      <c r="L38" s="142">
        <v>164</v>
      </c>
      <c r="M38" s="176">
        <f t="shared" si="1"/>
        <v>0</v>
      </c>
      <c r="N38" s="176">
        <f t="shared" si="3"/>
        <v>1640</v>
      </c>
      <c r="O38" s="176">
        <f t="shared" si="0"/>
        <v>1640</v>
      </c>
    </row>
    <row r="39" spans="1:15">
      <c r="A39" s="112" t="s">
        <v>239</v>
      </c>
      <c r="B39" s="156" t="s">
        <v>149</v>
      </c>
      <c r="C39" s="156" t="s">
        <v>204</v>
      </c>
      <c r="D39" s="156" t="s">
        <v>202</v>
      </c>
      <c r="E39" s="156" t="s">
        <v>199</v>
      </c>
      <c r="F39" s="112" t="s">
        <v>239</v>
      </c>
      <c r="G39" s="166" t="s">
        <v>723</v>
      </c>
      <c r="H39" s="113" t="s">
        <v>724</v>
      </c>
      <c r="I39" s="125" t="s">
        <v>725</v>
      </c>
      <c r="J39" s="127">
        <v>1</v>
      </c>
      <c r="K39" s="127"/>
      <c r="L39" s="142">
        <v>1276</v>
      </c>
      <c r="M39" s="176">
        <f t="shared" si="1"/>
        <v>0</v>
      </c>
      <c r="N39" s="176">
        <f t="shared" si="3"/>
        <v>1276</v>
      </c>
      <c r="O39" s="176">
        <f t="shared" si="0"/>
        <v>1276</v>
      </c>
    </row>
    <row r="40" spans="1:15">
      <c r="A40" s="112" t="s">
        <v>240</v>
      </c>
      <c r="B40" s="156" t="s">
        <v>149</v>
      </c>
      <c r="C40" s="156" t="s">
        <v>204</v>
      </c>
      <c r="D40" s="156" t="s">
        <v>202</v>
      </c>
      <c r="E40" s="156" t="s">
        <v>199</v>
      </c>
      <c r="F40" s="112" t="s">
        <v>240</v>
      </c>
      <c r="G40" s="166" t="s">
        <v>726</v>
      </c>
      <c r="H40" s="113" t="s">
        <v>1159</v>
      </c>
      <c r="I40" s="125" t="s">
        <v>20</v>
      </c>
      <c r="J40" s="127">
        <v>8</v>
      </c>
      <c r="K40" s="127"/>
      <c r="L40" s="142">
        <v>96</v>
      </c>
      <c r="M40" s="176">
        <f t="shared" si="1"/>
        <v>0</v>
      </c>
      <c r="N40" s="176">
        <f t="shared" si="3"/>
        <v>768</v>
      </c>
      <c r="O40" s="176">
        <f t="shared" si="0"/>
        <v>768</v>
      </c>
    </row>
    <row r="41" spans="1:15">
      <c r="A41" s="112" t="s">
        <v>241</v>
      </c>
      <c r="B41" s="156" t="s">
        <v>149</v>
      </c>
      <c r="C41" s="156" t="s">
        <v>204</v>
      </c>
      <c r="D41" s="156" t="s">
        <v>202</v>
      </c>
      <c r="E41" s="156" t="s">
        <v>199</v>
      </c>
      <c r="F41" s="112" t="s">
        <v>241</v>
      </c>
      <c r="G41" s="166" t="s">
        <v>728</v>
      </c>
      <c r="H41" s="113" t="s">
        <v>541</v>
      </c>
      <c r="I41" s="125" t="s">
        <v>262</v>
      </c>
      <c r="J41" s="127">
        <v>688</v>
      </c>
      <c r="K41" s="127"/>
      <c r="L41" s="142">
        <v>67</v>
      </c>
      <c r="M41" s="176">
        <f t="shared" si="1"/>
        <v>0</v>
      </c>
      <c r="N41" s="176">
        <f t="shared" si="3"/>
        <v>46096</v>
      </c>
      <c r="O41" s="176">
        <f t="shared" si="0"/>
        <v>46096</v>
      </c>
    </row>
    <row r="42" spans="1:15">
      <c r="A42" s="112" t="s">
        <v>242</v>
      </c>
      <c r="B42" s="156" t="s">
        <v>149</v>
      </c>
      <c r="C42" s="156" t="s">
        <v>204</v>
      </c>
      <c r="D42" s="156" t="s">
        <v>202</v>
      </c>
      <c r="E42" s="156" t="s">
        <v>199</v>
      </c>
      <c r="F42" s="112" t="s">
        <v>242</v>
      </c>
      <c r="G42" s="166" t="s">
        <v>613</v>
      </c>
      <c r="H42" s="113" t="s">
        <v>614</v>
      </c>
      <c r="I42" s="125" t="s">
        <v>14</v>
      </c>
      <c r="J42" s="127">
        <v>4</v>
      </c>
      <c r="K42" s="127"/>
      <c r="L42" s="142">
        <v>186</v>
      </c>
      <c r="M42" s="176">
        <f t="shared" si="1"/>
        <v>0</v>
      </c>
      <c r="N42" s="176">
        <f t="shared" si="3"/>
        <v>744</v>
      </c>
      <c r="O42" s="176">
        <f t="shared" si="0"/>
        <v>744</v>
      </c>
    </row>
    <row r="43" spans="1:15">
      <c r="A43" s="112" t="s">
        <v>243</v>
      </c>
      <c r="B43" s="156" t="s">
        <v>149</v>
      </c>
      <c r="C43" s="156" t="s">
        <v>204</v>
      </c>
      <c r="D43" s="156" t="s">
        <v>202</v>
      </c>
      <c r="E43" s="156" t="s">
        <v>199</v>
      </c>
      <c r="F43" s="112" t="s">
        <v>243</v>
      </c>
      <c r="G43" s="166" t="s">
        <v>729</v>
      </c>
      <c r="H43" s="113" t="s">
        <v>542</v>
      </c>
      <c r="I43" s="125" t="s">
        <v>262</v>
      </c>
      <c r="J43" s="127">
        <v>80</v>
      </c>
      <c r="K43" s="127"/>
      <c r="L43" s="142">
        <v>39</v>
      </c>
      <c r="M43" s="176">
        <f t="shared" si="1"/>
        <v>0</v>
      </c>
      <c r="N43" s="176">
        <f t="shared" si="3"/>
        <v>3120</v>
      </c>
      <c r="O43" s="176">
        <f t="shared" si="0"/>
        <v>3120</v>
      </c>
    </row>
    <row r="44" spans="1:15">
      <c r="A44" s="112" t="s">
        <v>580</v>
      </c>
      <c r="B44" s="156" t="s">
        <v>149</v>
      </c>
      <c r="C44" s="156" t="s">
        <v>204</v>
      </c>
      <c r="D44" s="156" t="s">
        <v>202</v>
      </c>
      <c r="E44" s="156" t="s">
        <v>199</v>
      </c>
      <c r="F44" s="112" t="s">
        <v>580</v>
      </c>
      <c r="G44" s="166" t="s">
        <v>730</v>
      </c>
      <c r="H44" s="113" t="s">
        <v>730</v>
      </c>
      <c r="I44" s="125" t="s">
        <v>20</v>
      </c>
      <c r="J44" s="127">
        <v>1</v>
      </c>
      <c r="K44" s="127"/>
      <c r="L44" s="142">
        <v>350</v>
      </c>
      <c r="M44" s="176">
        <f t="shared" si="1"/>
        <v>0</v>
      </c>
      <c r="N44" s="176">
        <f t="shared" si="3"/>
        <v>350</v>
      </c>
      <c r="O44" s="176">
        <f t="shared" si="0"/>
        <v>350</v>
      </c>
    </row>
    <row r="45" spans="1:15">
      <c r="A45" s="112" t="s">
        <v>581</v>
      </c>
      <c r="B45" s="156" t="s">
        <v>149</v>
      </c>
      <c r="C45" s="156" t="s">
        <v>204</v>
      </c>
      <c r="D45" s="156" t="s">
        <v>202</v>
      </c>
      <c r="E45" s="156" t="s">
        <v>199</v>
      </c>
      <c r="F45" s="112" t="s">
        <v>581</v>
      </c>
      <c r="G45" s="166" t="s">
        <v>732</v>
      </c>
      <c r="H45" s="113" t="s">
        <v>545</v>
      </c>
      <c r="I45" s="125" t="s">
        <v>20</v>
      </c>
      <c r="J45" s="127">
        <v>1600</v>
      </c>
      <c r="K45" s="127"/>
      <c r="L45" s="142">
        <v>1.1200000000000001</v>
      </c>
      <c r="M45" s="176">
        <f t="shared" si="1"/>
        <v>0</v>
      </c>
      <c r="N45" s="176">
        <f t="shared" si="3"/>
        <v>1792.0000000000002</v>
      </c>
      <c r="O45" s="176">
        <f t="shared" si="0"/>
        <v>1792.0000000000002</v>
      </c>
    </row>
    <row r="46" spans="1:15">
      <c r="A46" s="112" t="s">
        <v>582</v>
      </c>
      <c r="B46" s="156" t="s">
        <v>149</v>
      </c>
      <c r="C46" s="156" t="s">
        <v>204</v>
      </c>
      <c r="D46" s="156" t="s">
        <v>202</v>
      </c>
      <c r="E46" s="156" t="s">
        <v>199</v>
      </c>
      <c r="F46" s="112" t="s">
        <v>582</v>
      </c>
      <c r="G46" s="166" t="s">
        <v>733</v>
      </c>
      <c r="H46" s="113" t="s">
        <v>545</v>
      </c>
      <c r="I46" s="125" t="s">
        <v>20</v>
      </c>
      <c r="J46" s="127">
        <v>1200</v>
      </c>
      <c r="K46" s="127"/>
      <c r="L46" s="142">
        <v>0.54</v>
      </c>
      <c r="M46" s="176">
        <f t="shared" si="1"/>
        <v>0</v>
      </c>
      <c r="N46" s="176">
        <f t="shared" si="3"/>
        <v>648</v>
      </c>
      <c r="O46" s="176">
        <f t="shared" si="0"/>
        <v>648</v>
      </c>
    </row>
    <row r="47" spans="1:15">
      <c r="A47" s="112" t="s">
        <v>583</v>
      </c>
      <c r="B47" s="156" t="s">
        <v>149</v>
      </c>
      <c r="C47" s="156" t="s">
        <v>204</v>
      </c>
      <c r="D47" s="156" t="s">
        <v>202</v>
      </c>
      <c r="E47" s="156" t="s">
        <v>199</v>
      </c>
      <c r="F47" s="112" t="s">
        <v>583</v>
      </c>
      <c r="G47" s="166" t="s">
        <v>734</v>
      </c>
      <c r="H47" s="113" t="s">
        <v>545</v>
      </c>
      <c r="I47" s="125" t="s">
        <v>20</v>
      </c>
      <c r="J47" s="127">
        <v>2100</v>
      </c>
      <c r="K47" s="127"/>
      <c r="L47" s="142">
        <v>0.76</v>
      </c>
      <c r="M47" s="176">
        <f t="shared" si="1"/>
        <v>0</v>
      </c>
      <c r="N47" s="176">
        <f t="shared" si="3"/>
        <v>1596</v>
      </c>
      <c r="O47" s="176">
        <f t="shared" si="0"/>
        <v>1596</v>
      </c>
    </row>
    <row r="48" spans="1:15">
      <c r="A48" s="112" t="s">
        <v>584</v>
      </c>
      <c r="B48" s="156" t="s">
        <v>149</v>
      </c>
      <c r="C48" s="156" t="s">
        <v>204</v>
      </c>
      <c r="D48" s="156" t="s">
        <v>202</v>
      </c>
      <c r="E48" s="156" t="s">
        <v>199</v>
      </c>
      <c r="F48" s="112" t="s">
        <v>584</v>
      </c>
      <c r="G48" s="166" t="s">
        <v>735</v>
      </c>
      <c r="H48" s="113" t="s">
        <v>545</v>
      </c>
      <c r="I48" s="125" t="s">
        <v>20</v>
      </c>
      <c r="J48" s="127">
        <v>1500</v>
      </c>
      <c r="K48" s="127"/>
      <c r="L48" s="142">
        <v>0.81</v>
      </c>
      <c r="M48" s="176">
        <f t="shared" si="1"/>
        <v>0</v>
      </c>
      <c r="N48" s="176">
        <f t="shared" si="3"/>
        <v>1215</v>
      </c>
      <c r="O48" s="176">
        <f t="shared" si="0"/>
        <v>1215</v>
      </c>
    </row>
    <row r="49" spans="1:17">
      <c r="A49" s="112" t="s">
        <v>585</v>
      </c>
      <c r="B49" s="156" t="s">
        <v>149</v>
      </c>
      <c r="C49" s="156" t="s">
        <v>204</v>
      </c>
      <c r="D49" s="156" t="s">
        <v>202</v>
      </c>
      <c r="E49" s="156" t="s">
        <v>199</v>
      </c>
      <c r="F49" s="112" t="s">
        <v>585</v>
      </c>
      <c r="G49" s="166" t="s">
        <v>736</v>
      </c>
      <c r="H49" s="113" t="s">
        <v>545</v>
      </c>
      <c r="I49" s="125" t="s">
        <v>20</v>
      </c>
      <c r="J49" s="127">
        <v>2455</v>
      </c>
      <c r="K49" s="127"/>
      <c r="L49" s="142">
        <v>0.25</v>
      </c>
      <c r="M49" s="176">
        <f t="shared" si="1"/>
        <v>0</v>
      </c>
      <c r="N49" s="176">
        <f t="shared" si="3"/>
        <v>613.75</v>
      </c>
      <c r="O49" s="176">
        <f t="shared" si="0"/>
        <v>613.75</v>
      </c>
    </row>
    <row r="50" spans="1:17">
      <c r="A50" s="112" t="s">
        <v>586</v>
      </c>
      <c r="B50" s="156" t="s">
        <v>149</v>
      </c>
      <c r="C50" s="156" t="s">
        <v>204</v>
      </c>
      <c r="D50" s="156" t="s">
        <v>202</v>
      </c>
      <c r="E50" s="156" t="s">
        <v>199</v>
      </c>
      <c r="F50" s="112" t="s">
        <v>586</v>
      </c>
      <c r="G50" s="166" t="s">
        <v>737</v>
      </c>
      <c r="H50" s="113" t="s">
        <v>545</v>
      </c>
      <c r="I50" s="125" t="s">
        <v>20</v>
      </c>
      <c r="J50" s="127">
        <v>1890</v>
      </c>
      <c r="K50" s="127"/>
      <c r="L50" s="142">
        <v>0.81</v>
      </c>
      <c r="M50" s="176">
        <f t="shared" si="1"/>
        <v>0</v>
      </c>
      <c r="N50" s="176">
        <f t="shared" si="3"/>
        <v>1530.9</v>
      </c>
      <c r="O50" s="176">
        <f t="shared" si="0"/>
        <v>1530.9</v>
      </c>
    </row>
    <row r="51" spans="1:17">
      <c r="A51" s="112" t="s">
        <v>587</v>
      </c>
      <c r="B51" s="156" t="s">
        <v>149</v>
      </c>
      <c r="C51" s="156" t="s">
        <v>204</v>
      </c>
      <c r="D51" s="156" t="s">
        <v>202</v>
      </c>
      <c r="E51" s="156" t="s">
        <v>199</v>
      </c>
      <c r="F51" s="112" t="s">
        <v>587</v>
      </c>
      <c r="G51" s="166" t="s">
        <v>738</v>
      </c>
      <c r="H51" s="113" t="s">
        <v>612</v>
      </c>
      <c r="I51" s="125" t="s">
        <v>20</v>
      </c>
      <c r="J51" s="127">
        <v>455</v>
      </c>
      <c r="K51" s="127"/>
      <c r="L51" s="142">
        <v>0.93</v>
      </c>
      <c r="M51" s="176">
        <f t="shared" si="1"/>
        <v>0</v>
      </c>
      <c r="N51" s="176">
        <f t="shared" si="3"/>
        <v>423.15000000000003</v>
      </c>
      <c r="O51" s="176">
        <f t="shared" si="0"/>
        <v>423.15000000000003</v>
      </c>
    </row>
    <row r="52" spans="1:17">
      <c r="A52" s="112" t="s">
        <v>588</v>
      </c>
      <c r="B52" s="156" t="s">
        <v>149</v>
      </c>
      <c r="C52" s="156" t="s">
        <v>204</v>
      </c>
      <c r="D52" s="156" t="s">
        <v>202</v>
      </c>
      <c r="E52" s="156" t="s">
        <v>199</v>
      </c>
      <c r="F52" s="112" t="s">
        <v>588</v>
      </c>
      <c r="G52" s="166" t="s">
        <v>739</v>
      </c>
      <c r="H52" s="113" t="s">
        <v>612</v>
      </c>
      <c r="I52" s="125" t="s">
        <v>20</v>
      </c>
      <c r="J52" s="127">
        <v>200</v>
      </c>
      <c r="K52" s="127"/>
      <c r="L52" s="142">
        <v>0.32</v>
      </c>
      <c r="M52" s="176">
        <f t="shared" si="1"/>
        <v>0</v>
      </c>
      <c r="N52" s="176">
        <f t="shared" si="3"/>
        <v>64</v>
      </c>
      <c r="O52" s="176">
        <f t="shared" si="0"/>
        <v>64</v>
      </c>
    </row>
    <row r="53" spans="1:17">
      <c r="A53" s="112" t="s">
        <v>589</v>
      </c>
      <c r="B53" s="156" t="s">
        <v>149</v>
      </c>
      <c r="C53" s="156" t="s">
        <v>204</v>
      </c>
      <c r="D53" s="156" t="s">
        <v>202</v>
      </c>
      <c r="E53" s="156" t="s">
        <v>199</v>
      </c>
      <c r="F53" s="112" t="s">
        <v>589</v>
      </c>
      <c r="G53" s="166" t="s">
        <v>740</v>
      </c>
      <c r="H53" s="113" t="s">
        <v>545</v>
      </c>
      <c r="I53" s="125" t="s">
        <v>20</v>
      </c>
      <c r="J53" s="127">
        <v>275</v>
      </c>
      <c r="K53" s="127"/>
      <c r="L53" s="142">
        <v>1.03</v>
      </c>
      <c r="M53" s="176">
        <f t="shared" si="1"/>
        <v>0</v>
      </c>
      <c r="N53" s="176">
        <f t="shared" si="3"/>
        <v>283.25</v>
      </c>
      <c r="O53" s="176">
        <f t="shared" si="0"/>
        <v>283.25</v>
      </c>
      <c r="P53" s="153">
        <f>SUM(O13:O53)</f>
        <v>236595.12500000003</v>
      </c>
      <c r="Q53" s="153" t="s">
        <v>703</v>
      </c>
    </row>
    <row r="54" spans="1:17">
      <c r="A54" s="360" t="s">
        <v>18</v>
      </c>
      <c r="B54" s="360"/>
      <c r="C54" s="360"/>
      <c r="D54" s="360"/>
      <c r="E54" s="360"/>
      <c r="F54" s="360" t="s">
        <v>18</v>
      </c>
      <c r="G54" s="351" t="s">
        <v>205</v>
      </c>
      <c r="H54" s="361"/>
      <c r="I54" s="362"/>
      <c r="J54" s="362"/>
      <c r="K54" s="362"/>
      <c r="L54" s="362"/>
      <c r="M54" s="362">
        <f t="shared" si="1"/>
        <v>0</v>
      </c>
      <c r="N54" s="362">
        <f t="shared" si="3"/>
        <v>0</v>
      </c>
      <c r="O54" s="362">
        <f t="shared" si="0"/>
        <v>0</v>
      </c>
    </row>
    <row r="55" spans="1:17">
      <c r="A55" s="140" t="s">
        <v>16</v>
      </c>
      <c r="B55" s="156"/>
      <c r="C55" s="156"/>
      <c r="D55" s="156"/>
      <c r="E55" s="156"/>
      <c r="F55" s="140" t="s">
        <v>16</v>
      </c>
      <c r="G55" s="141" t="s">
        <v>10</v>
      </c>
      <c r="H55" s="141"/>
      <c r="I55" s="125"/>
      <c r="J55" s="125"/>
      <c r="K55" s="127"/>
      <c r="L55" s="142"/>
      <c r="M55" s="176">
        <f t="shared" si="1"/>
        <v>0</v>
      </c>
      <c r="N55" s="176">
        <f t="shared" si="3"/>
        <v>0</v>
      </c>
      <c r="O55" s="176">
        <f t="shared" si="0"/>
        <v>0</v>
      </c>
    </row>
    <row r="56" spans="1:17">
      <c r="A56" s="112" t="s">
        <v>244</v>
      </c>
      <c r="B56" s="156" t="s">
        <v>193</v>
      </c>
      <c r="C56" s="156" t="s">
        <v>200</v>
      </c>
      <c r="D56" s="156" t="s">
        <v>202</v>
      </c>
      <c r="E56" s="156" t="s">
        <v>205</v>
      </c>
      <c r="F56" s="112" t="s">
        <v>244</v>
      </c>
      <c r="G56" s="358" t="s">
        <v>445</v>
      </c>
      <c r="H56" s="113"/>
      <c r="I56" s="125" t="s">
        <v>201</v>
      </c>
      <c r="J56" s="126"/>
      <c r="K56" s="127">
        <v>200</v>
      </c>
      <c r="L56" s="142"/>
      <c r="M56" s="176">
        <f t="shared" si="1"/>
        <v>0</v>
      </c>
      <c r="N56" s="176">
        <f t="shared" si="3"/>
        <v>0</v>
      </c>
      <c r="O56" s="176">
        <f t="shared" si="0"/>
        <v>0</v>
      </c>
    </row>
    <row r="57" spans="1:17">
      <c r="A57" s="112" t="s">
        <v>245</v>
      </c>
      <c r="B57" s="156" t="s">
        <v>193</v>
      </c>
      <c r="C57" s="156" t="s">
        <v>200</v>
      </c>
      <c r="D57" s="156" t="s">
        <v>202</v>
      </c>
      <c r="E57" s="156" t="s">
        <v>205</v>
      </c>
      <c r="F57" s="112" t="s">
        <v>245</v>
      </c>
      <c r="G57" s="358" t="s">
        <v>446</v>
      </c>
      <c r="H57" s="113"/>
      <c r="I57" s="125" t="s">
        <v>201</v>
      </c>
      <c r="J57" s="126"/>
      <c r="K57" s="127">
        <v>200</v>
      </c>
      <c r="L57" s="142"/>
      <c r="M57" s="176">
        <f>J57*K57</f>
        <v>0</v>
      </c>
      <c r="N57" s="176">
        <f t="shared" si="3"/>
        <v>0</v>
      </c>
      <c r="O57" s="176">
        <f t="shared" si="0"/>
        <v>0</v>
      </c>
    </row>
    <row r="58" spans="1:17">
      <c r="A58" s="112" t="s">
        <v>246</v>
      </c>
      <c r="B58" s="156" t="s">
        <v>193</v>
      </c>
      <c r="C58" s="156" t="s">
        <v>200</v>
      </c>
      <c r="D58" s="156" t="s">
        <v>202</v>
      </c>
      <c r="E58" s="156" t="s">
        <v>205</v>
      </c>
      <c r="F58" s="112" t="s">
        <v>246</v>
      </c>
      <c r="G58" s="358" t="s">
        <v>447</v>
      </c>
      <c r="H58" s="113"/>
      <c r="I58" s="125" t="s">
        <v>201</v>
      </c>
      <c r="J58" s="126"/>
      <c r="K58" s="127">
        <v>200</v>
      </c>
      <c r="L58" s="142"/>
      <c r="M58" s="176">
        <f t="shared" ref="M58:M104" si="4">J58*K58</f>
        <v>0</v>
      </c>
      <c r="N58" s="176">
        <f t="shared" si="3"/>
        <v>0</v>
      </c>
      <c r="O58" s="176">
        <f t="shared" si="0"/>
        <v>0</v>
      </c>
    </row>
    <row r="59" spans="1:17">
      <c r="A59" s="112" t="s">
        <v>247</v>
      </c>
      <c r="B59" s="156" t="s">
        <v>193</v>
      </c>
      <c r="C59" s="156" t="s">
        <v>200</v>
      </c>
      <c r="D59" s="156" t="s">
        <v>202</v>
      </c>
      <c r="E59" s="156" t="s">
        <v>205</v>
      </c>
      <c r="F59" s="112" t="s">
        <v>247</v>
      </c>
      <c r="G59" s="358" t="s">
        <v>448</v>
      </c>
      <c r="H59" s="113"/>
      <c r="I59" s="125" t="s">
        <v>201</v>
      </c>
      <c r="J59" s="126"/>
      <c r="K59" s="127">
        <v>200</v>
      </c>
      <c r="L59" s="142"/>
      <c r="M59" s="176">
        <f t="shared" si="4"/>
        <v>0</v>
      </c>
      <c r="N59" s="176">
        <f t="shared" si="3"/>
        <v>0</v>
      </c>
      <c r="O59" s="176">
        <f t="shared" si="0"/>
        <v>0</v>
      </c>
    </row>
    <row r="60" spans="1:17">
      <c r="A60" s="112" t="s">
        <v>248</v>
      </c>
      <c r="B60" s="156" t="s">
        <v>193</v>
      </c>
      <c r="C60" s="156" t="s">
        <v>200</v>
      </c>
      <c r="D60" s="156" t="s">
        <v>202</v>
      </c>
      <c r="E60" s="156" t="s">
        <v>205</v>
      </c>
      <c r="F60" s="112" t="s">
        <v>248</v>
      </c>
      <c r="G60" s="358" t="s">
        <v>450</v>
      </c>
      <c r="H60" s="113"/>
      <c r="I60" s="125" t="s">
        <v>201</v>
      </c>
      <c r="J60" s="126"/>
      <c r="K60" s="127">
        <v>200</v>
      </c>
      <c r="L60" s="142"/>
      <c r="M60" s="176">
        <f t="shared" si="4"/>
        <v>0</v>
      </c>
      <c r="N60" s="176">
        <f t="shared" si="3"/>
        <v>0</v>
      </c>
      <c r="O60" s="176">
        <f t="shared" si="0"/>
        <v>0</v>
      </c>
    </row>
    <row r="61" spans="1:17">
      <c r="A61" s="112" t="s">
        <v>249</v>
      </c>
      <c r="B61" s="156" t="s">
        <v>193</v>
      </c>
      <c r="C61" s="156" t="s">
        <v>200</v>
      </c>
      <c r="D61" s="156" t="s">
        <v>202</v>
      </c>
      <c r="E61" s="156" t="s">
        <v>205</v>
      </c>
      <c r="F61" s="112" t="s">
        <v>249</v>
      </c>
      <c r="G61" s="358" t="s">
        <v>449</v>
      </c>
      <c r="H61" s="113"/>
      <c r="I61" s="125" t="s">
        <v>201</v>
      </c>
      <c r="J61" s="126"/>
      <c r="K61" s="127">
        <v>200</v>
      </c>
      <c r="L61" s="142"/>
      <c r="M61" s="176">
        <f t="shared" si="4"/>
        <v>0</v>
      </c>
      <c r="N61" s="176">
        <f t="shared" si="3"/>
        <v>0</v>
      </c>
      <c r="O61" s="176">
        <f t="shared" si="0"/>
        <v>0</v>
      </c>
    </row>
    <row r="62" spans="1:17">
      <c r="A62" s="112" t="s">
        <v>482</v>
      </c>
      <c r="B62" s="156" t="s">
        <v>193</v>
      </c>
      <c r="C62" s="156" t="s">
        <v>200</v>
      </c>
      <c r="D62" s="156" t="s">
        <v>202</v>
      </c>
      <c r="E62" s="156" t="s">
        <v>205</v>
      </c>
      <c r="F62" s="112" t="s">
        <v>482</v>
      </c>
      <c r="G62" s="358" t="s">
        <v>451</v>
      </c>
      <c r="H62" s="113"/>
      <c r="I62" s="125" t="s">
        <v>201</v>
      </c>
      <c r="J62" s="126"/>
      <c r="K62" s="127">
        <v>200</v>
      </c>
      <c r="L62" s="142"/>
      <c r="M62" s="176">
        <f t="shared" si="4"/>
        <v>0</v>
      </c>
      <c r="N62" s="176">
        <f t="shared" si="3"/>
        <v>0</v>
      </c>
      <c r="O62" s="176">
        <f t="shared" si="0"/>
        <v>0</v>
      </c>
    </row>
    <row r="63" spans="1:17">
      <c r="A63" s="140" t="s">
        <v>17</v>
      </c>
      <c r="B63" s="156"/>
      <c r="C63" s="156"/>
      <c r="D63" s="156"/>
      <c r="E63" s="156" t="s">
        <v>205</v>
      </c>
      <c r="F63" s="140" t="s">
        <v>17</v>
      </c>
      <c r="G63" s="141" t="s">
        <v>15</v>
      </c>
      <c r="H63" s="141"/>
      <c r="I63" s="127"/>
      <c r="J63" s="127"/>
      <c r="K63" s="127"/>
      <c r="L63" s="142"/>
      <c r="M63" s="176">
        <f t="shared" si="4"/>
        <v>0</v>
      </c>
      <c r="N63" s="176">
        <f t="shared" si="3"/>
        <v>0</v>
      </c>
      <c r="O63" s="176">
        <f t="shared" si="0"/>
        <v>0</v>
      </c>
    </row>
    <row r="64" spans="1:17">
      <c r="A64" s="112" t="s">
        <v>250</v>
      </c>
      <c r="B64" s="156" t="s">
        <v>149</v>
      </c>
      <c r="C64" s="156" t="s">
        <v>204</v>
      </c>
      <c r="D64" s="156" t="s">
        <v>202</v>
      </c>
      <c r="E64" s="156" t="s">
        <v>205</v>
      </c>
      <c r="F64" s="112" t="s">
        <v>250</v>
      </c>
      <c r="G64" s="162" t="s">
        <v>608</v>
      </c>
      <c r="H64" s="160" t="s">
        <v>567</v>
      </c>
      <c r="I64" s="125" t="s">
        <v>12</v>
      </c>
      <c r="J64" s="127">
        <v>82</v>
      </c>
      <c r="K64" s="127"/>
      <c r="L64" s="142">
        <v>29</v>
      </c>
      <c r="M64" s="176">
        <f t="shared" si="4"/>
        <v>0</v>
      </c>
      <c r="N64" s="176">
        <f t="shared" si="3"/>
        <v>2378</v>
      </c>
      <c r="O64" s="176">
        <f t="shared" si="0"/>
        <v>2378</v>
      </c>
    </row>
    <row r="65" spans="1:15">
      <c r="A65" s="112" t="s">
        <v>251</v>
      </c>
      <c r="B65" s="156" t="s">
        <v>149</v>
      </c>
      <c r="C65" s="156" t="s">
        <v>204</v>
      </c>
      <c r="D65" s="156" t="s">
        <v>202</v>
      </c>
      <c r="E65" s="156" t="s">
        <v>205</v>
      </c>
      <c r="F65" s="112" t="s">
        <v>251</v>
      </c>
      <c r="G65" s="162" t="s">
        <v>742</v>
      </c>
      <c r="H65" s="160" t="s">
        <v>567</v>
      </c>
      <c r="I65" s="125" t="s">
        <v>12</v>
      </c>
      <c r="J65" s="127">
        <v>210</v>
      </c>
      <c r="K65" s="127"/>
      <c r="L65" s="142">
        <v>13</v>
      </c>
      <c r="M65" s="176">
        <f t="shared" si="4"/>
        <v>0</v>
      </c>
      <c r="N65" s="176">
        <f t="shared" si="3"/>
        <v>2730</v>
      </c>
      <c r="O65" s="176">
        <f t="shared" si="0"/>
        <v>2730</v>
      </c>
    </row>
    <row r="66" spans="1:15">
      <c r="A66" s="112" t="s">
        <v>252</v>
      </c>
      <c r="B66" s="156" t="s">
        <v>149</v>
      </c>
      <c r="C66" s="156" t="s">
        <v>204</v>
      </c>
      <c r="D66" s="156" t="s">
        <v>202</v>
      </c>
      <c r="E66" s="156" t="s">
        <v>205</v>
      </c>
      <c r="F66" s="112" t="s">
        <v>252</v>
      </c>
      <c r="G66" s="162" t="s">
        <v>743</v>
      </c>
      <c r="H66" s="113" t="s">
        <v>606</v>
      </c>
      <c r="I66" s="125" t="s">
        <v>12</v>
      </c>
      <c r="J66" s="127">
        <v>88</v>
      </c>
      <c r="K66" s="127"/>
      <c r="L66" s="142">
        <v>112</v>
      </c>
      <c r="M66" s="176">
        <f t="shared" si="4"/>
        <v>0</v>
      </c>
      <c r="N66" s="176">
        <f t="shared" si="3"/>
        <v>9856</v>
      </c>
      <c r="O66" s="176">
        <f t="shared" si="0"/>
        <v>9856</v>
      </c>
    </row>
    <row r="67" spans="1:15">
      <c r="A67" s="112" t="s">
        <v>253</v>
      </c>
      <c r="B67" s="156" t="s">
        <v>149</v>
      </c>
      <c r="C67" s="156" t="s">
        <v>204</v>
      </c>
      <c r="D67" s="156" t="s">
        <v>202</v>
      </c>
      <c r="E67" s="156" t="s">
        <v>205</v>
      </c>
      <c r="F67" s="112" t="s">
        <v>253</v>
      </c>
      <c r="G67" s="162" t="s">
        <v>744</v>
      </c>
      <c r="H67" s="113" t="s">
        <v>540</v>
      </c>
      <c r="I67" s="125" t="s">
        <v>12</v>
      </c>
      <c r="J67" s="127">
        <v>100</v>
      </c>
      <c r="K67" s="127"/>
      <c r="L67" s="142">
        <v>180</v>
      </c>
      <c r="M67" s="176">
        <f t="shared" si="4"/>
        <v>0</v>
      </c>
      <c r="N67" s="176">
        <f t="shared" si="3"/>
        <v>18000</v>
      </c>
      <c r="O67" s="176">
        <f t="shared" si="0"/>
        <v>18000</v>
      </c>
    </row>
    <row r="68" spans="1:15">
      <c r="A68" s="112" t="s">
        <v>254</v>
      </c>
      <c r="B68" s="156" t="s">
        <v>149</v>
      </c>
      <c r="C68" s="156" t="s">
        <v>204</v>
      </c>
      <c r="D68" s="156" t="s">
        <v>202</v>
      </c>
      <c r="E68" s="156" t="s">
        <v>205</v>
      </c>
      <c r="F68" s="112" t="s">
        <v>254</v>
      </c>
      <c r="G68" s="162" t="s">
        <v>745</v>
      </c>
      <c r="H68" s="160" t="s">
        <v>540</v>
      </c>
      <c r="I68" s="125" t="s">
        <v>12</v>
      </c>
      <c r="J68" s="127">
        <v>341</v>
      </c>
      <c r="K68" s="127"/>
      <c r="L68" s="142">
        <v>90</v>
      </c>
      <c r="M68" s="176">
        <f t="shared" si="4"/>
        <v>0</v>
      </c>
      <c r="N68" s="176">
        <f t="shared" si="3"/>
        <v>30690</v>
      </c>
      <c r="O68" s="176">
        <f t="shared" si="0"/>
        <v>30690</v>
      </c>
    </row>
    <row r="69" spans="1:15">
      <c r="A69" s="112" t="s">
        <v>255</v>
      </c>
      <c r="B69" s="156" t="s">
        <v>149</v>
      </c>
      <c r="C69" s="156" t="s">
        <v>204</v>
      </c>
      <c r="D69" s="156" t="s">
        <v>202</v>
      </c>
      <c r="E69" s="156" t="s">
        <v>205</v>
      </c>
      <c r="F69" s="112" t="s">
        <v>255</v>
      </c>
      <c r="G69" s="162" t="s">
        <v>746</v>
      </c>
      <c r="H69" s="113" t="s">
        <v>609</v>
      </c>
      <c r="I69" s="125" t="s">
        <v>20</v>
      </c>
      <c r="J69" s="127">
        <v>9</v>
      </c>
      <c r="K69" s="127"/>
      <c r="L69" s="142">
        <v>7700</v>
      </c>
      <c r="M69" s="176">
        <f t="shared" si="4"/>
        <v>0</v>
      </c>
      <c r="N69" s="176">
        <f t="shared" si="3"/>
        <v>69300</v>
      </c>
      <c r="O69" s="176">
        <f t="shared" si="0"/>
        <v>69300</v>
      </c>
    </row>
    <row r="70" spans="1:15">
      <c r="A70" s="112" t="s">
        <v>256</v>
      </c>
      <c r="B70" s="156" t="s">
        <v>149</v>
      </c>
      <c r="C70" s="156" t="s">
        <v>204</v>
      </c>
      <c r="D70" s="156" t="s">
        <v>202</v>
      </c>
      <c r="E70" s="156" t="s">
        <v>205</v>
      </c>
      <c r="F70" s="112" t="s">
        <v>256</v>
      </c>
      <c r="G70" s="162" t="s">
        <v>747</v>
      </c>
      <c r="H70" s="113" t="s">
        <v>610</v>
      </c>
      <c r="I70" s="125" t="s">
        <v>12</v>
      </c>
      <c r="J70" s="127">
        <v>36</v>
      </c>
      <c r="K70" s="127"/>
      <c r="L70" s="142">
        <v>515</v>
      </c>
      <c r="M70" s="176">
        <f t="shared" si="4"/>
        <v>0</v>
      </c>
      <c r="N70" s="176">
        <f t="shared" si="3"/>
        <v>18540</v>
      </c>
      <c r="O70" s="176">
        <f t="shared" si="0"/>
        <v>18540</v>
      </c>
    </row>
    <row r="71" spans="1:15">
      <c r="A71" s="112" t="s">
        <v>257</v>
      </c>
      <c r="B71" s="156" t="s">
        <v>149</v>
      </c>
      <c r="C71" s="156" t="s">
        <v>204</v>
      </c>
      <c r="D71" s="156" t="s">
        <v>202</v>
      </c>
      <c r="E71" s="156" t="s">
        <v>205</v>
      </c>
      <c r="F71" s="112" t="s">
        <v>257</v>
      </c>
      <c r="G71" s="162" t="s">
        <v>748</v>
      </c>
      <c r="H71" s="113" t="s">
        <v>610</v>
      </c>
      <c r="I71" s="125" t="s">
        <v>12</v>
      </c>
      <c r="J71" s="127">
        <v>160</v>
      </c>
      <c r="K71" s="127"/>
      <c r="L71" s="142">
        <v>429</v>
      </c>
      <c r="M71" s="176">
        <f t="shared" si="4"/>
        <v>0</v>
      </c>
      <c r="N71" s="176">
        <f t="shared" si="3"/>
        <v>68640</v>
      </c>
      <c r="O71" s="176">
        <f t="shared" si="0"/>
        <v>68640</v>
      </c>
    </row>
    <row r="72" spans="1:15">
      <c r="A72" s="112" t="s">
        <v>258</v>
      </c>
      <c r="B72" s="156" t="s">
        <v>149</v>
      </c>
      <c r="C72" s="156" t="s">
        <v>204</v>
      </c>
      <c r="D72" s="156" t="s">
        <v>202</v>
      </c>
      <c r="E72" s="156" t="s">
        <v>205</v>
      </c>
      <c r="F72" s="112" t="s">
        <v>258</v>
      </c>
      <c r="G72" s="162" t="s">
        <v>611</v>
      </c>
      <c r="H72" s="113" t="s">
        <v>611</v>
      </c>
      <c r="I72" s="125" t="s">
        <v>14</v>
      </c>
      <c r="J72" s="127">
        <v>35</v>
      </c>
      <c r="K72" s="127"/>
      <c r="L72" s="142">
        <v>540</v>
      </c>
      <c r="M72" s="176">
        <f t="shared" si="4"/>
        <v>0</v>
      </c>
      <c r="N72" s="176">
        <f t="shared" si="3"/>
        <v>18900</v>
      </c>
      <c r="O72" s="176">
        <f t="shared" si="0"/>
        <v>18900</v>
      </c>
    </row>
    <row r="73" spans="1:15">
      <c r="A73" s="112" t="s">
        <v>259</v>
      </c>
      <c r="B73" s="156" t="s">
        <v>149</v>
      </c>
      <c r="C73" s="156" t="s">
        <v>204</v>
      </c>
      <c r="D73" s="156" t="s">
        <v>202</v>
      </c>
      <c r="E73" s="156" t="s">
        <v>205</v>
      </c>
      <c r="F73" s="112" t="s">
        <v>259</v>
      </c>
      <c r="G73" s="162" t="s">
        <v>749</v>
      </c>
      <c r="H73" s="160" t="s">
        <v>544</v>
      </c>
      <c r="I73" s="125" t="s">
        <v>262</v>
      </c>
      <c r="J73" s="127">
        <v>75</v>
      </c>
      <c r="K73" s="127"/>
      <c r="L73" s="142">
        <v>132.58000000000001</v>
      </c>
      <c r="M73" s="176">
        <f t="shared" si="4"/>
        <v>0</v>
      </c>
      <c r="N73" s="176">
        <f t="shared" si="3"/>
        <v>9943.5000000000018</v>
      </c>
      <c r="O73" s="176">
        <f t="shared" si="0"/>
        <v>9943.5000000000018</v>
      </c>
    </row>
    <row r="74" spans="1:15">
      <c r="A74" s="112" t="s">
        <v>260</v>
      </c>
      <c r="B74" s="156" t="s">
        <v>149</v>
      </c>
      <c r="C74" s="156" t="s">
        <v>204</v>
      </c>
      <c r="D74" s="156" t="s">
        <v>202</v>
      </c>
      <c r="E74" s="156" t="s">
        <v>205</v>
      </c>
      <c r="F74" s="112" t="s">
        <v>260</v>
      </c>
      <c r="G74" s="162" t="s">
        <v>750</v>
      </c>
      <c r="H74" s="160" t="s">
        <v>621</v>
      </c>
      <c r="I74" s="125" t="s">
        <v>12</v>
      </c>
      <c r="J74" s="127">
        <v>36</v>
      </c>
      <c r="K74" s="127"/>
      <c r="L74" s="142">
        <v>229</v>
      </c>
      <c r="M74" s="176">
        <f t="shared" si="4"/>
        <v>0</v>
      </c>
      <c r="N74" s="176">
        <f t="shared" si="3"/>
        <v>8244</v>
      </c>
      <c r="O74" s="176">
        <f t="shared" si="0"/>
        <v>8244</v>
      </c>
    </row>
    <row r="75" spans="1:15">
      <c r="A75" s="112" t="s">
        <v>263</v>
      </c>
      <c r="B75" s="156" t="s">
        <v>149</v>
      </c>
      <c r="C75" s="156" t="s">
        <v>204</v>
      </c>
      <c r="D75" s="156" t="s">
        <v>202</v>
      </c>
      <c r="E75" s="156" t="s">
        <v>205</v>
      </c>
      <c r="F75" s="112" t="s">
        <v>263</v>
      </c>
      <c r="G75" s="162" t="s">
        <v>751</v>
      </c>
      <c r="H75" s="113" t="s">
        <v>1029</v>
      </c>
      <c r="I75" s="125" t="s">
        <v>262</v>
      </c>
      <c r="J75" s="127">
        <v>92</v>
      </c>
      <c r="K75" s="127"/>
      <c r="L75" s="142">
        <v>139.26</v>
      </c>
      <c r="M75" s="176">
        <f t="shared" si="4"/>
        <v>0</v>
      </c>
      <c r="N75" s="176">
        <f t="shared" si="3"/>
        <v>12811.919999999998</v>
      </c>
      <c r="O75" s="176">
        <f t="shared" si="0"/>
        <v>12811.919999999998</v>
      </c>
    </row>
    <row r="76" spans="1:15">
      <c r="A76" s="112" t="s">
        <v>264</v>
      </c>
      <c r="B76" s="156" t="s">
        <v>149</v>
      </c>
      <c r="C76" s="156" t="s">
        <v>204</v>
      </c>
      <c r="D76" s="156" t="s">
        <v>202</v>
      </c>
      <c r="E76" s="156" t="s">
        <v>205</v>
      </c>
      <c r="F76" s="112" t="s">
        <v>264</v>
      </c>
      <c r="G76" s="162" t="s">
        <v>752</v>
      </c>
      <c r="H76" s="113" t="s">
        <v>752</v>
      </c>
      <c r="I76" s="125" t="s">
        <v>20</v>
      </c>
      <c r="J76" s="127">
        <v>8</v>
      </c>
      <c r="K76" s="127"/>
      <c r="L76" s="142">
        <v>227</v>
      </c>
      <c r="M76" s="176">
        <f t="shared" si="4"/>
        <v>0</v>
      </c>
      <c r="N76" s="176">
        <f t="shared" si="3"/>
        <v>1816</v>
      </c>
      <c r="O76" s="176">
        <f t="shared" si="0"/>
        <v>1816</v>
      </c>
    </row>
    <row r="77" spans="1:15">
      <c r="A77" s="112" t="s">
        <v>265</v>
      </c>
      <c r="B77" s="156" t="s">
        <v>149</v>
      </c>
      <c r="C77" s="156" t="s">
        <v>204</v>
      </c>
      <c r="D77" s="156" t="s">
        <v>202</v>
      </c>
      <c r="E77" s="156" t="s">
        <v>205</v>
      </c>
      <c r="F77" s="112" t="s">
        <v>265</v>
      </c>
      <c r="G77" s="162" t="s">
        <v>753</v>
      </c>
      <c r="H77" s="113" t="s">
        <v>615</v>
      </c>
      <c r="I77" s="125" t="s">
        <v>20</v>
      </c>
      <c r="J77" s="127">
        <v>50</v>
      </c>
      <c r="K77" s="127"/>
      <c r="L77" s="142">
        <v>635</v>
      </c>
      <c r="M77" s="176">
        <f t="shared" si="4"/>
        <v>0</v>
      </c>
      <c r="N77" s="176">
        <f t="shared" si="3"/>
        <v>31750</v>
      </c>
      <c r="O77" s="176">
        <f t="shared" si="0"/>
        <v>31750</v>
      </c>
    </row>
    <row r="78" spans="1:15">
      <c r="A78" s="112" t="s">
        <v>266</v>
      </c>
      <c r="B78" s="156" t="s">
        <v>149</v>
      </c>
      <c r="C78" s="156" t="s">
        <v>204</v>
      </c>
      <c r="D78" s="156" t="s">
        <v>202</v>
      </c>
      <c r="E78" s="156" t="s">
        <v>205</v>
      </c>
      <c r="F78" s="112" t="s">
        <v>266</v>
      </c>
      <c r="G78" s="162" t="s">
        <v>754</v>
      </c>
      <c r="H78" s="113" t="s">
        <v>605</v>
      </c>
      <c r="I78" s="125" t="s">
        <v>14</v>
      </c>
      <c r="J78" s="127">
        <v>40</v>
      </c>
      <c r="K78" s="127"/>
      <c r="L78" s="142">
        <v>226</v>
      </c>
      <c r="M78" s="176">
        <f t="shared" si="4"/>
        <v>0</v>
      </c>
      <c r="N78" s="176">
        <f t="shared" si="3"/>
        <v>9040</v>
      </c>
      <c r="O78" s="176">
        <f t="shared" si="0"/>
        <v>9040</v>
      </c>
    </row>
    <row r="79" spans="1:15">
      <c r="A79" s="112" t="s">
        <v>267</v>
      </c>
      <c r="B79" s="156" t="s">
        <v>149</v>
      </c>
      <c r="C79" s="156" t="s">
        <v>204</v>
      </c>
      <c r="D79" s="156" t="s">
        <v>202</v>
      </c>
      <c r="E79" s="156" t="s">
        <v>205</v>
      </c>
      <c r="F79" s="112" t="s">
        <v>267</v>
      </c>
      <c r="G79" s="162" t="s">
        <v>755</v>
      </c>
      <c r="H79" s="160" t="s">
        <v>543</v>
      </c>
      <c r="I79" s="125" t="s">
        <v>20</v>
      </c>
      <c r="J79" s="127">
        <v>15</v>
      </c>
      <c r="K79" s="127"/>
      <c r="L79" s="142">
        <v>217</v>
      </c>
      <c r="M79" s="176">
        <f t="shared" si="4"/>
        <v>0</v>
      </c>
      <c r="N79" s="176">
        <f t="shared" si="3"/>
        <v>3255</v>
      </c>
      <c r="O79" s="176">
        <f t="shared" si="0"/>
        <v>3255</v>
      </c>
    </row>
    <row r="80" spans="1:15">
      <c r="A80" s="112" t="s">
        <v>268</v>
      </c>
      <c r="B80" s="156" t="s">
        <v>149</v>
      </c>
      <c r="C80" s="156" t="s">
        <v>204</v>
      </c>
      <c r="D80" s="156" t="s">
        <v>202</v>
      </c>
      <c r="E80" s="156" t="s">
        <v>205</v>
      </c>
      <c r="F80" s="112" t="s">
        <v>268</v>
      </c>
      <c r="G80" s="162" t="s">
        <v>617</v>
      </c>
      <c r="H80" s="160" t="s">
        <v>618</v>
      </c>
      <c r="I80" s="125" t="s">
        <v>20</v>
      </c>
      <c r="J80" s="127">
        <v>6</v>
      </c>
      <c r="K80" s="127"/>
      <c r="L80" s="142">
        <v>267</v>
      </c>
      <c r="M80" s="176">
        <f t="shared" si="4"/>
        <v>0</v>
      </c>
      <c r="N80" s="176">
        <f t="shared" si="3"/>
        <v>1602</v>
      </c>
      <c r="O80" s="176">
        <f t="shared" ref="O80:O143" si="5">N80+M80</f>
        <v>1602</v>
      </c>
    </row>
    <row r="81" spans="1:17">
      <c r="A81" s="112" t="s">
        <v>269</v>
      </c>
      <c r="B81" s="156" t="s">
        <v>149</v>
      </c>
      <c r="C81" s="156" t="s">
        <v>204</v>
      </c>
      <c r="D81" s="156" t="s">
        <v>202</v>
      </c>
      <c r="E81" s="156" t="s">
        <v>205</v>
      </c>
      <c r="F81" s="112" t="s">
        <v>269</v>
      </c>
      <c r="G81" s="162" t="s">
        <v>619</v>
      </c>
      <c r="H81" s="113" t="s">
        <v>619</v>
      </c>
      <c r="I81" s="125" t="s">
        <v>596</v>
      </c>
      <c r="J81" s="127">
        <v>2</v>
      </c>
      <c r="K81" s="127"/>
      <c r="L81" s="142">
        <v>1670</v>
      </c>
      <c r="M81" s="176">
        <f t="shared" si="4"/>
        <v>0</v>
      </c>
      <c r="N81" s="176">
        <f t="shared" si="3"/>
        <v>3340</v>
      </c>
      <c r="O81" s="176">
        <f t="shared" si="5"/>
        <v>3340</v>
      </c>
    </row>
    <row r="82" spans="1:17">
      <c r="A82" s="112" t="s">
        <v>270</v>
      </c>
      <c r="B82" s="156" t="s">
        <v>149</v>
      </c>
      <c r="C82" s="156" t="s">
        <v>204</v>
      </c>
      <c r="D82" s="156" t="s">
        <v>202</v>
      </c>
      <c r="E82" s="156" t="s">
        <v>205</v>
      </c>
      <c r="F82" s="112" t="s">
        <v>270</v>
      </c>
      <c r="G82" s="162" t="s">
        <v>756</v>
      </c>
      <c r="H82" s="113" t="s">
        <v>1029</v>
      </c>
      <c r="I82" s="125" t="s">
        <v>20</v>
      </c>
      <c r="J82" s="127">
        <v>28</v>
      </c>
      <c r="K82" s="127"/>
      <c r="L82" s="142">
        <v>56</v>
      </c>
      <c r="M82" s="176">
        <f t="shared" si="4"/>
        <v>0</v>
      </c>
      <c r="N82" s="176">
        <f t="shared" si="3"/>
        <v>1568</v>
      </c>
      <c r="O82" s="176">
        <f t="shared" si="5"/>
        <v>1568</v>
      </c>
    </row>
    <row r="83" spans="1:17">
      <c r="A83" s="112" t="s">
        <v>271</v>
      </c>
      <c r="B83" s="156" t="s">
        <v>149</v>
      </c>
      <c r="C83" s="156" t="s">
        <v>204</v>
      </c>
      <c r="D83" s="156" t="s">
        <v>202</v>
      </c>
      <c r="E83" s="156" t="s">
        <v>205</v>
      </c>
      <c r="F83" s="112" t="s">
        <v>271</v>
      </c>
      <c r="G83" s="162" t="s">
        <v>757</v>
      </c>
      <c r="H83" s="113" t="s">
        <v>1029</v>
      </c>
      <c r="I83" s="125" t="s">
        <v>20</v>
      </c>
      <c r="J83" s="127">
        <v>12</v>
      </c>
      <c r="K83" s="127"/>
      <c r="L83" s="142">
        <v>103</v>
      </c>
      <c r="M83" s="176">
        <f t="shared" si="4"/>
        <v>0</v>
      </c>
      <c r="N83" s="176">
        <f t="shared" si="3"/>
        <v>1236</v>
      </c>
      <c r="O83" s="176">
        <f t="shared" si="5"/>
        <v>1236</v>
      </c>
    </row>
    <row r="84" spans="1:17">
      <c r="A84" s="112" t="s">
        <v>272</v>
      </c>
      <c r="B84" s="156" t="s">
        <v>149</v>
      </c>
      <c r="C84" s="156" t="s">
        <v>204</v>
      </c>
      <c r="D84" s="156" t="s">
        <v>202</v>
      </c>
      <c r="E84" s="156" t="s">
        <v>205</v>
      </c>
      <c r="F84" s="112" t="s">
        <v>272</v>
      </c>
      <c r="G84" s="162" t="s">
        <v>572</v>
      </c>
      <c r="H84" s="113" t="s">
        <v>572</v>
      </c>
      <c r="I84" s="125" t="s">
        <v>20</v>
      </c>
      <c r="J84" s="127">
        <v>6</v>
      </c>
      <c r="K84" s="127"/>
      <c r="L84" s="142">
        <v>293</v>
      </c>
      <c r="M84" s="176">
        <f t="shared" si="4"/>
        <v>0</v>
      </c>
      <c r="N84" s="176">
        <f t="shared" si="3"/>
        <v>1758</v>
      </c>
      <c r="O84" s="176">
        <f t="shared" si="5"/>
        <v>1758</v>
      </c>
      <c r="P84" s="153">
        <f>SUM(O64:O84)</f>
        <v>325398.42</v>
      </c>
      <c r="Q84" s="153" t="s">
        <v>703</v>
      </c>
    </row>
    <row r="85" spans="1:17">
      <c r="A85" s="363" t="s">
        <v>19</v>
      </c>
      <c r="B85" s="351"/>
      <c r="C85" s="351"/>
      <c r="D85" s="351"/>
      <c r="E85" s="351"/>
      <c r="F85" s="363" t="s">
        <v>19</v>
      </c>
      <c r="G85" s="351" t="s">
        <v>273</v>
      </c>
      <c r="H85" s="145"/>
      <c r="I85" s="364"/>
      <c r="J85" s="364"/>
      <c r="K85" s="364"/>
      <c r="L85" s="364"/>
      <c r="M85" s="364">
        <f t="shared" si="4"/>
        <v>0</v>
      </c>
      <c r="N85" s="364">
        <f>J85*L85</f>
        <v>0</v>
      </c>
      <c r="O85" s="364">
        <f t="shared" si="5"/>
        <v>0</v>
      </c>
    </row>
    <row r="86" spans="1:17">
      <c r="A86" s="140" t="s">
        <v>275</v>
      </c>
      <c r="B86" s="156"/>
      <c r="C86" s="156"/>
      <c r="D86" s="156"/>
      <c r="E86" s="156"/>
      <c r="F86" s="140" t="s">
        <v>275</v>
      </c>
      <c r="G86" s="141" t="s">
        <v>10</v>
      </c>
      <c r="H86" s="113"/>
      <c r="I86" s="125"/>
      <c r="J86" s="125"/>
      <c r="K86" s="127"/>
      <c r="L86" s="142"/>
      <c r="M86" s="176">
        <f t="shared" si="4"/>
        <v>0</v>
      </c>
      <c r="N86" s="176">
        <f t="shared" ref="N86:N114" si="6">J86*L86</f>
        <v>0</v>
      </c>
      <c r="O86" s="176">
        <f t="shared" si="5"/>
        <v>0</v>
      </c>
    </row>
    <row r="87" spans="1:17">
      <c r="A87" s="112" t="s">
        <v>276</v>
      </c>
      <c r="B87" s="156" t="s">
        <v>193</v>
      </c>
      <c r="C87" s="156" t="s">
        <v>200</v>
      </c>
      <c r="D87" s="156" t="s">
        <v>202</v>
      </c>
      <c r="E87" s="156" t="s">
        <v>273</v>
      </c>
      <c r="F87" s="112" t="s">
        <v>276</v>
      </c>
      <c r="G87" s="358" t="s">
        <v>452</v>
      </c>
      <c r="H87" s="113"/>
      <c r="I87" s="125" t="s">
        <v>201</v>
      </c>
      <c r="J87" s="126"/>
      <c r="K87" s="127">
        <v>200</v>
      </c>
      <c r="L87" s="142"/>
      <c r="M87" s="176">
        <f>J87*K87</f>
        <v>0</v>
      </c>
      <c r="N87" s="176">
        <f t="shared" si="6"/>
        <v>0</v>
      </c>
      <c r="O87" s="176">
        <f t="shared" si="5"/>
        <v>0</v>
      </c>
    </row>
    <row r="88" spans="1:17">
      <c r="A88" s="112" t="s">
        <v>277</v>
      </c>
      <c r="B88" s="156" t="s">
        <v>193</v>
      </c>
      <c r="C88" s="156" t="s">
        <v>200</v>
      </c>
      <c r="D88" s="156" t="s">
        <v>202</v>
      </c>
      <c r="E88" s="156" t="s">
        <v>273</v>
      </c>
      <c r="F88" s="112" t="s">
        <v>277</v>
      </c>
      <c r="G88" s="358" t="s">
        <v>453</v>
      </c>
      <c r="H88" s="113"/>
      <c r="I88" s="125" t="s">
        <v>201</v>
      </c>
      <c r="J88" s="126"/>
      <c r="K88" s="127">
        <v>200</v>
      </c>
      <c r="L88" s="142"/>
      <c r="M88" s="176">
        <f>J88*K88</f>
        <v>0</v>
      </c>
      <c r="N88" s="176">
        <f t="shared" si="6"/>
        <v>0</v>
      </c>
      <c r="O88" s="176">
        <f t="shared" si="5"/>
        <v>0</v>
      </c>
    </row>
    <row r="89" spans="1:17">
      <c r="A89" s="112" t="s">
        <v>278</v>
      </c>
      <c r="B89" s="156" t="s">
        <v>193</v>
      </c>
      <c r="C89" s="156" t="s">
        <v>200</v>
      </c>
      <c r="D89" s="156" t="s">
        <v>202</v>
      </c>
      <c r="E89" s="156" t="s">
        <v>273</v>
      </c>
      <c r="F89" s="112" t="s">
        <v>278</v>
      </c>
      <c r="G89" s="358" t="s">
        <v>454</v>
      </c>
      <c r="H89" s="113"/>
      <c r="I89" s="125" t="s">
        <v>201</v>
      </c>
      <c r="J89" s="126"/>
      <c r="K89" s="127">
        <v>200</v>
      </c>
      <c r="L89" s="142"/>
      <c r="M89" s="176">
        <f>J89*K89</f>
        <v>0</v>
      </c>
      <c r="N89" s="176">
        <f t="shared" si="6"/>
        <v>0</v>
      </c>
      <c r="O89" s="176">
        <f t="shared" si="5"/>
        <v>0</v>
      </c>
    </row>
    <row r="90" spans="1:17">
      <c r="A90" s="140" t="s">
        <v>275</v>
      </c>
      <c r="B90" s="156"/>
      <c r="C90" s="156"/>
      <c r="D90" s="156"/>
      <c r="E90" s="156" t="s">
        <v>273</v>
      </c>
      <c r="F90" s="140" t="s">
        <v>275</v>
      </c>
      <c r="G90" s="141" t="s">
        <v>15</v>
      </c>
      <c r="H90" s="113"/>
      <c r="I90" s="127"/>
      <c r="J90" s="127"/>
      <c r="K90" s="127"/>
      <c r="L90" s="142"/>
      <c r="M90" s="176">
        <f t="shared" si="4"/>
        <v>0</v>
      </c>
      <c r="N90" s="176">
        <f t="shared" si="6"/>
        <v>0</v>
      </c>
      <c r="O90" s="176">
        <f t="shared" si="5"/>
        <v>0</v>
      </c>
    </row>
    <row r="91" spans="1:17">
      <c r="A91" s="112" t="s">
        <v>276</v>
      </c>
      <c r="B91" s="156" t="s">
        <v>149</v>
      </c>
      <c r="C91" s="156" t="s">
        <v>204</v>
      </c>
      <c r="D91" s="156" t="s">
        <v>202</v>
      </c>
      <c r="E91" s="156" t="s">
        <v>273</v>
      </c>
      <c r="F91" s="112" t="s">
        <v>276</v>
      </c>
      <c r="G91" s="162" t="s">
        <v>758</v>
      </c>
      <c r="H91" s="160" t="s">
        <v>546</v>
      </c>
      <c r="I91" s="171" t="s">
        <v>12</v>
      </c>
      <c r="J91" s="171">
        <v>33</v>
      </c>
      <c r="K91" s="127"/>
      <c r="L91" s="142">
        <v>286</v>
      </c>
      <c r="M91" s="176">
        <f t="shared" si="4"/>
        <v>0</v>
      </c>
      <c r="N91" s="176">
        <f t="shared" si="6"/>
        <v>9438</v>
      </c>
      <c r="O91" s="176">
        <f t="shared" si="5"/>
        <v>9438</v>
      </c>
    </row>
    <row r="92" spans="1:17">
      <c r="A92" s="112" t="s">
        <v>277</v>
      </c>
      <c r="B92" s="156" t="s">
        <v>149</v>
      </c>
      <c r="C92" s="156" t="s">
        <v>204</v>
      </c>
      <c r="D92" s="156" t="s">
        <v>202</v>
      </c>
      <c r="E92" s="156" t="s">
        <v>273</v>
      </c>
      <c r="F92" s="112" t="s">
        <v>277</v>
      </c>
      <c r="G92" s="162" t="s">
        <v>759</v>
      </c>
      <c r="H92" s="113" t="s">
        <v>546</v>
      </c>
      <c r="I92" s="171" t="s">
        <v>12</v>
      </c>
      <c r="J92" s="171">
        <v>43.2</v>
      </c>
      <c r="K92" s="127"/>
      <c r="L92" s="142">
        <v>289</v>
      </c>
      <c r="M92" s="176">
        <f t="shared" si="4"/>
        <v>0</v>
      </c>
      <c r="N92" s="176">
        <f t="shared" si="6"/>
        <v>12484.800000000001</v>
      </c>
      <c r="O92" s="176">
        <f t="shared" si="5"/>
        <v>12484.800000000001</v>
      </c>
    </row>
    <row r="93" spans="1:17">
      <c r="A93" s="112" t="s">
        <v>278</v>
      </c>
      <c r="B93" s="156" t="s">
        <v>149</v>
      </c>
      <c r="C93" s="156" t="s">
        <v>204</v>
      </c>
      <c r="D93" s="156" t="s">
        <v>202</v>
      </c>
      <c r="E93" s="156" t="s">
        <v>273</v>
      </c>
      <c r="F93" s="112" t="s">
        <v>278</v>
      </c>
      <c r="G93" s="162" t="s">
        <v>760</v>
      </c>
      <c r="H93" s="113" t="s">
        <v>546</v>
      </c>
      <c r="I93" s="171" t="s">
        <v>12</v>
      </c>
      <c r="J93" s="171">
        <v>100</v>
      </c>
      <c r="K93" s="127"/>
      <c r="L93" s="142">
        <v>281</v>
      </c>
      <c r="M93" s="176">
        <f t="shared" si="4"/>
        <v>0</v>
      </c>
      <c r="N93" s="176">
        <f t="shared" si="6"/>
        <v>28100</v>
      </c>
      <c r="O93" s="176">
        <f t="shared" si="5"/>
        <v>28100</v>
      </c>
    </row>
    <row r="94" spans="1:17">
      <c r="A94" s="112" t="s">
        <v>279</v>
      </c>
      <c r="B94" s="156" t="s">
        <v>149</v>
      </c>
      <c r="C94" s="156" t="s">
        <v>204</v>
      </c>
      <c r="D94" s="156" t="s">
        <v>202</v>
      </c>
      <c r="E94" s="156" t="s">
        <v>273</v>
      </c>
      <c r="F94" s="112" t="s">
        <v>279</v>
      </c>
      <c r="G94" s="162" t="s">
        <v>761</v>
      </c>
      <c r="H94" s="113" t="s">
        <v>570</v>
      </c>
      <c r="I94" s="171" t="s">
        <v>12</v>
      </c>
      <c r="J94" s="171">
        <v>44</v>
      </c>
      <c r="K94" s="127"/>
      <c r="L94" s="142">
        <v>277</v>
      </c>
      <c r="M94" s="176">
        <f t="shared" si="4"/>
        <v>0</v>
      </c>
      <c r="N94" s="176">
        <f t="shared" si="6"/>
        <v>12188</v>
      </c>
      <c r="O94" s="176">
        <f t="shared" si="5"/>
        <v>12188</v>
      </c>
    </row>
    <row r="95" spans="1:17" ht="15.75">
      <c r="A95" s="112" t="s">
        <v>623</v>
      </c>
      <c r="B95" s="156" t="s">
        <v>149</v>
      </c>
      <c r="C95" s="156" t="s">
        <v>204</v>
      </c>
      <c r="D95" s="156" t="s">
        <v>202</v>
      </c>
      <c r="E95" s="156" t="s">
        <v>273</v>
      </c>
      <c r="F95" s="112" t="s">
        <v>623</v>
      </c>
      <c r="G95" s="162" t="s">
        <v>662</v>
      </c>
      <c r="H95" s="113" t="s">
        <v>662</v>
      </c>
      <c r="I95" s="125" t="s">
        <v>20</v>
      </c>
      <c r="J95" s="127">
        <v>6</v>
      </c>
      <c r="K95" s="127"/>
      <c r="L95" s="142">
        <v>403</v>
      </c>
      <c r="M95" s="176">
        <f t="shared" si="4"/>
        <v>0</v>
      </c>
      <c r="N95" s="176">
        <f t="shared" si="6"/>
        <v>2418</v>
      </c>
      <c r="O95" s="176">
        <f t="shared" si="5"/>
        <v>2418</v>
      </c>
      <c r="P95" s="213"/>
      <c r="Q95" s="153" t="s">
        <v>703</v>
      </c>
    </row>
    <row r="96" spans="1:17" ht="15.75">
      <c r="A96" s="112" t="s">
        <v>624</v>
      </c>
      <c r="B96" s="156" t="s">
        <v>149</v>
      </c>
      <c r="C96" s="156" t="s">
        <v>204</v>
      </c>
      <c r="D96" s="156" t="s">
        <v>202</v>
      </c>
      <c r="E96" s="156" t="s">
        <v>273</v>
      </c>
      <c r="F96" s="112" t="s">
        <v>624</v>
      </c>
      <c r="G96" s="162" t="s">
        <v>663</v>
      </c>
      <c r="H96" s="113" t="s">
        <v>556</v>
      </c>
      <c r="I96" s="125" t="s">
        <v>20</v>
      </c>
      <c r="J96" s="127">
        <v>4</v>
      </c>
      <c r="K96" s="127"/>
      <c r="L96" s="142">
        <v>442</v>
      </c>
      <c r="M96" s="176">
        <f t="shared" si="4"/>
        <v>0</v>
      </c>
      <c r="N96" s="176">
        <f t="shared" si="6"/>
        <v>1768</v>
      </c>
      <c r="O96" s="176">
        <f t="shared" si="5"/>
        <v>1768</v>
      </c>
      <c r="P96" s="213"/>
    </row>
    <row r="97" spans="1:17" ht="15.75">
      <c r="A97" s="112" t="s">
        <v>288</v>
      </c>
      <c r="B97" s="156" t="s">
        <v>149</v>
      </c>
      <c r="C97" s="156" t="s">
        <v>204</v>
      </c>
      <c r="D97" s="156" t="s">
        <v>202</v>
      </c>
      <c r="E97" s="156" t="s">
        <v>273</v>
      </c>
      <c r="F97" s="112" t="s">
        <v>288</v>
      </c>
      <c r="G97" s="162" t="s">
        <v>664</v>
      </c>
      <c r="H97" s="113" t="s">
        <v>664</v>
      </c>
      <c r="I97" s="125" t="s">
        <v>20</v>
      </c>
      <c r="J97" s="127">
        <v>2</v>
      </c>
      <c r="K97" s="127"/>
      <c r="L97" s="142">
        <v>495</v>
      </c>
      <c r="M97" s="176">
        <f t="shared" si="4"/>
        <v>0</v>
      </c>
      <c r="N97" s="176">
        <f t="shared" si="6"/>
        <v>990</v>
      </c>
      <c r="O97" s="176">
        <f t="shared" si="5"/>
        <v>990</v>
      </c>
      <c r="P97" s="213"/>
    </row>
    <row r="98" spans="1:17" ht="15.75">
      <c r="A98" s="112" t="s">
        <v>1006</v>
      </c>
      <c r="B98" s="156" t="s">
        <v>149</v>
      </c>
      <c r="C98" s="156" t="s">
        <v>204</v>
      </c>
      <c r="D98" s="156" t="s">
        <v>202</v>
      </c>
      <c r="E98" s="156" t="s">
        <v>273</v>
      </c>
      <c r="F98" s="112" t="s">
        <v>1006</v>
      </c>
      <c r="G98" s="162" t="s">
        <v>666</v>
      </c>
      <c r="H98" s="113" t="s">
        <v>666</v>
      </c>
      <c r="I98" s="125" t="s">
        <v>20</v>
      </c>
      <c r="J98" s="127">
        <v>2</v>
      </c>
      <c r="K98" s="127"/>
      <c r="L98" s="142">
        <v>495</v>
      </c>
      <c r="M98" s="176">
        <f t="shared" si="4"/>
        <v>0</v>
      </c>
      <c r="N98" s="176">
        <f t="shared" si="6"/>
        <v>990</v>
      </c>
      <c r="O98" s="176">
        <f t="shared" si="5"/>
        <v>990</v>
      </c>
      <c r="P98" s="213"/>
    </row>
    <row r="99" spans="1:17" ht="15.75">
      <c r="A99" s="112" t="s">
        <v>1007</v>
      </c>
      <c r="B99" s="156" t="s">
        <v>149</v>
      </c>
      <c r="C99" s="156" t="s">
        <v>204</v>
      </c>
      <c r="D99" s="156" t="s">
        <v>202</v>
      </c>
      <c r="E99" s="156" t="s">
        <v>273</v>
      </c>
      <c r="F99" s="112" t="s">
        <v>1007</v>
      </c>
      <c r="G99" s="162" t="s">
        <v>762</v>
      </c>
      <c r="H99" s="113" t="s">
        <v>667</v>
      </c>
      <c r="I99" s="125" t="s">
        <v>20</v>
      </c>
      <c r="J99" s="127">
        <v>4</v>
      </c>
      <c r="K99" s="127"/>
      <c r="L99" s="142">
        <v>196</v>
      </c>
      <c r="M99" s="176">
        <f t="shared" si="4"/>
        <v>0</v>
      </c>
      <c r="N99" s="176">
        <f t="shared" si="6"/>
        <v>784</v>
      </c>
      <c r="O99" s="176">
        <f t="shared" si="5"/>
        <v>784</v>
      </c>
      <c r="P99" s="213"/>
    </row>
    <row r="100" spans="1:17" ht="15.75">
      <c r="A100" s="112" t="s">
        <v>1008</v>
      </c>
      <c r="B100" s="156" t="s">
        <v>149</v>
      </c>
      <c r="C100" s="156" t="s">
        <v>204</v>
      </c>
      <c r="D100" s="156" t="s">
        <v>202</v>
      </c>
      <c r="E100" s="156" t="s">
        <v>273</v>
      </c>
      <c r="F100" s="112" t="s">
        <v>1008</v>
      </c>
      <c r="G100" s="162" t="s">
        <v>763</v>
      </c>
      <c r="H100" s="113" t="s">
        <v>558</v>
      </c>
      <c r="I100" s="125" t="s">
        <v>20</v>
      </c>
      <c r="J100" s="127">
        <v>20</v>
      </c>
      <c r="K100" s="127"/>
      <c r="L100" s="142">
        <v>123</v>
      </c>
      <c r="M100" s="176">
        <f t="shared" si="4"/>
        <v>0</v>
      </c>
      <c r="N100" s="176">
        <f t="shared" si="6"/>
        <v>2460</v>
      </c>
      <c r="O100" s="176">
        <f t="shared" si="5"/>
        <v>2460</v>
      </c>
      <c r="P100" s="213"/>
    </row>
    <row r="101" spans="1:17" ht="15.75">
      <c r="A101" s="112" t="s">
        <v>1009</v>
      </c>
      <c r="B101" s="156" t="s">
        <v>149</v>
      </c>
      <c r="C101" s="156" t="s">
        <v>204</v>
      </c>
      <c r="D101" s="156" t="s">
        <v>202</v>
      </c>
      <c r="E101" s="156" t="s">
        <v>273</v>
      </c>
      <c r="F101" s="112" t="s">
        <v>1009</v>
      </c>
      <c r="G101" s="162" t="s">
        <v>668</v>
      </c>
      <c r="H101" s="113" t="s">
        <v>558</v>
      </c>
      <c r="I101" s="125" t="s">
        <v>20</v>
      </c>
      <c r="J101" s="127">
        <v>8</v>
      </c>
      <c r="K101" s="127"/>
      <c r="L101" s="142">
        <v>206</v>
      </c>
      <c r="M101" s="176">
        <f t="shared" si="4"/>
        <v>0</v>
      </c>
      <c r="N101" s="176">
        <f t="shared" si="6"/>
        <v>1648</v>
      </c>
      <c r="O101" s="176">
        <f t="shared" si="5"/>
        <v>1648</v>
      </c>
      <c r="P101" s="213"/>
    </row>
    <row r="102" spans="1:17" ht="15.75">
      <c r="A102" s="112" t="s">
        <v>1010</v>
      </c>
      <c r="B102" s="156" t="s">
        <v>149</v>
      </c>
      <c r="C102" s="156" t="s">
        <v>204</v>
      </c>
      <c r="D102" s="156" t="s">
        <v>202</v>
      </c>
      <c r="E102" s="156" t="s">
        <v>273</v>
      </c>
      <c r="F102" s="112" t="s">
        <v>1010</v>
      </c>
      <c r="G102" s="162" t="s">
        <v>764</v>
      </c>
      <c r="H102" s="113" t="s">
        <v>669</v>
      </c>
      <c r="I102" s="125" t="s">
        <v>20</v>
      </c>
      <c r="J102" s="127">
        <v>4</v>
      </c>
      <c r="K102" s="127"/>
      <c r="L102" s="142">
        <v>365</v>
      </c>
      <c r="M102" s="176">
        <f t="shared" si="4"/>
        <v>0</v>
      </c>
      <c r="N102" s="176">
        <f t="shared" si="6"/>
        <v>1460</v>
      </c>
      <c r="O102" s="176">
        <f t="shared" si="5"/>
        <v>1460</v>
      </c>
      <c r="P102" s="213">
        <f>SUM(O91:O102)</f>
        <v>74728.800000000003</v>
      </c>
      <c r="Q102" s="153" t="s">
        <v>703</v>
      </c>
    </row>
    <row r="103" spans="1:17">
      <c r="A103" s="363" t="s">
        <v>280</v>
      </c>
      <c r="B103" s="351"/>
      <c r="C103" s="351"/>
      <c r="D103" s="351"/>
      <c r="E103" s="351"/>
      <c r="F103" s="363" t="s">
        <v>280</v>
      </c>
      <c r="G103" s="351" t="s">
        <v>490</v>
      </c>
      <c r="H103" s="145"/>
      <c r="I103" s="364"/>
      <c r="J103" s="364"/>
      <c r="K103" s="364"/>
      <c r="L103" s="364"/>
      <c r="M103" s="364">
        <f t="shared" si="4"/>
        <v>0</v>
      </c>
      <c r="N103" s="364">
        <f t="shared" si="6"/>
        <v>0</v>
      </c>
      <c r="O103" s="364">
        <f t="shared" si="5"/>
        <v>0</v>
      </c>
    </row>
    <row r="104" spans="1:17">
      <c r="A104" s="140" t="s">
        <v>282</v>
      </c>
      <c r="B104" s="156"/>
      <c r="C104" s="156"/>
      <c r="D104" s="156"/>
      <c r="E104" s="156"/>
      <c r="F104" s="140" t="s">
        <v>282</v>
      </c>
      <c r="G104" s="141" t="s">
        <v>10</v>
      </c>
      <c r="H104" s="113"/>
      <c r="I104" s="125"/>
      <c r="J104" s="125"/>
      <c r="K104" s="127"/>
      <c r="L104" s="142"/>
      <c r="M104" s="176">
        <f t="shared" si="4"/>
        <v>0</v>
      </c>
      <c r="N104" s="176">
        <f t="shared" si="6"/>
        <v>0</v>
      </c>
      <c r="O104" s="176">
        <f t="shared" si="5"/>
        <v>0</v>
      </c>
    </row>
    <row r="105" spans="1:17">
      <c r="A105" s="112" t="s">
        <v>283</v>
      </c>
      <c r="B105" s="156" t="s">
        <v>193</v>
      </c>
      <c r="C105" s="156" t="s">
        <v>200</v>
      </c>
      <c r="D105" s="156" t="s">
        <v>202</v>
      </c>
      <c r="E105" s="156" t="s">
        <v>281</v>
      </c>
      <c r="F105" s="112" t="s">
        <v>283</v>
      </c>
      <c r="G105" s="358" t="s">
        <v>455</v>
      </c>
      <c r="H105" s="113"/>
      <c r="I105" s="125" t="s">
        <v>201</v>
      </c>
      <c r="J105" s="126"/>
      <c r="K105" s="127">
        <v>200</v>
      </c>
      <c r="L105" s="142"/>
      <c r="M105" s="176">
        <f>J105*K105</f>
        <v>0</v>
      </c>
      <c r="N105" s="176">
        <f t="shared" si="6"/>
        <v>0</v>
      </c>
      <c r="O105" s="176">
        <f t="shared" si="5"/>
        <v>0</v>
      </c>
    </row>
    <row r="106" spans="1:17">
      <c r="A106" s="112" t="s">
        <v>284</v>
      </c>
      <c r="B106" s="156" t="s">
        <v>193</v>
      </c>
      <c r="C106" s="156" t="s">
        <v>200</v>
      </c>
      <c r="D106" s="156" t="s">
        <v>202</v>
      </c>
      <c r="E106" s="156" t="s">
        <v>281</v>
      </c>
      <c r="F106" s="112" t="s">
        <v>284</v>
      </c>
      <c r="G106" s="358" t="s">
        <v>456</v>
      </c>
      <c r="H106" s="113"/>
      <c r="I106" s="125" t="s">
        <v>201</v>
      </c>
      <c r="J106" s="126"/>
      <c r="K106" s="127">
        <v>200</v>
      </c>
      <c r="L106" s="142"/>
      <c r="M106" s="176">
        <f>J106*K106</f>
        <v>0</v>
      </c>
      <c r="N106" s="176">
        <f t="shared" si="6"/>
        <v>0</v>
      </c>
      <c r="O106" s="176">
        <f t="shared" si="5"/>
        <v>0</v>
      </c>
    </row>
    <row r="107" spans="1:17">
      <c r="A107" s="112" t="s">
        <v>285</v>
      </c>
      <c r="B107" s="156" t="s">
        <v>193</v>
      </c>
      <c r="C107" s="156" t="s">
        <v>200</v>
      </c>
      <c r="D107" s="156" t="s">
        <v>202</v>
      </c>
      <c r="E107" s="156" t="s">
        <v>281</v>
      </c>
      <c r="F107" s="112" t="s">
        <v>285</v>
      </c>
      <c r="G107" s="358" t="s">
        <v>457</v>
      </c>
      <c r="H107" s="113"/>
      <c r="I107" s="125" t="s">
        <v>201</v>
      </c>
      <c r="J107" s="126"/>
      <c r="K107" s="127">
        <v>200</v>
      </c>
      <c r="L107" s="142"/>
      <c r="M107" s="176">
        <f>J107*K107</f>
        <v>0</v>
      </c>
      <c r="N107" s="176">
        <f t="shared" si="6"/>
        <v>0</v>
      </c>
      <c r="O107" s="176">
        <f t="shared" si="5"/>
        <v>0</v>
      </c>
    </row>
    <row r="108" spans="1:17">
      <c r="A108" s="112" t="s">
        <v>286</v>
      </c>
      <c r="B108" s="156" t="s">
        <v>193</v>
      </c>
      <c r="C108" s="156" t="s">
        <v>200</v>
      </c>
      <c r="D108" s="156" t="s">
        <v>202</v>
      </c>
      <c r="E108" s="156" t="s">
        <v>281</v>
      </c>
      <c r="F108" s="112" t="s">
        <v>286</v>
      </c>
      <c r="G108" s="358" t="s">
        <v>458</v>
      </c>
      <c r="H108" s="113"/>
      <c r="I108" s="125" t="s">
        <v>201</v>
      </c>
      <c r="J108" s="126"/>
      <c r="K108" s="127">
        <v>200</v>
      </c>
      <c r="L108" s="142"/>
      <c r="M108" s="176">
        <f>J108*K108</f>
        <v>0</v>
      </c>
      <c r="N108" s="176">
        <f t="shared" si="6"/>
        <v>0</v>
      </c>
      <c r="O108" s="176">
        <f t="shared" si="5"/>
        <v>0</v>
      </c>
    </row>
    <row r="109" spans="1:17">
      <c r="A109" s="140" t="s">
        <v>287</v>
      </c>
      <c r="B109" s="156"/>
      <c r="C109" s="156"/>
      <c r="D109" s="156"/>
      <c r="E109" s="156"/>
      <c r="F109" s="140" t="s">
        <v>287</v>
      </c>
      <c r="G109" s="141" t="s">
        <v>15</v>
      </c>
      <c r="H109" s="113"/>
      <c r="I109" s="127"/>
      <c r="J109" s="127"/>
      <c r="K109" s="127"/>
      <c r="L109" s="142"/>
      <c r="M109" s="176">
        <f t="shared" ref="M109:M116" si="7">J109*K109</f>
        <v>0</v>
      </c>
      <c r="N109" s="176">
        <f t="shared" si="6"/>
        <v>0</v>
      </c>
      <c r="O109" s="176">
        <f t="shared" si="5"/>
        <v>0</v>
      </c>
    </row>
    <row r="110" spans="1:17" ht="15">
      <c r="A110" s="112" t="s">
        <v>297</v>
      </c>
      <c r="B110" s="156" t="s">
        <v>149</v>
      </c>
      <c r="C110" s="156" t="s">
        <v>204</v>
      </c>
      <c r="D110" s="156" t="s">
        <v>202</v>
      </c>
      <c r="E110" s="156" t="s">
        <v>281</v>
      </c>
      <c r="F110" s="112" t="s">
        <v>297</v>
      </c>
      <c r="G110" s="214" t="s">
        <v>765</v>
      </c>
      <c r="H110" s="215" t="s">
        <v>571</v>
      </c>
      <c r="I110" s="216" t="s">
        <v>20</v>
      </c>
      <c r="J110" s="217">
        <v>6</v>
      </c>
      <c r="K110" s="217"/>
      <c r="L110" s="218">
        <v>8500</v>
      </c>
      <c r="M110" s="176">
        <f t="shared" si="7"/>
        <v>0</v>
      </c>
      <c r="N110" s="176">
        <f t="shared" si="6"/>
        <v>51000</v>
      </c>
      <c r="O110" s="176">
        <f t="shared" si="5"/>
        <v>51000</v>
      </c>
    </row>
    <row r="111" spans="1:17" ht="15">
      <c r="A111" s="112" t="s">
        <v>298</v>
      </c>
      <c r="B111" s="156" t="s">
        <v>149</v>
      </c>
      <c r="C111" s="156" t="s">
        <v>204</v>
      </c>
      <c r="D111" s="156" t="s">
        <v>202</v>
      </c>
      <c r="E111" s="156" t="s">
        <v>281</v>
      </c>
      <c r="F111" s="112" t="s">
        <v>298</v>
      </c>
      <c r="G111" s="214" t="s">
        <v>568</v>
      </c>
      <c r="H111" s="215" t="s">
        <v>568</v>
      </c>
      <c r="I111" s="216" t="s">
        <v>20</v>
      </c>
      <c r="J111" s="217">
        <v>1</v>
      </c>
      <c r="K111" s="217"/>
      <c r="L111" s="218">
        <v>25000</v>
      </c>
      <c r="M111" s="176">
        <f t="shared" si="7"/>
        <v>0</v>
      </c>
      <c r="N111" s="176">
        <f t="shared" si="6"/>
        <v>25000</v>
      </c>
      <c r="O111" s="176">
        <f t="shared" si="5"/>
        <v>25000</v>
      </c>
    </row>
    <row r="112" spans="1:17" ht="15">
      <c r="A112" s="112" t="s">
        <v>299</v>
      </c>
      <c r="B112" s="156" t="s">
        <v>149</v>
      </c>
      <c r="C112" s="156" t="s">
        <v>204</v>
      </c>
      <c r="D112" s="156" t="s">
        <v>202</v>
      </c>
      <c r="E112" s="156" t="s">
        <v>281</v>
      </c>
      <c r="F112" s="112" t="s">
        <v>299</v>
      </c>
      <c r="G112" s="214" t="s">
        <v>766</v>
      </c>
      <c r="H112" s="215" t="s">
        <v>569</v>
      </c>
      <c r="I112" s="216" t="s">
        <v>20</v>
      </c>
      <c r="J112" s="217">
        <v>3</v>
      </c>
      <c r="K112" s="217"/>
      <c r="L112" s="218">
        <v>10000</v>
      </c>
      <c r="M112" s="176">
        <f t="shared" si="7"/>
        <v>0</v>
      </c>
      <c r="N112" s="176">
        <f t="shared" si="6"/>
        <v>30000</v>
      </c>
      <c r="O112" s="176">
        <f t="shared" si="5"/>
        <v>30000</v>
      </c>
    </row>
    <row r="113" spans="1:17" ht="15">
      <c r="A113" s="112" t="s">
        <v>300</v>
      </c>
      <c r="B113" s="156" t="s">
        <v>149</v>
      </c>
      <c r="C113" s="156" t="s">
        <v>204</v>
      </c>
      <c r="D113" s="156" t="s">
        <v>202</v>
      </c>
      <c r="E113" s="156" t="s">
        <v>281</v>
      </c>
      <c r="F113" s="112" t="s">
        <v>300</v>
      </c>
      <c r="G113" s="214" t="s">
        <v>767</v>
      </c>
      <c r="H113" s="215" t="s">
        <v>5213</v>
      </c>
      <c r="I113" s="216" t="s">
        <v>20</v>
      </c>
      <c r="J113" s="217">
        <v>6</v>
      </c>
      <c r="K113" s="217"/>
      <c r="L113" s="218">
        <v>573</v>
      </c>
      <c r="M113" s="176">
        <f t="shared" si="7"/>
        <v>0</v>
      </c>
      <c r="N113" s="176">
        <f t="shared" si="6"/>
        <v>3438</v>
      </c>
      <c r="O113" s="176">
        <f t="shared" si="5"/>
        <v>3438</v>
      </c>
    </row>
    <row r="114" spans="1:17" ht="15">
      <c r="A114" s="112" t="s">
        <v>301</v>
      </c>
      <c r="B114" s="156" t="s">
        <v>149</v>
      </c>
      <c r="C114" s="156" t="s">
        <v>204</v>
      </c>
      <c r="D114" s="156" t="s">
        <v>202</v>
      </c>
      <c r="E114" s="156" t="s">
        <v>281</v>
      </c>
      <c r="F114" s="112" t="s">
        <v>301</v>
      </c>
      <c r="G114" s="214" t="s">
        <v>769</v>
      </c>
      <c r="H114" s="215" t="s">
        <v>5210</v>
      </c>
      <c r="I114" s="216" t="s">
        <v>725</v>
      </c>
      <c r="J114" s="217">
        <v>8</v>
      </c>
      <c r="K114" s="217"/>
      <c r="L114" s="218">
        <v>297</v>
      </c>
      <c r="M114" s="176">
        <f t="shared" si="7"/>
        <v>0</v>
      </c>
      <c r="N114" s="176">
        <f t="shared" si="6"/>
        <v>2376</v>
      </c>
      <c r="O114" s="176">
        <f t="shared" si="5"/>
        <v>2376</v>
      </c>
      <c r="P114" s="153">
        <f>SUM(O110:O114)</f>
        <v>111814</v>
      </c>
      <c r="Q114" s="153" t="s">
        <v>703</v>
      </c>
    </row>
    <row r="115" spans="1:17">
      <c r="A115" s="363" t="s">
        <v>290</v>
      </c>
      <c r="B115" s="363"/>
      <c r="C115" s="363"/>
      <c r="D115" s="363"/>
      <c r="E115" s="363"/>
      <c r="F115" s="363" t="s">
        <v>290</v>
      </c>
      <c r="G115" s="351" t="s">
        <v>289</v>
      </c>
      <c r="H115" s="145"/>
      <c r="I115" s="364"/>
      <c r="J115" s="364"/>
      <c r="K115" s="364"/>
      <c r="L115" s="364"/>
      <c r="M115" s="364">
        <f t="shared" si="7"/>
        <v>0</v>
      </c>
      <c r="N115" s="364">
        <f>J115*L115</f>
        <v>0</v>
      </c>
      <c r="O115" s="364">
        <f t="shared" si="5"/>
        <v>0</v>
      </c>
    </row>
    <row r="116" spans="1:17">
      <c r="A116" s="140" t="s">
        <v>291</v>
      </c>
      <c r="B116" s="156"/>
      <c r="C116" s="156"/>
      <c r="D116" s="156"/>
      <c r="E116" s="156"/>
      <c r="F116" s="140" t="s">
        <v>291</v>
      </c>
      <c r="G116" s="141" t="s">
        <v>10</v>
      </c>
      <c r="H116" s="113"/>
      <c r="I116" s="125"/>
      <c r="J116" s="125"/>
      <c r="K116" s="127"/>
      <c r="L116" s="142"/>
      <c r="M116" s="176">
        <f t="shared" si="7"/>
        <v>0</v>
      </c>
      <c r="N116" s="176">
        <f t="shared" ref="N116:N155" si="8">J116*L116</f>
        <v>0</v>
      </c>
      <c r="O116" s="176">
        <f t="shared" si="5"/>
        <v>0</v>
      </c>
    </row>
    <row r="117" spans="1:17">
      <c r="A117" s="112" t="s">
        <v>292</v>
      </c>
      <c r="B117" s="156" t="s">
        <v>193</v>
      </c>
      <c r="C117" s="156" t="s">
        <v>200</v>
      </c>
      <c r="D117" s="156" t="s">
        <v>202</v>
      </c>
      <c r="E117" s="156" t="s">
        <v>289</v>
      </c>
      <c r="F117" s="112" t="s">
        <v>292</v>
      </c>
      <c r="G117" s="358" t="s">
        <v>459</v>
      </c>
      <c r="H117" s="113"/>
      <c r="I117" s="125" t="s">
        <v>201</v>
      </c>
      <c r="J117" s="126"/>
      <c r="K117" s="127">
        <v>15000</v>
      </c>
      <c r="L117" s="142"/>
      <c r="M117" s="176">
        <f>J117*K117</f>
        <v>0</v>
      </c>
      <c r="N117" s="176">
        <f t="shared" si="8"/>
        <v>0</v>
      </c>
      <c r="O117" s="176">
        <f t="shared" si="5"/>
        <v>0</v>
      </c>
    </row>
    <row r="118" spans="1:17">
      <c r="A118" s="112" t="s">
        <v>293</v>
      </c>
      <c r="B118" s="156" t="s">
        <v>193</v>
      </c>
      <c r="C118" s="156" t="s">
        <v>200</v>
      </c>
      <c r="D118" s="156" t="s">
        <v>202</v>
      </c>
      <c r="E118" s="156" t="s">
        <v>289</v>
      </c>
      <c r="F118" s="112" t="s">
        <v>293</v>
      </c>
      <c r="G118" s="358" t="s">
        <v>460</v>
      </c>
      <c r="H118" s="113"/>
      <c r="I118" s="125" t="s">
        <v>201</v>
      </c>
      <c r="J118" s="126"/>
      <c r="K118" s="127">
        <v>15000</v>
      </c>
      <c r="L118" s="142"/>
      <c r="M118" s="176">
        <f>J118*K118</f>
        <v>0</v>
      </c>
      <c r="N118" s="176">
        <f t="shared" si="8"/>
        <v>0</v>
      </c>
      <c r="O118" s="176">
        <f t="shared" si="5"/>
        <v>0</v>
      </c>
    </row>
    <row r="119" spans="1:17">
      <c r="A119" s="112" t="s">
        <v>294</v>
      </c>
      <c r="B119" s="156" t="s">
        <v>193</v>
      </c>
      <c r="C119" s="156" t="s">
        <v>200</v>
      </c>
      <c r="D119" s="156" t="s">
        <v>202</v>
      </c>
      <c r="E119" s="156" t="s">
        <v>289</v>
      </c>
      <c r="F119" s="112" t="s">
        <v>294</v>
      </c>
      <c r="G119" s="358" t="s">
        <v>461</v>
      </c>
      <c r="H119" s="113"/>
      <c r="I119" s="125" t="s">
        <v>201</v>
      </c>
      <c r="J119" s="126"/>
      <c r="K119" s="127">
        <v>15000</v>
      </c>
      <c r="L119" s="142"/>
      <c r="M119" s="176">
        <f>J119*K119</f>
        <v>0</v>
      </c>
      <c r="N119" s="176">
        <f t="shared" si="8"/>
        <v>0</v>
      </c>
      <c r="O119" s="176">
        <f t="shared" si="5"/>
        <v>0</v>
      </c>
    </row>
    <row r="120" spans="1:17">
      <c r="A120" s="140" t="s">
        <v>296</v>
      </c>
      <c r="B120" s="156"/>
      <c r="C120" s="156"/>
      <c r="D120" s="156"/>
      <c r="E120" s="156" t="s">
        <v>289</v>
      </c>
      <c r="F120" s="140" t="s">
        <v>296</v>
      </c>
      <c r="G120" s="141" t="s">
        <v>15</v>
      </c>
      <c r="H120" s="113"/>
      <c r="I120" s="127"/>
      <c r="J120" s="127"/>
      <c r="K120" s="127"/>
      <c r="L120" s="142"/>
      <c r="M120" s="176">
        <f t="shared" ref="M120:M157" si="9">J120*K120</f>
        <v>0</v>
      </c>
      <c r="N120" s="176">
        <f t="shared" si="8"/>
        <v>0</v>
      </c>
      <c r="O120" s="176">
        <f t="shared" si="5"/>
        <v>0</v>
      </c>
    </row>
    <row r="121" spans="1:17">
      <c r="A121" s="112" t="s">
        <v>302</v>
      </c>
      <c r="B121" s="156" t="s">
        <v>149</v>
      </c>
      <c r="C121" s="156" t="s">
        <v>204</v>
      </c>
      <c r="D121" s="156" t="s">
        <v>202</v>
      </c>
      <c r="E121" s="156" t="s">
        <v>289</v>
      </c>
      <c r="F121" s="112" t="s">
        <v>302</v>
      </c>
      <c r="G121" s="172" t="s">
        <v>770</v>
      </c>
      <c r="H121" s="113" t="s">
        <v>625</v>
      </c>
      <c r="I121" s="125" t="s">
        <v>20</v>
      </c>
      <c r="J121" s="127">
        <v>2</v>
      </c>
      <c r="K121" s="127"/>
      <c r="L121" s="142">
        <v>928</v>
      </c>
      <c r="M121" s="176">
        <f t="shared" si="9"/>
        <v>0</v>
      </c>
      <c r="N121" s="176">
        <f t="shared" si="8"/>
        <v>1856</v>
      </c>
      <c r="O121" s="176">
        <f t="shared" si="5"/>
        <v>1856</v>
      </c>
    </row>
    <row r="122" spans="1:17">
      <c r="A122" s="112" t="s">
        <v>303</v>
      </c>
      <c r="B122" s="156" t="s">
        <v>149</v>
      </c>
      <c r="C122" s="156" t="s">
        <v>204</v>
      </c>
      <c r="D122" s="156" t="s">
        <v>202</v>
      </c>
      <c r="E122" s="156" t="s">
        <v>289</v>
      </c>
      <c r="F122" s="112" t="s">
        <v>303</v>
      </c>
      <c r="G122" s="172" t="s">
        <v>626</v>
      </c>
      <c r="H122" s="174" t="s">
        <v>549</v>
      </c>
      <c r="I122" s="125" t="s">
        <v>262</v>
      </c>
      <c r="J122" s="127">
        <v>50</v>
      </c>
      <c r="K122" s="127"/>
      <c r="L122" s="142">
        <v>75.27</v>
      </c>
      <c r="M122" s="176">
        <f t="shared" si="9"/>
        <v>0</v>
      </c>
      <c r="N122" s="176">
        <f t="shared" si="8"/>
        <v>3763.5</v>
      </c>
      <c r="O122" s="176">
        <f t="shared" si="5"/>
        <v>3763.5</v>
      </c>
    </row>
    <row r="123" spans="1:17">
      <c r="A123" s="112" t="s">
        <v>304</v>
      </c>
      <c r="B123" s="156" t="s">
        <v>149</v>
      </c>
      <c r="C123" s="156" t="s">
        <v>204</v>
      </c>
      <c r="D123" s="156" t="s">
        <v>202</v>
      </c>
      <c r="E123" s="156" t="s">
        <v>289</v>
      </c>
      <c r="F123" s="112" t="s">
        <v>304</v>
      </c>
      <c r="G123" s="172" t="s">
        <v>627</v>
      </c>
      <c r="H123" s="113" t="s">
        <v>549</v>
      </c>
      <c r="I123" s="125" t="s">
        <v>262</v>
      </c>
      <c r="J123" s="127">
        <v>120</v>
      </c>
      <c r="K123" s="127"/>
      <c r="L123" s="142">
        <v>72</v>
      </c>
      <c r="M123" s="176">
        <f t="shared" si="9"/>
        <v>0</v>
      </c>
      <c r="N123" s="176">
        <f t="shared" si="8"/>
        <v>8640</v>
      </c>
      <c r="O123" s="176">
        <f t="shared" si="5"/>
        <v>8640</v>
      </c>
    </row>
    <row r="124" spans="1:17">
      <c r="A124" s="112" t="s">
        <v>305</v>
      </c>
      <c r="B124" s="156" t="s">
        <v>149</v>
      </c>
      <c r="C124" s="156" t="s">
        <v>204</v>
      </c>
      <c r="D124" s="156" t="s">
        <v>202</v>
      </c>
      <c r="E124" s="156" t="s">
        <v>289</v>
      </c>
      <c r="F124" s="112" t="s">
        <v>305</v>
      </c>
      <c r="G124" s="172" t="s">
        <v>628</v>
      </c>
      <c r="H124" s="113" t="s">
        <v>549</v>
      </c>
      <c r="I124" s="125" t="s">
        <v>262</v>
      </c>
      <c r="J124" s="127">
        <v>83</v>
      </c>
      <c r="K124" s="127"/>
      <c r="L124" s="142">
        <v>57</v>
      </c>
      <c r="M124" s="176">
        <f t="shared" si="9"/>
        <v>0</v>
      </c>
      <c r="N124" s="176">
        <f t="shared" si="8"/>
        <v>4731</v>
      </c>
      <c r="O124" s="176">
        <f t="shared" si="5"/>
        <v>4731</v>
      </c>
    </row>
    <row r="125" spans="1:17">
      <c r="A125" s="112" t="s">
        <v>306</v>
      </c>
      <c r="B125" s="156" t="s">
        <v>149</v>
      </c>
      <c r="C125" s="156" t="s">
        <v>204</v>
      </c>
      <c r="D125" s="156" t="s">
        <v>202</v>
      </c>
      <c r="E125" s="156" t="s">
        <v>289</v>
      </c>
      <c r="F125" s="112" t="s">
        <v>306</v>
      </c>
      <c r="G125" s="172" t="s">
        <v>771</v>
      </c>
      <c r="H125" s="113" t="s">
        <v>629</v>
      </c>
      <c r="I125" s="125" t="s">
        <v>295</v>
      </c>
      <c r="J125" s="127">
        <v>100</v>
      </c>
      <c r="K125" s="127"/>
      <c r="L125" s="142">
        <v>20</v>
      </c>
      <c r="M125" s="176">
        <f t="shared" si="9"/>
        <v>0</v>
      </c>
      <c r="N125" s="176">
        <f t="shared" si="8"/>
        <v>2000</v>
      </c>
      <c r="O125" s="176">
        <f t="shared" si="5"/>
        <v>2000</v>
      </c>
    </row>
    <row r="126" spans="1:17">
      <c r="A126" s="112" t="s">
        <v>307</v>
      </c>
      <c r="B126" s="156" t="s">
        <v>149</v>
      </c>
      <c r="C126" s="156" t="s">
        <v>204</v>
      </c>
      <c r="D126" s="156" t="s">
        <v>202</v>
      </c>
      <c r="E126" s="156" t="s">
        <v>289</v>
      </c>
      <c r="F126" s="112" t="s">
        <v>307</v>
      </c>
      <c r="G126" s="172" t="s">
        <v>772</v>
      </c>
      <c r="H126" s="113" t="s">
        <v>631</v>
      </c>
      <c r="I126" s="125" t="s">
        <v>20</v>
      </c>
      <c r="J126" s="127">
        <v>2</v>
      </c>
      <c r="K126" s="127"/>
      <c r="L126" s="142">
        <v>131</v>
      </c>
      <c r="M126" s="176">
        <f t="shared" si="9"/>
        <v>0</v>
      </c>
      <c r="N126" s="176">
        <f t="shared" si="8"/>
        <v>262</v>
      </c>
      <c r="O126" s="176">
        <f t="shared" si="5"/>
        <v>262</v>
      </c>
    </row>
    <row r="127" spans="1:17">
      <c r="A127" s="112" t="s">
        <v>308</v>
      </c>
      <c r="B127" s="156" t="s">
        <v>149</v>
      </c>
      <c r="C127" s="156" t="s">
        <v>204</v>
      </c>
      <c r="D127" s="156" t="s">
        <v>202</v>
      </c>
      <c r="E127" s="156" t="s">
        <v>289</v>
      </c>
      <c r="F127" s="112" t="s">
        <v>308</v>
      </c>
      <c r="G127" s="172" t="s">
        <v>773</v>
      </c>
      <c r="H127" s="113" t="s">
        <v>631</v>
      </c>
      <c r="I127" s="125" t="s">
        <v>20</v>
      </c>
      <c r="J127" s="127">
        <v>6</v>
      </c>
      <c r="K127" s="127"/>
      <c r="L127" s="142">
        <v>142.5</v>
      </c>
      <c r="M127" s="176">
        <f t="shared" si="9"/>
        <v>0</v>
      </c>
      <c r="N127" s="176">
        <f t="shared" si="8"/>
        <v>855</v>
      </c>
      <c r="O127" s="176">
        <f t="shared" si="5"/>
        <v>855</v>
      </c>
    </row>
    <row r="128" spans="1:17">
      <c r="A128" s="112" t="s">
        <v>309</v>
      </c>
      <c r="B128" s="156" t="s">
        <v>149</v>
      </c>
      <c r="C128" s="156" t="s">
        <v>204</v>
      </c>
      <c r="D128" s="156" t="s">
        <v>202</v>
      </c>
      <c r="E128" s="156" t="s">
        <v>289</v>
      </c>
      <c r="F128" s="112" t="s">
        <v>309</v>
      </c>
      <c r="G128" s="172" t="s">
        <v>774</v>
      </c>
      <c r="H128" s="113" t="s">
        <v>631</v>
      </c>
      <c r="I128" s="125" t="s">
        <v>20</v>
      </c>
      <c r="J128" s="127">
        <v>2</v>
      </c>
      <c r="K128" s="127"/>
      <c r="L128" s="142">
        <v>137.65</v>
      </c>
      <c r="M128" s="176">
        <f t="shared" si="9"/>
        <v>0</v>
      </c>
      <c r="N128" s="176">
        <f t="shared" si="8"/>
        <v>275.3</v>
      </c>
      <c r="O128" s="176">
        <f t="shared" si="5"/>
        <v>275.3</v>
      </c>
    </row>
    <row r="129" spans="1:15">
      <c r="A129" s="112" t="s">
        <v>310</v>
      </c>
      <c r="B129" s="156" t="s">
        <v>149</v>
      </c>
      <c r="C129" s="156" t="s">
        <v>204</v>
      </c>
      <c r="D129" s="156" t="s">
        <v>202</v>
      </c>
      <c r="E129" s="156" t="s">
        <v>289</v>
      </c>
      <c r="F129" s="112" t="s">
        <v>310</v>
      </c>
      <c r="G129" s="172" t="s">
        <v>775</v>
      </c>
      <c r="H129" s="113" t="s">
        <v>5211</v>
      </c>
      <c r="I129" s="125" t="s">
        <v>20</v>
      </c>
      <c r="J129" s="127">
        <v>2</v>
      </c>
      <c r="K129" s="127"/>
      <c r="L129" s="142">
        <v>96</v>
      </c>
      <c r="M129" s="176">
        <f t="shared" si="9"/>
        <v>0</v>
      </c>
      <c r="N129" s="176">
        <f t="shared" si="8"/>
        <v>192</v>
      </c>
      <c r="O129" s="176">
        <f t="shared" si="5"/>
        <v>192</v>
      </c>
    </row>
    <row r="130" spans="1:15">
      <c r="A130" s="112" t="s">
        <v>311</v>
      </c>
      <c r="B130" s="156" t="s">
        <v>149</v>
      </c>
      <c r="C130" s="156" t="s">
        <v>204</v>
      </c>
      <c r="D130" s="156" t="s">
        <v>202</v>
      </c>
      <c r="E130" s="156" t="s">
        <v>289</v>
      </c>
      <c r="F130" s="112" t="s">
        <v>311</v>
      </c>
      <c r="G130" s="172" t="s">
        <v>776</v>
      </c>
      <c r="H130" s="113" t="s">
        <v>632</v>
      </c>
      <c r="I130" s="125" t="s">
        <v>20</v>
      </c>
      <c r="J130" s="127">
        <v>6</v>
      </c>
      <c r="K130" s="127"/>
      <c r="L130" s="142">
        <v>107</v>
      </c>
      <c r="M130" s="176">
        <f t="shared" si="9"/>
        <v>0</v>
      </c>
      <c r="N130" s="176">
        <f t="shared" si="8"/>
        <v>642</v>
      </c>
      <c r="O130" s="176">
        <f t="shared" si="5"/>
        <v>642</v>
      </c>
    </row>
    <row r="131" spans="1:15">
      <c r="A131" s="112" t="s">
        <v>312</v>
      </c>
      <c r="B131" s="156" t="s">
        <v>149</v>
      </c>
      <c r="C131" s="156" t="s">
        <v>204</v>
      </c>
      <c r="D131" s="156" t="s">
        <v>202</v>
      </c>
      <c r="E131" s="156" t="s">
        <v>289</v>
      </c>
      <c r="F131" s="112" t="s">
        <v>312</v>
      </c>
      <c r="G131" s="172" t="s">
        <v>491</v>
      </c>
      <c r="H131" s="174" t="s">
        <v>1540</v>
      </c>
      <c r="I131" s="125" t="s">
        <v>20</v>
      </c>
      <c r="J131" s="127">
        <v>15</v>
      </c>
      <c r="K131" s="127"/>
      <c r="L131" s="142">
        <v>9.23</v>
      </c>
      <c r="M131" s="176">
        <f t="shared" si="9"/>
        <v>0</v>
      </c>
      <c r="N131" s="176">
        <f t="shared" si="8"/>
        <v>138.45000000000002</v>
      </c>
      <c r="O131" s="176">
        <f t="shared" si="5"/>
        <v>138.45000000000002</v>
      </c>
    </row>
    <row r="132" spans="1:15">
      <c r="A132" s="112" t="s">
        <v>313</v>
      </c>
      <c r="B132" s="156" t="s">
        <v>149</v>
      </c>
      <c r="C132" s="156" t="s">
        <v>204</v>
      </c>
      <c r="D132" s="156" t="s">
        <v>202</v>
      </c>
      <c r="E132" s="156" t="s">
        <v>289</v>
      </c>
      <c r="F132" s="112" t="s">
        <v>313</v>
      </c>
      <c r="G132" s="172" t="s">
        <v>492</v>
      </c>
      <c r="H132" s="174" t="s">
        <v>1540</v>
      </c>
      <c r="I132" s="125" t="s">
        <v>20</v>
      </c>
      <c r="J132" s="127">
        <v>14</v>
      </c>
      <c r="K132" s="127"/>
      <c r="L132" s="142">
        <v>12.36</v>
      </c>
      <c r="M132" s="176">
        <f t="shared" si="9"/>
        <v>0</v>
      </c>
      <c r="N132" s="176">
        <f t="shared" si="8"/>
        <v>173.04</v>
      </c>
      <c r="O132" s="176">
        <f t="shared" si="5"/>
        <v>173.04</v>
      </c>
    </row>
    <row r="133" spans="1:15">
      <c r="A133" s="112" t="s">
        <v>314</v>
      </c>
      <c r="B133" s="156" t="s">
        <v>149</v>
      </c>
      <c r="C133" s="156" t="s">
        <v>204</v>
      </c>
      <c r="D133" s="156" t="s">
        <v>202</v>
      </c>
      <c r="E133" s="156" t="s">
        <v>289</v>
      </c>
      <c r="F133" s="112" t="s">
        <v>314</v>
      </c>
      <c r="G133" s="172" t="s">
        <v>493</v>
      </c>
      <c r="H133" s="113" t="s">
        <v>1540</v>
      </c>
      <c r="I133" s="125" t="s">
        <v>20</v>
      </c>
      <c r="J133" s="127">
        <v>6</v>
      </c>
      <c r="K133" s="127"/>
      <c r="L133" s="142">
        <v>15.8</v>
      </c>
      <c r="M133" s="176">
        <f t="shared" si="9"/>
        <v>0</v>
      </c>
      <c r="N133" s="176">
        <f t="shared" si="8"/>
        <v>94.800000000000011</v>
      </c>
      <c r="O133" s="176">
        <f t="shared" si="5"/>
        <v>94.800000000000011</v>
      </c>
    </row>
    <row r="134" spans="1:15">
      <c r="A134" s="112" t="s">
        <v>315</v>
      </c>
      <c r="B134" s="156" t="s">
        <v>149</v>
      </c>
      <c r="C134" s="156" t="s">
        <v>204</v>
      </c>
      <c r="D134" s="156" t="s">
        <v>202</v>
      </c>
      <c r="E134" s="156" t="s">
        <v>289</v>
      </c>
      <c r="F134" s="112" t="s">
        <v>315</v>
      </c>
      <c r="G134" s="172" t="s">
        <v>777</v>
      </c>
      <c r="H134" s="113" t="s">
        <v>632</v>
      </c>
      <c r="I134" s="125" t="s">
        <v>20</v>
      </c>
      <c r="J134" s="127">
        <v>26</v>
      </c>
      <c r="K134" s="127"/>
      <c r="L134" s="142">
        <v>99</v>
      </c>
      <c r="M134" s="176">
        <f t="shared" si="9"/>
        <v>0</v>
      </c>
      <c r="N134" s="176">
        <f t="shared" si="8"/>
        <v>2574</v>
      </c>
      <c r="O134" s="176">
        <f t="shared" si="5"/>
        <v>2574</v>
      </c>
    </row>
    <row r="135" spans="1:15">
      <c r="A135" s="112" t="s">
        <v>316</v>
      </c>
      <c r="B135" s="156" t="s">
        <v>149</v>
      </c>
      <c r="C135" s="156" t="s">
        <v>204</v>
      </c>
      <c r="D135" s="156" t="s">
        <v>202</v>
      </c>
      <c r="E135" s="156" t="s">
        <v>289</v>
      </c>
      <c r="F135" s="112" t="s">
        <v>316</v>
      </c>
      <c r="G135" s="172" t="s">
        <v>778</v>
      </c>
      <c r="H135" s="113" t="s">
        <v>633</v>
      </c>
      <c r="I135" s="125" t="s">
        <v>20</v>
      </c>
      <c r="J135" s="127">
        <v>3</v>
      </c>
      <c r="K135" s="127"/>
      <c r="L135" s="142">
        <v>125</v>
      </c>
      <c r="M135" s="176">
        <f t="shared" si="9"/>
        <v>0</v>
      </c>
      <c r="N135" s="176">
        <f t="shared" si="8"/>
        <v>375</v>
      </c>
      <c r="O135" s="176">
        <f t="shared" si="5"/>
        <v>375</v>
      </c>
    </row>
    <row r="136" spans="1:15">
      <c r="A136" s="112" t="s">
        <v>317</v>
      </c>
      <c r="B136" s="156" t="s">
        <v>149</v>
      </c>
      <c r="C136" s="156" t="s">
        <v>204</v>
      </c>
      <c r="D136" s="156" t="s">
        <v>202</v>
      </c>
      <c r="E136" s="156" t="s">
        <v>289</v>
      </c>
      <c r="F136" s="112" t="s">
        <v>317</v>
      </c>
      <c r="G136" s="172" t="s">
        <v>779</v>
      </c>
      <c r="H136" s="113" t="s">
        <v>1225</v>
      </c>
      <c r="I136" s="125" t="s">
        <v>20</v>
      </c>
      <c r="J136" s="127">
        <v>3</v>
      </c>
      <c r="K136" s="127"/>
      <c r="L136" s="142">
        <v>69.38</v>
      </c>
      <c r="M136" s="176">
        <f t="shared" si="9"/>
        <v>0</v>
      </c>
      <c r="N136" s="176">
        <f t="shared" si="8"/>
        <v>208.14</v>
      </c>
      <c r="O136" s="176">
        <f t="shared" si="5"/>
        <v>208.14</v>
      </c>
    </row>
    <row r="137" spans="1:15">
      <c r="A137" s="112" t="s">
        <v>318</v>
      </c>
      <c r="B137" s="156" t="s">
        <v>149</v>
      </c>
      <c r="C137" s="156" t="s">
        <v>204</v>
      </c>
      <c r="D137" s="156" t="s">
        <v>202</v>
      </c>
      <c r="E137" s="156" t="s">
        <v>289</v>
      </c>
      <c r="F137" s="112" t="s">
        <v>318</v>
      </c>
      <c r="G137" s="172" t="s">
        <v>780</v>
      </c>
      <c r="H137" s="113" t="s">
        <v>551</v>
      </c>
      <c r="I137" s="125" t="s">
        <v>20</v>
      </c>
      <c r="J137" s="127">
        <v>4</v>
      </c>
      <c r="K137" s="127"/>
      <c r="L137" s="142">
        <v>199</v>
      </c>
      <c r="M137" s="176">
        <f t="shared" si="9"/>
        <v>0</v>
      </c>
      <c r="N137" s="176">
        <f t="shared" si="8"/>
        <v>796</v>
      </c>
      <c r="O137" s="176">
        <f t="shared" si="5"/>
        <v>796</v>
      </c>
    </row>
    <row r="138" spans="1:15">
      <c r="A138" s="112" t="s">
        <v>319</v>
      </c>
      <c r="B138" s="156" t="s">
        <v>149</v>
      </c>
      <c r="C138" s="156" t="s">
        <v>204</v>
      </c>
      <c r="D138" s="156" t="s">
        <v>202</v>
      </c>
      <c r="E138" s="156" t="s">
        <v>289</v>
      </c>
      <c r="F138" s="112" t="s">
        <v>319</v>
      </c>
      <c r="G138" s="172" t="s">
        <v>781</v>
      </c>
      <c r="H138" s="113" t="s">
        <v>551</v>
      </c>
      <c r="I138" s="125" t="s">
        <v>20</v>
      </c>
      <c r="J138" s="127">
        <v>4</v>
      </c>
      <c r="K138" s="127"/>
      <c r="L138" s="142">
        <v>681</v>
      </c>
      <c r="M138" s="176">
        <f t="shared" si="9"/>
        <v>0</v>
      </c>
      <c r="N138" s="176">
        <f t="shared" si="8"/>
        <v>2724</v>
      </c>
      <c r="O138" s="176">
        <f t="shared" si="5"/>
        <v>2724</v>
      </c>
    </row>
    <row r="139" spans="1:15">
      <c r="A139" s="112" t="s">
        <v>320</v>
      </c>
      <c r="B139" s="156" t="s">
        <v>149</v>
      </c>
      <c r="C139" s="156" t="s">
        <v>204</v>
      </c>
      <c r="D139" s="156" t="s">
        <v>202</v>
      </c>
      <c r="E139" s="156" t="s">
        <v>289</v>
      </c>
      <c r="F139" s="112" t="s">
        <v>320</v>
      </c>
      <c r="G139" s="172" t="s">
        <v>782</v>
      </c>
      <c r="H139" s="113" t="s">
        <v>551</v>
      </c>
      <c r="I139" s="125" t="s">
        <v>20</v>
      </c>
      <c r="J139" s="127">
        <v>4</v>
      </c>
      <c r="K139" s="127"/>
      <c r="L139" s="142">
        <v>623</v>
      </c>
      <c r="M139" s="176">
        <f t="shared" si="9"/>
        <v>0</v>
      </c>
      <c r="N139" s="176">
        <f t="shared" si="8"/>
        <v>2492</v>
      </c>
      <c r="O139" s="176">
        <f t="shared" si="5"/>
        <v>2492</v>
      </c>
    </row>
    <row r="140" spans="1:15">
      <c r="A140" s="112" t="s">
        <v>321</v>
      </c>
      <c r="B140" s="156" t="s">
        <v>149</v>
      </c>
      <c r="C140" s="156" t="s">
        <v>204</v>
      </c>
      <c r="D140" s="156" t="s">
        <v>202</v>
      </c>
      <c r="E140" s="156" t="s">
        <v>289</v>
      </c>
      <c r="F140" s="112" t="s">
        <v>321</v>
      </c>
      <c r="G140" s="172" t="s">
        <v>494</v>
      </c>
      <c r="H140" s="113" t="s">
        <v>551</v>
      </c>
      <c r="I140" s="125" t="s">
        <v>20</v>
      </c>
      <c r="J140" s="127">
        <v>1</v>
      </c>
      <c r="K140" s="127"/>
      <c r="L140" s="142">
        <v>326</v>
      </c>
      <c r="M140" s="176">
        <f t="shared" si="9"/>
        <v>0</v>
      </c>
      <c r="N140" s="176">
        <f t="shared" si="8"/>
        <v>326</v>
      </c>
      <c r="O140" s="176">
        <f t="shared" si="5"/>
        <v>326</v>
      </c>
    </row>
    <row r="141" spans="1:15">
      <c r="A141" s="112" t="s">
        <v>322</v>
      </c>
      <c r="B141" s="156" t="s">
        <v>149</v>
      </c>
      <c r="C141" s="156" t="s">
        <v>204</v>
      </c>
      <c r="D141" s="156" t="s">
        <v>202</v>
      </c>
      <c r="E141" s="156" t="s">
        <v>289</v>
      </c>
      <c r="F141" s="112" t="s">
        <v>322</v>
      </c>
      <c r="G141" s="172" t="s">
        <v>783</v>
      </c>
      <c r="H141" s="113" t="s">
        <v>551</v>
      </c>
      <c r="I141" s="125" t="s">
        <v>20</v>
      </c>
      <c r="J141" s="127">
        <v>1</v>
      </c>
      <c r="K141" s="127"/>
      <c r="L141" s="142">
        <v>675</v>
      </c>
      <c r="M141" s="176">
        <f t="shared" si="9"/>
        <v>0</v>
      </c>
      <c r="N141" s="176">
        <f t="shared" si="8"/>
        <v>675</v>
      </c>
      <c r="O141" s="176">
        <f t="shared" si="5"/>
        <v>675</v>
      </c>
    </row>
    <row r="142" spans="1:15">
      <c r="A142" s="112" t="s">
        <v>323</v>
      </c>
      <c r="B142" s="156" t="s">
        <v>149</v>
      </c>
      <c r="C142" s="156" t="s">
        <v>204</v>
      </c>
      <c r="D142" s="156" t="s">
        <v>202</v>
      </c>
      <c r="E142" s="156" t="s">
        <v>289</v>
      </c>
      <c r="F142" s="112" t="s">
        <v>323</v>
      </c>
      <c r="G142" s="172" t="s">
        <v>784</v>
      </c>
      <c r="H142" s="113" t="s">
        <v>551</v>
      </c>
      <c r="I142" s="125" t="s">
        <v>20</v>
      </c>
      <c r="J142" s="127">
        <v>1</v>
      </c>
      <c r="K142" s="127"/>
      <c r="L142" s="142">
        <v>547</v>
      </c>
      <c r="M142" s="176">
        <f t="shared" si="9"/>
        <v>0</v>
      </c>
      <c r="N142" s="176">
        <f t="shared" si="8"/>
        <v>547</v>
      </c>
      <c r="O142" s="176">
        <f t="shared" si="5"/>
        <v>547</v>
      </c>
    </row>
    <row r="143" spans="1:15">
      <c r="A143" s="112" t="s">
        <v>324</v>
      </c>
      <c r="B143" s="156" t="s">
        <v>149</v>
      </c>
      <c r="C143" s="156" t="s">
        <v>204</v>
      </c>
      <c r="D143" s="156" t="s">
        <v>202</v>
      </c>
      <c r="E143" s="156" t="s">
        <v>289</v>
      </c>
      <c r="F143" s="112" t="s">
        <v>324</v>
      </c>
      <c r="G143" s="172" t="s">
        <v>785</v>
      </c>
      <c r="H143" s="113" t="s">
        <v>577</v>
      </c>
      <c r="I143" s="125" t="s">
        <v>20</v>
      </c>
      <c r="J143" s="127">
        <v>3</v>
      </c>
      <c r="K143" s="127"/>
      <c r="L143" s="142">
        <v>211</v>
      </c>
      <c r="M143" s="176">
        <f t="shared" si="9"/>
        <v>0</v>
      </c>
      <c r="N143" s="176">
        <f t="shared" si="8"/>
        <v>633</v>
      </c>
      <c r="O143" s="176">
        <f t="shared" si="5"/>
        <v>633</v>
      </c>
    </row>
    <row r="144" spans="1:15">
      <c r="A144" s="112" t="s">
        <v>325</v>
      </c>
      <c r="B144" s="156" t="s">
        <v>149</v>
      </c>
      <c r="C144" s="156" t="s">
        <v>204</v>
      </c>
      <c r="D144" s="156" t="s">
        <v>202</v>
      </c>
      <c r="E144" s="156" t="s">
        <v>289</v>
      </c>
      <c r="F144" s="112" t="s">
        <v>325</v>
      </c>
      <c r="G144" s="172" t="s">
        <v>786</v>
      </c>
      <c r="H144" s="113" t="s">
        <v>578</v>
      </c>
      <c r="I144" s="125" t="s">
        <v>20</v>
      </c>
      <c r="J144" s="127">
        <v>3</v>
      </c>
      <c r="K144" s="127"/>
      <c r="L144" s="142">
        <v>65</v>
      </c>
      <c r="M144" s="176">
        <f t="shared" si="9"/>
        <v>0</v>
      </c>
      <c r="N144" s="176">
        <f t="shared" si="8"/>
        <v>195</v>
      </c>
      <c r="O144" s="176">
        <f t="shared" ref="O144:O207" si="10">N144+M144</f>
        <v>195</v>
      </c>
    </row>
    <row r="145" spans="1:17">
      <c r="A145" s="112" t="s">
        <v>326</v>
      </c>
      <c r="B145" s="156" t="s">
        <v>149</v>
      </c>
      <c r="C145" s="156" t="s">
        <v>204</v>
      </c>
      <c r="D145" s="156" t="s">
        <v>202</v>
      </c>
      <c r="E145" s="156" t="s">
        <v>289</v>
      </c>
      <c r="F145" s="112" t="s">
        <v>326</v>
      </c>
      <c r="G145" s="172" t="s">
        <v>787</v>
      </c>
      <c r="H145" s="113" t="s">
        <v>577</v>
      </c>
      <c r="I145" s="125" t="s">
        <v>20</v>
      </c>
      <c r="J145" s="127">
        <v>4</v>
      </c>
      <c r="K145" s="127"/>
      <c r="L145" s="142">
        <v>136</v>
      </c>
      <c r="M145" s="176">
        <f t="shared" si="9"/>
        <v>0</v>
      </c>
      <c r="N145" s="176">
        <f t="shared" si="8"/>
        <v>544</v>
      </c>
      <c r="O145" s="176">
        <f t="shared" si="10"/>
        <v>544</v>
      </c>
    </row>
    <row r="146" spans="1:17">
      <c r="A146" s="112" t="s">
        <v>327</v>
      </c>
      <c r="B146" s="156" t="s">
        <v>149</v>
      </c>
      <c r="C146" s="156" t="s">
        <v>204</v>
      </c>
      <c r="D146" s="156" t="s">
        <v>202</v>
      </c>
      <c r="E146" s="156" t="s">
        <v>289</v>
      </c>
      <c r="F146" s="112" t="s">
        <v>327</v>
      </c>
      <c r="G146" s="172" t="s">
        <v>788</v>
      </c>
      <c r="H146" s="113" t="s">
        <v>633</v>
      </c>
      <c r="I146" s="125" t="s">
        <v>20</v>
      </c>
      <c r="J146" s="127">
        <v>5</v>
      </c>
      <c r="K146" s="127"/>
      <c r="L146" s="142">
        <v>204</v>
      </c>
      <c r="M146" s="176">
        <f t="shared" si="9"/>
        <v>0</v>
      </c>
      <c r="N146" s="176">
        <f t="shared" si="8"/>
        <v>1020</v>
      </c>
      <c r="O146" s="176">
        <f t="shared" si="10"/>
        <v>1020</v>
      </c>
    </row>
    <row r="147" spans="1:17">
      <c r="A147" s="112" t="s">
        <v>328</v>
      </c>
      <c r="B147" s="156" t="s">
        <v>149</v>
      </c>
      <c r="C147" s="156" t="s">
        <v>204</v>
      </c>
      <c r="D147" s="156" t="s">
        <v>202</v>
      </c>
      <c r="E147" s="156" t="s">
        <v>289</v>
      </c>
      <c r="F147" s="112" t="s">
        <v>328</v>
      </c>
      <c r="G147" s="172" t="s">
        <v>789</v>
      </c>
      <c r="H147" s="113" t="s">
        <v>633</v>
      </c>
      <c r="I147" s="125" t="s">
        <v>20</v>
      </c>
      <c r="J147" s="127">
        <v>4</v>
      </c>
      <c r="K147" s="127"/>
      <c r="L147" s="142">
        <v>187</v>
      </c>
      <c r="M147" s="176">
        <f t="shared" si="9"/>
        <v>0</v>
      </c>
      <c r="N147" s="176">
        <f t="shared" si="8"/>
        <v>748</v>
      </c>
      <c r="O147" s="176">
        <f t="shared" si="10"/>
        <v>748</v>
      </c>
    </row>
    <row r="148" spans="1:17">
      <c r="A148" s="112" t="s">
        <v>329</v>
      </c>
      <c r="B148" s="156" t="s">
        <v>149</v>
      </c>
      <c r="C148" s="156" t="s">
        <v>204</v>
      </c>
      <c r="D148" s="156" t="s">
        <v>202</v>
      </c>
      <c r="E148" s="156" t="s">
        <v>289</v>
      </c>
      <c r="F148" s="112" t="s">
        <v>329</v>
      </c>
      <c r="G148" s="172" t="s">
        <v>790</v>
      </c>
      <c r="H148" s="113" t="s">
        <v>633</v>
      </c>
      <c r="I148" s="125" t="s">
        <v>20</v>
      </c>
      <c r="J148" s="127">
        <v>7</v>
      </c>
      <c r="K148" s="127"/>
      <c r="L148" s="142">
        <v>203</v>
      </c>
      <c r="M148" s="176">
        <f t="shared" si="9"/>
        <v>0</v>
      </c>
      <c r="N148" s="176">
        <f t="shared" si="8"/>
        <v>1421</v>
      </c>
      <c r="O148" s="176">
        <f t="shared" si="10"/>
        <v>1421</v>
      </c>
    </row>
    <row r="149" spans="1:17">
      <c r="A149" s="112" t="s">
        <v>640</v>
      </c>
      <c r="B149" s="156" t="s">
        <v>149</v>
      </c>
      <c r="C149" s="156" t="s">
        <v>204</v>
      </c>
      <c r="D149" s="156" t="s">
        <v>202</v>
      </c>
      <c r="E149" s="156" t="s">
        <v>289</v>
      </c>
      <c r="F149" s="112" t="s">
        <v>640</v>
      </c>
      <c r="G149" s="172" t="s">
        <v>791</v>
      </c>
      <c r="H149" s="113" t="s">
        <v>791</v>
      </c>
      <c r="I149" s="125" t="s">
        <v>20</v>
      </c>
      <c r="J149" s="127">
        <v>1</v>
      </c>
      <c r="K149" s="127"/>
      <c r="L149" s="142">
        <v>2560</v>
      </c>
      <c r="M149" s="176">
        <f t="shared" si="9"/>
        <v>0</v>
      </c>
      <c r="N149" s="176">
        <f t="shared" si="8"/>
        <v>2560</v>
      </c>
      <c r="O149" s="176">
        <f t="shared" si="10"/>
        <v>2560</v>
      </c>
    </row>
    <row r="150" spans="1:17">
      <c r="A150" s="112" t="s">
        <v>641</v>
      </c>
      <c r="B150" s="156" t="s">
        <v>149</v>
      </c>
      <c r="C150" s="156" t="s">
        <v>204</v>
      </c>
      <c r="D150" s="156" t="s">
        <v>202</v>
      </c>
      <c r="E150" s="156" t="s">
        <v>289</v>
      </c>
      <c r="F150" s="112" t="s">
        <v>641</v>
      </c>
      <c r="G150" s="172" t="s">
        <v>792</v>
      </c>
      <c r="H150" s="113" t="s">
        <v>563</v>
      </c>
      <c r="I150" s="125" t="s">
        <v>20</v>
      </c>
      <c r="J150" s="127">
        <v>2</v>
      </c>
      <c r="K150" s="127"/>
      <c r="L150" s="142">
        <v>560</v>
      </c>
      <c r="M150" s="176">
        <f t="shared" si="9"/>
        <v>0</v>
      </c>
      <c r="N150" s="176">
        <f t="shared" si="8"/>
        <v>1120</v>
      </c>
      <c r="O150" s="176">
        <f t="shared" si="10"/>
        <v>1120</v>
      </c>
    </row>
    <row r="151" spans="1:17">
      <c r="A151" s="112" t="s">
        <v>642</v>
      </c>
      <c r="B151" s="156" t="s">
        <v>149</v>
      </c>
      <c r="C151" s="156" t="s">
        <v>204</v>
      </c>
      <c r="D151" s="156" t="s">
        <v>202</v>
      </c>
      <c r="E151" s="156" t="s">
        <v>289</v>
      </c>
      <c r="F151" s="112" t="s">
        <v>642</v>
      </c>
      <c r="G151" s="172" t="s">
        <v>635</v>
      </c>
      <c r="H151" s="113" t="s">
        <v>4406</v>
      </c>
      <c r="I151" s="125" t="s">
        <v>20</v>
      </c>
      <c r="J151" s="127">
        <v>1</v>
      </c>
      <c r="K151" s="127"/>
      <c r="L151" s="142">
        <v>104</v>
      </c>
      <c r="M151" s="176">
        <f t="shared" si="9"/>
        <v>0</v>
      </c>
      <c r="N151" s="176">
        <f t="shared" si="8"/>
        <v>104</v>
      </c>
      <c r="O151" s="176">
        <f t="shared" si="10"/>
        <v>104</v>
      </c>
    </row>
    <row r="152" spans="1:17">
      <c r="A152" s="112" t="s">
        <v>643</v>
      </c>
      <c r="B152" s="156" t="s">
        <v>149</v>
      </c>
      <c r="C152" s="156" t="s">
        <v>204</v>
      </c>
      <c r="D152" s="156" t="s">
        <v>202</v>
      </c>
      <c r="E152" s="156" t="s">
        <v>289</v>
      </c>
      <c r="F152" s="112" t="s">
        <v>643</v>
      </c>
      <c r="G152" s="172" t="s">
        <v>793</v>
      </c>
      <c r="H152" s="113" t="s">
        <v>1417</v>
      </c>
      <c r="I152" s="125" t="s">
        <v>20</v>
      </c>
      <c r="J152" s="127">
        <v>3</v>
      </c>
      <c r="K152" s="127"/>
      <c r="L152" s="142">
        <v>220.32</v>
      </c>
      <c r="M152" s="176">
        <f t="shared" si="9"/>
        <v>0</v>
      </c>
      <c r="N152" s="176">
        <f t="shared" si="8"/>
        <v>660.96</v>
      </c>
      <c r="O152" s="176">
        <f t="shared" si="10"/>
        <v>660.96</v>
      </c>
    </row>
    <row r="153" spans="1:17">
      <c r="A153" s="112" t="s">
        <v>644</v>
      </c>
      <c r="B153" s="156" t="s">
        <v>149</v>
      </c>
      <c r="C153" s="156" t="s">
        <v>204</v>
      </c>
      <c r="D153" s="156" t="s">
        <v>202</v>
      </c>
      <c r="E153" s="156" t="s">
        <v>289</v>
      </c>
      <c r="F153" s="112" t="s">
        <v>644</v>
      </c>
      <c r="G153" s="172" t="s">
        <v>579</v>
      </c>
      <c r="H153" s="113" t="s">
        <v>579</v>
      </c>
      <c r="I153" s="125" t="s">
        <v>20</v>
      </c>
      <c r="J153" s="127">
        <v>2</v>
      </c>
      <c r="K153" s="127"/>
      <c r="L153" s="142">
        <v>25</v>
      </c>
      <c r="M153" s="176">
        <f t="shared" si="9"/>
        <v>0</v>
      </c>
      <c r="N153" s="176">
        <f t="shared" si="8"/>
        <v>50</v>
      </c>
      <c r="O153" s="176">
        <f t="shared" si="10"/>
        <v>50</v>
      </c>
    </row>
    <row r="154" spans="1:17">
      <c r="A154" s="112" t="s">
        <v>645</v>
      </c>
      <c r="B154" s="156" t="s">
        <v>149</v>
      </c>
      <c r="C154" s="156" t="s">
        <v>204</v>
      </c>
      <c r="D154" s="156" t="s">
        <v>202</v>
      </c>
      <c r="E154" s="156" t="s">
        <v>289</v>
      </c>
      <c r="F154" s="112" t="s">
        <v>645</v>
      </c>
      <c r="G154" s="172" t="s">
        <v>794</v>
      </c>
      <c r="H154" s="113" t="s">
        <v>794</v>
      </c>
      <c r="I154" s="125" t="s">
        <v>20</v>
      </c>
      <c r="J154" s="127">
        <v>1</v>
      </c>
      <c r="K154" s="127"/>
      <c r="L154" s="142">
        <v>2760</v>
      </c>
      <c r="M154" s="176">
        <f t="shared" si="9"/>
        <v>0</v>
      </c>
      <c r="N154" s="176">
        <f t="shared" si="8"/>
        <v>2760</v>
      </c>
      <c r="O154" s="176">
        <f t="shared" si="10"/>
        <v>2760</v>
      </c>
    </row>
    <row r="155" spans="1:17">
      <c r="A155" s="112" t="s">
        <v>646</v>
      </c>
      <c r="B155" s="156" t="s">
        <v>149</v>
      </c>
      <c r="C155" s="156" t="s">
        <v>204</v>
      </c>
      <c r="D155" s="156" t="s">
        <v>202</v>
      </c>
      <c r="E155" s="156" t="s">
        <v>289</v>
      </c>
      <c r="F155" s="112" t="s">
        <v>646</v>
      </c>
      <c r="G155" s="172" t="s">
        <v>795</v>
      </c>
      <c r="H155" s="113" t="s">
        <v>638</v>
      </c>
      <c r="I155" s="125" t="s">
        <v>20</v>
      </c>
      <c r="J155" s="127">
        <v>7</v>
      </c>
      <c r="K155" s="127"/>
      <c r="L155" s="142">
        <v>2500</v>
      </c>
      <c r="M155" s="176">
        <f t="shared" si="9"/>
        <v>0</v>
      </c>
      <c r="N155" s="176">
        <f t="shared" si="8"/>
        <v>17500</v>
      </c>
      <c r="O155" s="176">
        <f t="shared" si="10"/>
        <v>17500</v>
      </c>
      <c r="P155" s="153">
        <f>SUM(O121:O155)</f>
        <v>63656.189999999995</v>
      </c>
      <c r="Q155" s="153" t="s">
        <v>703</v>
      </c>
    </row>
    <row r="156" spans="1:17">
      <c r="A156" s="363" t="s">
        <v>331</v>
      </c>
      <c r="B156" s="363"/>
      <c r="C156" s="363"/>
      <c r="D156" s="363"/>
      <c r="E156" s="363"/>
      <c r="F156" s="363" t="s">
        <v>331</v>
      </c>
      <c r="G156" s="351" t="s">
        <v>330</v>
      </c>
      <c r="H156" s="145"/>
      <c r="I156" s="364"/>
      <c r="J156" s="364"/>
      <c r="K156" s="364"/>
      <c r="L156" s="364"/>
      <c r="M156" s="364">
        <f t="shared" si="9"/>
        <v>0</v>
      </c>
      <c r="N156" s="364">
        <f>J156*L156</f>
        <v>0</v>
      </c>
      <c r="O156" s="364">
        <f t="shared" si="10"/>
        <v>0</v>
      </c>
    </row>
    <row r="157" spans="1:17">
      <c r="A157" s="140" t="s">
        <v>332</v>
      </c>
      <c r="B157" s="156"/>
      <c r="C157" s="156"/>
      <c r="D157" s="156"/>
      <c r="E157" s="156"/>
      <c r="F157" s="140" t="s">
        <v>332</v>
      </c>
      <c r="G157" s="141" t="s">
        <v>10</v>
      </c>
      <c r="H157" s="113"/>
      <c r="I157" s="125"/>
      <c r="J157" s="125"/>
      <c r="K157" s="127"/>
      <c r="L157" s="142"/>
      <c r="M157" s="176">
        <f t="shared" si="9"/>
        <v>0</v>
      </c>
      <c r="N157" s="176">
        <f t="shared" ref="N157:N198" si="11">J157*L157</f>
        <v>0</v>
      </c>
      <c r="O157" s="176">
        <f t="shared" si="10"/>
        <v>0</v>
      </c>
    </row>
    <row r="158" spans="1:17">
      <c r="A158" s="112" t="s">
        <v>333</v>
      </c>
      <c r="B158" s="156" t="s">
        <v>193</v>
      </c>
      <c r="C158" s="156" t="s">
        <v>200</v>
      </c>
      <c r="D158" s="156" t="s">
        <v>202</v>
      </c>
      <c r="E158" s="156" t="s">
        <v>330</v>
      </c>
      <c r="F158" s="112" t="s">
        <v>333</v>
      </c>
      <c r="G158" s="358" t="s">
        <v>462</v>
      </c>
      <c r="H158" s="113"/>
      <c r="I158" s="125" t="s">
        <v>201</v>
      </c>
      <c r="J158" s="126"/>
      <c r="K158" s="127">
        <v>200</v>
      </c>
      <c r="L158" s="142"/>
      <c r="M158" s="176">
        <f>J158*K158</f>
        <v>0</v>
      </c>
      <c r="N158" s="176">
        <f t="shared" si="11"/>
        <v>0</v>
      </c>
      <c r="O158" s="176">
        <f t="shared" si="10"/>
        <v>0</v>
      </c>
    </row>
    <row r="159" spans="1:17">
      <c r="A159" s="112" t="s">
        <v>334</v>
      </c>
      <c r="B159" s="156" t="s">
        <v>193</v>
      </c>
      <c r="C159" s="156" t="s">
        <v>200</v>
      </c>
      <c r="D159" s="156" t="s">
        <v>202</v>
      </c>
      <c r="E159" s="156" t="s">
        <v>330</v>
      </c>
      <c r="F159" s="112" t="s">
        <v>334</v>
      </c>
      <c r="G159" s="358" t="s">
        <v>463</v>
      </c>
      <c r="H159" s="113"/>
      <c r="I159" s="125" t="s">
        <v>201</v>
      </c>
      <c r="J159" s="126"/>
      <c r="K159" s="127">
        <v>200</v>
      </c>
      <c r="L159" s="142"/>
      <c r="M159" s="176">
        <f>J159*K159</f>
        <v>0</v>
      </c>
      <c r="N159" s="176">
        <f t="shared" si="11"/>
        <v>0</v>
      </c>
      <c r="O159" s="176">
        <f t="shared" si="10"/>
        <v>0</v>
      </c>
    </row>
    <row r="160" spans="1:17">
      <c r="A160" s="112" t="s">
        <v>337</v>
      </c>
      <c r="B160" s="156" t="s">
        <v>193</v>
      </c>
      <c r="C160" s="156" t="s">
        <v>200</v>
      </c>
      <c r="D160" s="156" t="s">
        <v>202</v>
      </c>
      <c r="E160" s="156" t="s">
        <v>330</v>
      </c>
      <c r="F160" s="112" t="s">
        <v>337</v>
      </c>
      <c r="G160" s="358" t="s">
        <v>464</v>
      </c>
      <c r="H160" s="113"/>
      <c r="I160" s="125" t="s">
        <v>201</v>
      </c>
      <c r="J160" s="126"/>
      <c r="K160" s="127">
        <v>200</v>
      </c>
      <c r="L160" s="142"/>
      <c r="M160" s="176">
        <f>J160*K160</f>
        <v>0</v>
      </c>
      <c r="N160" s="176">
        <f t="shared" si="11"/>
        <v>0</v>
      </c>
      <c r="O160" s="176">
        <f t="shared" si="10"/>
        <v>0</v>
      </c>
    </row>
    <row r="161" spans="1:15">
      <c r="A161" s="112" t="s">
        <v>338</v>
      </c>
      <c r="B161" s="156" t="s">
        <v>193</v>
      </c>
      <c r="C161" s="156" t="s">
        <v>200</v>
      </c>
      <c r="D161" s="156" t="s">
        <v>202</v>
      </c>
      <c r="E161" s="156" t="s">
        <v>330</v>
      </c>
      <c r="F161" s="112" t="s">
        <v>338</v>
      </c>
      <c r="G161" s="358" t="s">
        <v>465</v>
      </c>
      <c r="H161" s="113"/>
      <c r="I161" s="125" t="s">
        <v>201</v>
      </c>
      <c r="J161" s="126"/>
      <c r="K161" s="127">
        <v>200</v>
      </c>
      <c r="L161" s="142"/>
      <c r="M161" s="176">
        <f>J161*K161</f>
        <v>0</v>
      </c>
      <c r="N161" s="176">
        <f t="shared" si="11"/>
        <v>0</v>
      </c>
      <c r="O161" s="176">
        <f t="shared" si="10"/>
        <v>0</v>
      </c>
    </row>
    <row r="162" spans="1:15">
      <c r="A162" s="140" t="s">
        <v>335</v>
      </c>
      <c r="B162" s="156"/>
      <c r="C162" s="156"/>
      <c r="D162" s="156"/>
      <c r="E162" s="156"/>
      <c r="F162" s="140" t="s">
        <v>335</v>
      </c>
      <c r="G162" s="141" t="s">
        <v>15</v>
      </c>
      <c r="H162" s="113"/>
      <c r="I162" s="127"/>
      <c r="J162" s="127"/>
      <c r="K162" s="127"/>
      <c r="L162" s="142"/>
      <c r="M162" s="176">
        <f t="shared" ref="M162:M199" si="12">J162*K162</f>
        <v>0</v>
      </c>
      <c r="N162" s="176">
        <f t="shared" si="11"/>
        <v>0</v>
      </c>
      <c r="O162" s="176">
        <f t="shared" si="10"/>
        <v>0</v>
      </c>
    </row>
    <row r="163" spans="1:15">
      <c r="A163" s="112" t="s">
        <v>336</v>
      </c>
      <c r="B163" s="156" t="s">
        <v>149</v>
      </c>
      <c r="C163" s="156" t="s">
        <v>204</v>
      </c>
      <c r="D163" s="156" t="s">
        <v>202</v>
      </c>
      <c r="E163" s="156" t="s">
        <v>330</v>
      </c>
      <c r="F163" s="112" t="s">
        <v>336</v>
      </c>
      <c r="G163" s="162" t="s">
        <v>796</v>
      </c>
      <c r="H163" s="113" t="s">
        <v>573</v>
      </c>
      <c r="I163" s="125" t="s">
        <v>20</v>
      </c>
      <c r="J163" s="127">
        <v>1</v>
      </c>
      <c r="K163" s="127"/>
      <c r="L163" s="142">
        <v>115</v>
      </c>
      <c r="M163" s="176">
        <f t="shared" si="12"/>
        <v>0</v>
      </c>
      <c r="N163" s="176">
        <f t="shared" si="11"/>
        <v>115</v>
      </c>
      <c r="O163" s="176">
        <f t="shared" si="10"/>
        <v>115</v>
      </c>
    </row>
    <row r="164" spans="1:15">
      <c r="A164" s="112" t="s">
        <v>339</v>
      </c>
      <c r="B164" s="156" t="s">
        <v>149</v>
      </c>
      <c r="C164" s="156" t="s">
        <v>204</v>
      </c>
      <c r="D164" s="156" t="s">
        <v>202</v>
      </c>
      <c r="E164" s="156" t="s">
        <v>330</v>
      </c>
      <c r="F164" s="112" t="s">
        <v>339</v>
      </c>
      <c r="G164" s="162" t="s">
        <v>797</v>
      </c>
      <c r="H164" s="174" t="s">
        <v>573</v>
      </c>
      <c r="I164" s="125" t="s">
        <v>20</v>
      </c>
      <c r="J164" s="127">
        <v>1</v>
      </c>
      <c r="K164" s="127"/>
      <c r="L164" s="142">
        <v>201</v>
      </c>
      <c r="M164" s="176">
        <f t="shared" si="12"/>
        <v>0</v>
      </c>
      <c r="N164" s="176">
        <f t="shared" si="11"/>
        <v>201</v>
      </c>
      <c r="O164" s="176">
        <f t="shared" si="10"/>
        <v>201</v>
      </c>
    </row>
    <row r="165" spans="1:15">
      <c r="A165" s="112" t="s">
        <v>340</v>
      </c>
      <c r="B165" s="156" t="s">
        <v>149</v>
      </c>
      <c r="C165" s="156" t="s">
        <v>204</v>
      </c>
      <c r="D165" s="156" t="s">
        <v>202</v>
      </c>
      <c r="E165" s="156" t="s">
        <v>330</v>
      </c>
      <c r="F165" s="112" t="s">
        <v>340</v>
      </c>
      <c r="G165" s="162" t="s">
        <v>798</v>
      </c>
      <c r="H165" s="174" t="s">
        <v>573</v>
      </c>
      <c r="I165" s="125" t="s">
        <v>20</v>
      </c>
      <c r="J165" s="127">
        <v>1</v>
      </c>
      <c r="K165" s="127"/>
      <c r="L165" s="142">
        <v>305</v>
      </c>
      <c r="M165" s="176">
        <f t="shared" si="12"/>
        <v>0</v>
      </c>
      <c r="N165" s="176">
        <f t="shared" si="11"/>
        <v>305</v>
      </c>
      <c r="O165" s="176">
        <f t="shared" si="10"/>
        <v>305</v>
      </c>
    </row>
    <row r="166" spans="1:15">
      <c r="A166" s="112" t="s">
        <v>341</v>
      </c>
      <c r="B166" s="156" t="s">
        <v>149</v>
      </c>
      <c r="C166" s="156" t="s">
        <v>204</v>
      </c>
      <c r="D166" s="156" t="s">
        <v>202</v>
      </c>
      <c r="E166" s="156" t="s">
        <v>330</v>
      </c>
      <c r="F166" s="112" t="s">
        <v>341</v>
      </c>
      <c r="G166" s="162" t="s">
        <v>799</v>
      </c>
      <c r="H166" s="174" t="s">
        <v>573</v>
      </c>
      <c r="I166" s="125" t="s">
        <v>20</v>
      </c>
      <c r="J166" s="127">
        <v>1</v>
      </c>
      <c r="K166" s="127"/>
      <c r="L166" s="142">
        <v>622</v>
      </c>
      <c r="M166" s="176">
        <f t="shared" si="12"/>
        <v>0</v>
      </c>
      <c r="N166" s="176">
        <f t="shared" si="11"/>
        <v>622</v>
      </c>
      <c r="O166" s="176">
        <f t="shared" si="10"/>
        <v>622</v>
      </c>
    </row>
    <row r="167" spans="1:15">
      <c r="A167" s="112" t="s">
        <v>342</v>
      </c>
      <c r="B167" s="156" t="s">
        <v>149</v>
      </c>
      <c r="C167" s="156" t="s">
        <v>204</v>
      </c>
      <c r="D167" s="156" t="s">
        <v>202</v>
      </c>
      <c r="E167" s="156" t="s">
        <v>330</v>
      </c>
      <c r="F167" s="112" t="s">
        <v>342</v>
      </c>
      <c r="G167" s="162" t="s">
        <v>800</v>
      </c>
      <c r="H167" s="174" t="s">
        <v>667</v>
      </c>
      <c r="I167" s="125" t="s">
        <v>20</v>
      </c>
      <c r="J167" s="127">
        <v>6</v>
      </c>
      <c r="K167" s="127"/>
      <c r="L167" s="142">
        <v>260</v>
      </c>
      <c r="M167" s="176">
        <f t="shared" si="12"/>
        <v>0</v>
      </c>
      <c r="N167" s="176">
        <f t="shared" si="11"/>
        <v>1560</v>
      </c>
      <c r="O167" s="176">
        <f t="shared" si="10"/>
        <v>1560</v>
      </c>
    </row>
    <row r="168" spans="1:15">
      <c r="A168" s="112" t="s">
        <v>343</v>
      </c>
      <c r="B168" s="156" t="s">
        <v>149</v>
      </c>
      <c r="C168" s="156" t="s">
        <v>204</v>
      </c>
      <c r="D168" s="156" t="s">
        <v>202</v>
      </c>
      <c r="E168" s="156" t="s">
        <v>330</v>
      </c>
      <c r="F168" s="112" t="s">
        <v>343</v>
      </c>
      <c r="G168" s="162" t="s">
        <v>801</v>
      </c>
      <c r="H168" s="174" t="s">
        <v>667</v>
      </c>
      <c r="I168" s="125" t="s">
        <v>20</v>
      </c>
      <c r="J168" s="127">
        <v>2</v>
      </c>
      <c r="K168" s="127"/>
      <c r="L168" s="142">
        <v>98</v>
      </c>
      <c r="M168" s="176">
        <f t="shared" si="12"/>
        <v>0</v>
      </c>
      <c r="N168" s="176">
        <f t="shared" si="11"/>
        <v>196</v>
      </c>
      <c r="O168" s="176">
        <f t="shared" si="10"/>
        <v>196</v>
      </c>
    </row>
    <row r="169" spans="1:15">
      <c r="A169" s="112" t="s">
        <v>344</v>
      </c>
      <c r="B169" s="156" t="s">
        <v>149</v>
      </c>
      <c r="C169" s="156" t="s">
        <v>204</v>
      </c>
      <c r="D169" s="156" t="s">
        <v>202</v>
      </c>
      <c r="E169" s="156" t="s">
        <v>330</v>
      </c>
      <c r="F169" s="112" t="s">
        <v>344</v>
      </c>
      <c r="G169" s="162" t="s">
        <v>802</v>
      </c>
      <c r="H169" s="113" t="s">
        <v>555</v>
      </c>
      <c r="I169" s="125" t="s">
        <v>20</v>
      </c>
      <c r="J169" s="127">
        <v>1</v>
      </c>
      <c r="K169" s="127"/>
      <c r="L169" s="142">
        <v>87</v>
      </c>
      <c r="M169" s="176">
        <f t="shared" si="12"/>
        <v>0</v>
      </c>
      <c r="N169" s="176">
        <f t="shared" si="11"/>
        <v>87</v>
      </c>
      <c r="O169" s="176">
        <f t="shared" si="10"/>
        <v>87</v>
      </c>
    </row>
    <row r="170" spans="1:15">
      <c r="A170" s="112" t="s">
        <v>345</v>
      </c>
      <c r="B170" s="156" t="s">
        <v>149</v>
      </c>
      <c r="C170" s="156" t="s">
        <v>204</v>
      </c>
      <c r="D170" s="156" t="s">
        <v>202</v>
      </c>
      <c r="E170" s="156" t="s">
        <v>330</v>
      </c>
      <c r="F170" s="112" t="s">
        <v>345</v>
      </c>
      <c r="G170" s="162" t="s">
        <v>803</v>
      </c>
      <c r="H170" s="113" t="s">
        <v>555</v>
      </c>
      <c r="I170" s="125" t="s">
        <v>20</v>
      </c>
      <c r="J170" s="127">
        <v>1</v>
      </c>
      <c r="K170" s="127"/>
      <c r="L170" s="142">
        <v>129</v>
      </c>
      <c r="M170" s="176">
        <f t="shared" si="12"/>
        <v>0</v>
      </c>
      <c r="N170" s="176">
        <f t="shared" si="11"/>
        <v>129</v>
      </c>
      <c r="O170" s="176">
        <f t="shared" si="10"/>
        <v>129</v>
      </c>
    </row>
    <row r="171" spans="1:15">
      <c r="A171" s="112" t="s">
        <v>346</v>
      </c>
      <c r="B171" s="156" t="s">
        <v>149</v>
      </c>
      <c r="C171" s="156" t="s">
        <v>204</v>
      </c>
      <c r="D171" s="156" t="s">
        <v>202</v>
      </c>
      <c r="E171" s="156" t="s">
        <v>330</v>
      </c>
      <c r="F171" s="112" t="s">
        <v>346</v>
      </c>
      <c r="G171" s="162" t="s">
        <v>804</v>
      </c>
      <c r="H171" s="113" t="s">
        <v>557</v>
      </c>
      <c r="I171" s="125" t="s">
        <v>20</v>
      </c>
      <c r="J171" s="127">
        <v>1</v>
      </c>
      <c r="K171" s="127"/>
      <c r="L171" s="142">
        <v>268</v>
      </c>
      <c r="M171" s="176">
        <f t="shared" si="12"/>
        <v>0</v>
      </c>
      <c r="N171" s="176">
        <f t="shared" si="11"/>
        <v>268</v>
      </c>
      <c r="O171" s="176">
        <f t="shared" si="10"/>
        <v>268</v>
      </c>
    </row>
    <row r="172" spans="1:15">
      <c r="A172" s="112" t="s">
        <v>347</v>
      </c>
      <c r="B172" s="156" t="s">
        <v>149</v>
      </c>
      <c r="C172" s="156" t="s">
        <v>204</v>
      </c>
      <c r="D172" s="156" t="s">
        <v>202</v>
      </c>
      <c r="E172" s="156" t="s">
        <v>330</v>
      </c>
      <c r="F172" s="112" t="s">
        <v>347</v>
      </c>
      <c r="G172" s="162" t="s">
        <v>805</v>
      </c>
      <c r="H172" s="113" t="s">
        <v>557</v>
      </c>
      <c r="I172" s="125" t="s">
        <v>20</v>
      </c>
      <c r="J172" s="127">
        <v>1</v>
      </c>
      <c r="K172" s="127"/>
      <c r="L172" s="142">
        <v>87</v>
      </c>
      <c r="M172" s="176">
        <f t="shared" si="12"/>
        <v>0</v>
      </c>
      <c r="N172" s="176">
        <f t="shared" si="11"/>
        <v>87</v>
      </c>
      <c r="O172" s="176">
        <f t="shared" si="10"/>
        <v>87</v>
      </c>
    </row>
    <row r="173" spans="1:15">
      <c r="A173" s="112" t="s">
        <v>348</v>
      </c>
      <c r="B173" s="156" t="s">
        <v>149</v>
      </c>
      <c r="C173" s="156" t="s">
        <v>204</v>
      </c>
      <c r="D173" s="156" t="s">
        <v>202</v>
      </c>
      <c r="E173" s="156" t="s">
        <v>330</v>
      </c>
      <c r="F173" s="112" t="s">
        <v>348</v>
      </c>
      <c r="G173" s="162" t="s">
        <v>806</v>
      </c>
      <c r="H173" s="113" t="s">
        <v>807</v>
      </c>
      <c r="I173" s="125" t="s">
        <v>20</v>
      </c>
      <c r="J173" s="127">
        <v>1</v>
      </c>
      <c r="K173" s="127"/>
      <c r="L173" s="142">
        <v>125</v>
      </c>
      <c r="M173" s="176">
        <f t="shared" si="12"/>
        <v>0</v>
      </c>
      <c r="N173" s="176">
        <f t="shared" si="11"/>
        <v>125</v>
      </c>
      <c r="O173" s="176">
        <f t="shared" si="10"/>
        <v>125</v>
      </c>
    </row>
    <row r="174" spans="1:15">
      <c r="A174" s="112" t="s">
        <v>349</v>
      </c>
      <c r="B174" s="156" t="s">
        <v>149</v>
      </c>
      <c r="C174" s="156" t="s">
        <v>204</v>
      </c>
      <c r="D174" s="156" t="s">
        <v>202</v>
      </c>
      <c r="E174" s="156" t="s">
        <v>330</v>
      </c>
      <c r="F174" s="112" t="s">
        <v>349</v>
      </c>
      <c r="G174" s="162" t="s">
        <v>808</v>
      </c>
      <c r="H174" s="113" t="s">
        <v>1661</v>
      </c>
      <c r="I174" s="125" t="s">
        <v>20</v>
      </c>
      <c r="J174" s="127">
        <v>1</v>
      </c>
      <c r="K174" s="127"/>
      <c r="L174" s="142">
        <v>176.4</v>
      </c>
      <c r="M174" s="176">
        <f t="shared" si="12"/>
        <v>0</v>
      </c>
      <c r="N174" s="176">
        <f t="shared" si="11"/>
        <v>176.4</v>
      </c>
      <c r="O174" s="176">
        <f t="shared" si="10"/>
        <v>176.4</v>
      </c>
    </row>
    <row r="175" spans="1:15">
      <c r="A175" s="112" t="s">
        <v>350</v>
      </c>
      <c r="B175" s="156" t="s">
        <v>149</v>
      </c>
      <c r="C175" s="156" t="s">
        <v>204</v>
      </c>
      <c r="D175" s="156" t="s">
        <v>202</v>
      </c>
      <c r="E175" s="156" t="s">
        <v>330</v>
      </c>
      <c r="F175" s="112" t="s">
        <v>350</v>
      </c>
      <c r="G175" s="162" t="s">
        <v>810</v>
      </c>
      <c r="H175" s="113" t="s">
        <v>576</v>
      </c>
      <c r="I175" s="125" t="s">
        <v>20</v>
      </c>
      <c r="J175" s="127">
        <v>1</v>
      </c>
      <c r="K175" s="127"/>
      <c r="L175" s="142">
        <v>267</v>
      </c>
      <c r="M175" s="176">
        <f t="shared" si="12"/>
        <v>0</v>
      </c>
      <c r="N175" s="176">
        <f t="shared" si="11"/>
        <v>267</v>
      </c>
      <c r="O175" s="176">
        <f t="shared" si="10"/>
        <v>267</v>
      </c>
    </row>
    <row r="176" spans="1:15">
      <c r="A176" s="112" t="s">
        <v>351</v>
      </c>
      <c r="B176" s="156" t="s">
        <v>149</v>
      </c>
      <c r="C176" s="156" t="s">
        <v>204</v>
      </c>
      <c r="D176" s="156" t="s">
        <v>202</v>
      </c>
      <c r="E176" s="156" t="s">
        <v>330</v>
      </c>
      <c r="F176" s="112" t="s">
        <v>351</v>
      </c>
      <c r="G176" s="162" t="s">
        <v>811</v>
      </c>
      <c r="H176" s="174" t="s">
        <v>576</v>
      </c>
      <c r="I176" s="125" t="s">
        <v>20</v>
      </c>
      <c r="J176" s="127">
        <v>1</v>
      </c>
      <c r="K176" s="127"/>
      <c r="L176" s="142">
        <v>723</v>
      </c>
      <c r="M176" s="176">
        <f t="shared" si="12"/>
        <v>0</v>
      </c>
      <c r="N176" s="176">
        <f t="shared" si="11"/>
        <v>723</v>
      </c>
      <c r="O176" s="176">
        <f t="shared" si="10"/>
        <v>723</v>
      </c>
    </row>
    <row r="177" spans="1:15">
      <c r="A177" s="112" t="s">
        <v>352</v>
      </c>
      <c r="B177" s="156" t="s">
        <v>149</v>
      </c>
      <c r="C177" s="156" t="s">
        <v>204</v>
      </c>
      <c r="D177" s="156" t="s">
        <v>202</v>
      </c>
      <c r="E177" s="156" t="s">
        <v>330</v>
      </c>
      <c r="F177" s="112" t="s">
        <v>352</v>
      </c>
      <c r="G177" s="162" t="s">
        <v>812</v>
      </c>
      <c r="H177" s="113" t="s">
        <v>558</v>
      </c>
      <c r="I177" s="125" t="s">
        <v>20</v>
      </c>
      <c r="J177" s="127">
        <v>5</v>
      </c>
      <c r="K177" s="127"/>
      <c r="L177" s="142">
        <v>117</v>
      </c>
      <c r="M177" s="176">
        <f t="shared" si="12"/>
        <v>0</v>
      </c>
      <c r="N177" s="176">
        <f t="shared" si="11"/>
        <v>585</v>
      </c>
      <c r="O177" s="176">
        <f t="shared" si="10"/>
        <v>585</v>
      </c>
    </row>
    <row r="178" spans="1:15">
      <c r="A178" s="112" t="s">
        <v>353</v>
      </c>
      <c r="B178" s="156" t="s">
        <v>149</v>
      </c>
      <c r="C178" s="156" t="s">
        <v>204</v>
      </c>
      <c r="D178" s="156" t="s">
        <v>202</v>
      </c>
      <c r="E178" s="156" t="s">
        <v>330</v>
      </c>
      <c r="F178" s="112" t="s">
        <v>353</v>
      </c>
      <c r="G178" s="162" t="s">
        <v>813</v>
      </c>
      <c r="H178" s="174" t="s">
        <v>558</v>
      </c>
      <c r="I178" s="125" t="s">
        <v>20</v>
      </c>
      <c r="J178" s="127">
        <v>6</v>
      </c>
      <c r="K178" s="127"/>
      <c r="L178" s="142">
        <v>77</v>
      </c>
      <c r="M178" s="176">
        <f t="shared" si="12"/>
        <v>0</v>
      </c>
      <c r="N178" s="176">
        <f t="shared" si="11"/>
        <v>462</v>
      </c>
      <c r="O178" s="176">
        <f t="shared" si="10"/>
        <v>462</v>
      </c>
    </row>
    <row r="179" spans="1:15">
      <c r="A179" s="112" t="s">
        <v>354</v>
      </c>
      <c r="B179" s="156" t="s">
        <v>149</v>
      </c>
      <c r="C179" s="156" t="s">
        <v>204</v>
      </c>
      <c r="D179" s="156" t="s">
        <v>202</v>
      </c>
      <c r="E179" s="156" t="s">
        <v>330</v>
      </c>
      <c r="F179" s="112" t="s">
        <v>354</v>
      </c>
      <c r="G179" s="162" t="s">
        <v>814</v>
      </c>
      <c r="H179" s="174" t="s">
        <v>556</v>
      </c>
      <c r="I179" s="125" t="s">
        <v>295</v>
      </c>
      <c r="J179" s="127">
        <v>30</v>
      </c>
      <c r="K179" s="127"/>
      <c r="L179" s="142">
        <v>87</v>
      </c>
      <c r="M179" s="176">
        <f t="shared" si="12"/>
        <v>0</v>
      </c>
      <c r="N179" s="176">
        <f t="shared" si="11"/>
        <v>2610</v>
      </c>
      <c r="O179" s="176">
        <f t="shared" si="10"/>
        <v>2610</v>
      </c>
    </row>
    <row r="180" spans="1:15">
      <c r="A180" s="112" t="s">
        <v>355</v>
      </c>
      <c r="B180" s="156" t="s">
        <v>149</v>
      </c>
      <c r="C180" s="156" t="s">
        <v>204</v>
      </c>
      <c r="D180" s="156" t="s">
        <v>202</v>
      </c>
      <c r="E180" s="156" t="s">
        <v>330</v>
      </c>
      <c r="F180" s="112" t="s">
        <v>355</v>
      </c>
      <c r="G180" s="162" t="s">
        <v>815</v>
      </c>
      <c r="H180" s="113" t="s">
        <v>565</v>
      </c>
      <c r="I180" s="125" t="s">
        <v>20</v>
      </c>
      <c r="J180" s="127">
        <v>15</v>
      </c>
      <c r="K180" s="127"/>
      <c r="L180" s="142">
        <v>68</v>
      </c>
      <c r="M180" s="176">
        <f t="shared" si="12"/>
        <v>0</v>
      </c>
      <c r="N180" s="176">
        <f t="shared" si="11"/>
        <v>1020</v>
      </c>
      <c r="O180" s="176">
        <f t="shared" si="10"/>
        <v>1020</v>
      </c>
    </row>
    <row r="181" spans="1:15">
      <c r="A181" s="112" t="s">
        <v>356</v>
      </c>
      <c r="B181" s="156" t="s">
        <v>149</v>
      </c>
      <c r="C181" s="156" t="s">
        <v>204</v>
      </c>
      <c r="D181" s="156" t="s">
        <v>202</v>
      </c>
      <c r="E181" s="156" t="s">
        <v>330</v>
      </c>
      <c r="F181" s="112" t="s">
        <v>356</v>
      </c>
      <c r="G181" s="162" t="s">
        <v>816</v>
      </c>
      <c r="H181" s="113" t="s">
        <v>654</v>
      </c>
      <c r="I181" s="125" t="s">
        <v>20</v>
      </c>
      <c r="J181" s="127">
        <v>2</v>
      </c>
      <c r="K181" s="127"/>
      <c r="L181" s="142">
        <v>77</v>
      </c>
      <c r="M181" s="176">
        <f t="shared" si="12"/>
        <v>0</v>
      </c>
      <c r="N181" s="176">
        <f t="shared" si="11"/>
        <v>154</v>
      </c>
      <c r="O181" s="176">
        <f t="shared" si="10"/>
        <v>154</v>
      </c>
    </row>
    <row r="182" spans="1:15">
      <c r="A182" s="112" t="s">
        <v>357</v>
      </c>
      <c r="B182" s="156" t="s">
        <v>149</v>
      </c>
      <c r="C182" s="156" t="s">
        <v>204</v>
      </c>
      <c r="D182" s="156" t="s">
        <v>202</v>
      </c>
      <c r="E182" s="156" t="s">
        <v>330</v>
      </c>
      <c r="F182" s="112" t="s">
        <v>357</v>
      </c>
      <c r="G182" s="161" t="s">
        <v>817</v>
      </c>
      <c r="H182" s="113" t="s">
        <v>557</v>
      </c>
      <c r="I182" s="125" t="s">
        <v>20</v>
      </c>
      <c r="J182" s="127">
        <v>1</v>
      </c>
      <c r="K182" s="127"/>
      <c r="L182" s="142">
        <v>73.400000000000006</v>
      </c>
      <c r="M182" s="176">
        <f t="shared" si="12"/>
        <v>0</v>
      </c>
      <c r="N182" s="176">
        <f t="shared" si="11"/>
        <v>73.400000000000006</v>
      </c>
      <c r="O182" s="176">
        <f t="shared" si="10"/>
        <v>73.400000000000006</v>
      </c>
    </row>
    <row r="183" spans="1:15">
      <c r="A183" s="112" t="s">
        <v>358</v>
      </c>
      <c r="B183" s="156" t="s">
        <v>149</v>
      </c>
      <c r="C183" s="156" t="s">
        <v>204</v>
      </c>
      <c r="D183" s="156" t="s">
        <v>202</v>
      </c>
      <c r="E183" s="156" t="s">
        <v>330</v>
      </c>
      <c r="F183" s="112" t="s">
        <v>358</v>
      </c>
      <c r="G183" s="162" t="s">
        <v>818</v>
      </c>
      <c r="H183" s="113" t="s">
        <v>557</v>
      </c>
      <c r="I183" s="125" t="s">
        <v>20</v>
      </c>
      <c r="J183" s="127">
        <v>1</v>
      </c>
      <c r="K183" s="127"/>
      <c r="L183" s="142">
        <v>36</v>
      </c>
      <c r="M183" s="176">
        <f t="shared" si="12"/>
        <v>0</v>
      </c>
      <c r="N183" s="176">
        <f t="shared" si="11"/>
        <v>36</v>
      </c>
      <c r="O183" s="176">
        <f t="shared" si="10"/>
        <v>36</v>
      </c>
    </row>
    <row r="184" spans="1:15">
      <c r="A184" s="112" t="s">
        <v>359</v>
      </c>
      <c r="B184" s="156" t="s">
        <v>149</v>
      </c>
      <c r="C184" s="156" t="s">
        <v>204</v>
      </c>
      <c r="D184" s="156" t="s">
        <v>202</v>
      </c>
      <c r="E184" s="156" t="s">
        <v>330</v>
      </c>
      <c r="F184" s="112" t="s">
        <v>359</v>
      </c>
      <c r="G184" s="162" t="s">
        <v>819</v>
      </c>
      <c r="H184" s="113" t="s">
        <v>555</v>
      </c>
      <c r="I184" s="125" t="s">
        <v>20</v>
      </c>
      <c r="J184" s="127">
        <v>15</v>
      </c>
      <c r="K184" s="127"/>
      <c r="L184" s="142">
        <v>67</v>
      </c>
      <c r="M184" s="176">
        <f t="shared" si="12"/>
        <v>0</v>
      </c>
      <c r="N184" s="176">
        <f t="shared" si="11"/>
        <v>1005</v>
      </c>
      <c r="O184" s="176">
        <f t="shared" si="10"/>
        <v>1005</v>
      </c>
    </row>
    <row r="185" spans="1:15">
      <c r="A185" s="112" t="s">
        <v>360</v>
      </c>
      <c r="B185" s="156" t="s">
        <v>149</v>
      </c>
      <c r="C185" s="156" t="s">
        <v>204</v>
      </c>
      <c r="D185" s="156" t="s">
        <v>202</v>
      </c>
      <c r="E185" s="156" t="s">
        <v>330</v>
      </c>
      <c r="F185" s="112" t="s">
        <v>360</v>
      </c>
      <c r="G185" s="162" t="s">
        <v>820</v>
      </c>
      <c r="H185" s="113" t="s">
        <v>559</v>
      </c>
      <c r="I185" s="125" t="s">
        <v>20</v>
      </c>
      <c r="J185" s="127">
        <v>10</v>
      </c>
      <c r="K185" s="127"/>
      <c r="L185" s="142">
        <v>324</v>
      </c>
      <c r="M185" s="176">
        <f t="shared" si="12"/>
        <v>0</v>
      </c>
      <c r="N185" s="176">
        <f t="shared" si="11"/>
        <v>3240</v>
      </c>
      <c r="O185" s="176">
        <f t="shared" si="10"/>
        <v>3240</v>
      </c>
    </row>
    <row r="186" spans="1:15">
      <c r="A186" s="112" t="s">
        <v>361</v>
      </c>
      <c r="B186" s="156" t="s">
        <v>149</v>
      </c>
      <c r="C186" s="156" t="s">
        <v>204</v>
      </c>
      <c r="D186" s="156" t="s">
        <v>202</v>
      </c>
      <c r="E186" s="156" t="s">
        <v>330</v>
      </c>
      <c r="F186" s="112" t="s">
        <v>361</v>
      </c>
      <c r="G186" s="162" t="s">
        <v>821</v>
      </c>
      <c r="H186" s="113" t="s">
        <v>561</v>
      </c>
      <c r="I186" s="125" t="s">
        <v>20</v>
      </c>
      <c r="J186" s="127">
        <v>3</v>
      </c>
      <c r="K186" s="127"/>
      <c r="L186" s="142">
        <v>116.4</v>
      </c>
      <c r="M186" s="176">
        <f t="shared" si="12"/>
        <v>0</v>
      </c>
      <c r="N186" s="176">
        <f t="shared" si="11"/>
        <v>349.20000000000005</v>
      </c>
      <c r="O186" s="176">
        <f t="shared" si="10"/>
        <v>349.20000000000005</v>
      </c>
    </row>
    <row r="187" spans="1:15">
      <c r="A187" s="112" t="s">
        <v>362</v>
      </c>
      <c r="B187" s="156" t="s">
        <v>149</v>
      </c>
      <c r="C187" s="156" t="s">
        <v>204</v>
      </c>
      <c r="D187" s="156" t="s">
        <v>202</v>
      </c>
      <c r="E187" s="156" t="s">
        <v>330</v>
      </c>
      <c r="F187" s="112" t="s">
        <v>362</v>
      </c>
      <c r="G187" s="162" t="s">
        <v>658</v>
      </c>
      <c r="H187" s="113" t="s">
        <v>555</v>
      </c>
      <c r="I187" s="125" t="s">
        <v>20</v>
      </c>
      <c r="J187" s="127">
        <v>1</v>
      </c>
      <c r="K187" s="127"/>
      <c r="L187" s="142">
        <v>111</v>
      </c>
      <c r="M187" s="176">
        <f t="shared" si="12"/>
        <v>0</v>
      </c>
      <c r="N187" s="176">
        <f t="shared" si="11"/>
        <v>111</v>
      </c>
      <c r="O187" s="176">
        <f t="shared" si="10"/>
        <v>111</v>
      </c>
    </row>
    <row r="188" spans="1:15">
      <c r="A188" s="112" t="s">
        <v>363</v>
      </c>
      <c r="B188" s="156" t="s">
        <v>149</v>
      </c>
      <c r="C188" s="156" t="s">
        <v>204</v>
      </c>
      <c r="D188" s="156" t="s">
        <v>202</v>
      </c>
      <c r="E188" s="156" t="s">
        <v>330</v>
      </c>
      <c r="F188" s="112" t="s">
        <v>363</v>
      </c>
      <c r="G188" s="162" t="s">
        <v>659</v>
      </c>
      <c r="H188" s="113" t="s">
        <v>651</v>
      </c>
      <c r="I188" s="125" t="s">
        <v>20</v>
      </c>
      <c r="J188" s="127">
        <v>1</v>
      </c>
      <c r="K188" s="127"/>
      <c r="L188" s="142">
        <v>196.6</v>
      </c>
      <c r="M188" s="176">
        <f t="shared" si="12"/>
        <v>0</v>
      </c>
      <c r="N188" s="176">
        <f t="shared" si="11"/>
        <v>196.6</v>
      </c>
      <c r="O188" s="176">
        <f t="shared" si="10"/>
        <v>196.6</v>
      </c>
    </row>
    <row r="189" spans="1:15">
      <c r="A189" s="112" t="s">
        <v>364</v>
      </c>
      <c r="B189" s="156" t="s">
        <v>149</v>
      </c>
      <c r="C189" s="156" t="s">
        <v>204</v>
      </c>
      <c r="D189" s="156" t="s">
        <v>202</v>
      </c>
      <c r="E189" s="156" t="s">
        <v>330</v>
      </c>
      <c r="F189" s="112" t="s">
        <v>364</v>
      </c>
      <c r="G189" s="162" t="s">
        <v>822</v>
      </c>
      <c r="H189" s="113" t="s">
        <v>669</v>
      </c>
      <c r="I189" s="125" t="s">
        <v>20</v>
      </c>
      <c r="J189" s="127">
        <v>6</v>
      </c>
      <c r="K189" s="127"/>
      <c r="L189" s="142">
        <v>129.80000000000001</v>
      </c>
      <c r="M189" s="176">
        <f t="shared" si="12"/>
        <v>0</v>
      </c>
      <c r="N189" s="176">
        <f t="shared" si="11"/>
        <v>778.80000000000007</v>
      </c>
      <c r="O189" s="176">
        <f t="shared" si="10"/>
        <v>778.80000000000007</v>
      </c>
    </row>
    <row r="190" spans="1:15">
      <c r="A190" s="112" t="s">
        <v>365</v>
      </c>
      <c r="B190" s="156" t="s">
        <v>149</v>
      </c>
      <c r="C190" s="156" t="s">
        <v>204</v>
      </c>
      <c r="D190" s="156" t="s">
        <v>202</v>
      </c>
      <c r="E190" s="156" t="s">
        <v>330</v>
      </c>
      <c r="F190" s="112" t="s">
        <v>365</v>
      </c>
      <c r="G190" s="162" t="s">
        <v>823</v>
      </c>
      <c r="H190" s="113" t="s">
        <v>556</v>
      </c>
      <c r="I190" s="125" t="s">
        <v>295</v>
      </c>
      <c r="J190" s="127">
        <v>75</v>
      </c>
      <c r="K190" s="127"/>
      <c r="L190" s="142">
        <v>29</v>
      </c>
      <c r="M190" s="176">
        <f t="shared" si="12"/>
        <v>0</v>
      </c>
      <c r="N190" s="176">
        <f t="shared" si="11"/>
        <v>2175</v>
      </c>
      <c r="O190" s="176">
        <f t="shared" si="10"/>
        <v>2175</v>
      </c>
    </row>
    <row r="191" spans="1:15">
      <c r="A191" s="112" t="s">
        <v>366</v>
      </c>
      <c r="B191" s="156" t="s">
        <v>149</v>
      </c>
      <c r="C191" s="156" t="s">
        <v>204</v>
      </c>
      <c r="D191" s="156" t="s">
        <v>202</v>
      </c>
      <c r="E191" s="156" t="s">
        <v>330</v>
      </c>
      <c r="F191" s="112" t="s">
        <v>366</v>
      </c>
      <c r="G191" s="162" t="s">
        <v>660</v>
      </c>
      <c r="H191" s="113" t="s">
        <v>657</v>
      </c>
      <c r="I191" s="125" t="s">
        <v>20</v>
      </c>
      <c r="J191" s="127">
        <v>30</v>
      </c>
      <c r="K191" s="127"/>
      <c r="L191" s="142">
        <v>66</v>
      </c>
      <c r="M191" s="176">
        <f t="shared" si="12"/>
        <v>0</v>
      </c>
      <c r="N191" s="176">
        <f t="shared" si="11"/>
        <v>1980</v>
      </c>
      <c r="O191" s="176">
        <f t="shared" si="10"/>
        <v>1980</v>
      </c>
    </row>
    <row r="192" spans="1:15">
      <c r="A192" s="112" t="s">
        <v>367</v>
      </c>
      <c r="B192" s="156" t="s">
        <v>149</v>
      </c>
      <c r="C192" s="156" t="s">
        <v>204</v>
      </c>
      <c r="D192" s="156" t="s">
        <v>202</v>
      </c>
      <c r="E192" s="156" t="s">
        <v>330</v>
      </c>
      <c r="F192" s="112" t="s">
        <v>367</v>
      </c>
      <c r="G192" s="162" t="s">
        <v>824</v>
      </c>
      <c r="H192" s="113" t="s">
        <v>5214</v>
      </c>
      <c r="I192" s="125" t="s">
        <v>20</v>
      </c>
      <c r="J192" s="127">
        <v>1</v>
      </c>
      <c r="K192" s="127"/>
      <c r="L192" s="142">
        <v>208</v>
      </c>
      <c r="M192" s="176">
        <f t="shared" si="12"/>
        <v>0</v>
      </c>
      <c r="N192" s="176">
        <f t="shared" si="11"/>
        <v>208</v>
      </c>
      <c r="O192" s="176">
        <f t="shared" si="10"/>
        <v>208</v>
      </c>
    </row>
    <row r="193" spans="1:17">
      <c r="A193" s="112" t="s">
        <v>368</v>
      </c>
      <c r="B193" s="156" t="s">
        <v>149</v>
      </c>
      <c r="C193" s="156" t="s">
        <v>204</v>
      </c>
      <c r="D193" s="156" t="s">
        <v>202</v>
      </c>
      <c r="E193" s="156" t="s">
        <v>330</v>
      </c>
      <c r="F193" s="112" t="s">
        <v>368</v>
      </c>
      <c r="G193" s="162" t="s">
        <v>652</v>
      </c>
      <c r="H193" s="160" t="s">
        <v>652</v>
      </c>
      <c r="I193" s="125" t="s">
        <v>20</v>
      </c>
      <c r="J193" s="127">
        <v>1</v>
      </c>
      <c r="K193" s="127"/>
      <c r="L193" s="142">
        <v>6700</v>
      </c>
      <c r="M193" s="176">
        <f t="shared" si="12"/>
        <v>0</v>
      </c>
      <c r="N193" s="176">
        <f t="shared" si="11"/>
        <v>6700</v>
      </c>
      <c r="O193" s="176">
        <f t="shared" si="10"/>
        <v>6700</v>
      </c>
    </row>
    <row r="194" spans="1:17">
      <c r="A194" s="112" t="s">
        <v>1011</v>
      </c>
      <c r="B194" s="156" t="s">
        <v>149</v>
      </c>
      <c r="C194" s="156" t="s">
        <v>204</v>
      </c>
      <c r="D194" s="156" t="s">
        <v>202</v>
      </c>
      <c r="E194" s="156" t="s">
        <v>330</v>
      </c>
      <c r="F194" s="112" t="s">
        <v>1011</v>
      </c>
      <c r="G194" s="162" t="s">
        <v>825</v>
      </c>
      <c r="H194" s="113" t="s">
        <v>1054</v>
      </c>
      <c r="I194" s="125" t="s">
        <v>20</v>
      </c>
      <c r="J194" s="127">
        <v>1</v>
      </c>
      <c r="K194" s="127"/>
      <c r="L194" s="142">
        <v>9200</v>
      </c>
      <c r="M194" s="176">
        <f t="shared" si="12"/>
        <v>0</v>
      </c>
      <c r="N194" s="176">
        <f t="shared" si="11"/>
        <v>9200</v>
      </c>
      <c r="O194" s="176">
        <f t="shared" si="10"/>
        <v>9200</v>
      </c>
    </row>
    <row r="195" spans="1:17">
      <c r="A195" s="112" t="s">
        <v>1012</v>
      </c>
      <c r="B195" s="156" t="s">
        <v>149</v>
      </c>
      <c r="C195" s="156" t="s">
        <v>204</v>
      </c>
      <c r="D195" s="156" t="s">
        <v>202</v>
      </c>
      <c r="E195" s="156" t="s">
        <v>330</v>
      </c>
      <c r="F195" s="112" t="s">
        <v>1012</v>
      </c>
      <c r="G195" s="162" t="s">
        <v>826</v>
      </c>
      <c r="H195" s="113" t="s">
        <v>656</v>
      </c>
      <c r="I195" s="125" t="s">
        <v>20</v>
      </c>
      <c r="J195" s="127">
        <v>1</v>
      </c>
      <c r="K195" s="127"/>
      <c r="L195" s="142">
        <v>1200</v>
      </c>
      <c r="M195" s="176">
        <f t="shared" si="12"/>
        <v>0</v>
      </c>
      <c r="N195" s="176">
        <f t="shared" si="11"/>
        <v>1200</v>
      </c>
      <c r="O195" s="176">
        <f t="shared" si="10"/>
        <v>1200</v>
      </c>
    </row>
    <row r="196" spans="1:17">
      <c r="A196" s="112" t="s">
        <v>1013</v>
      </c>
      <c r="B196" s="156" t="s">
        <v>149</v>
      </c>
      <c r="C196" s="156" t="s">
        <v>204</v>
      </c>
      <c r="D196" s="156" t="s">
        <v>202</v>
      </c>
      <c r="E196" s="156" t="s">
        <v>330</v>
      </c>
      <c r="F196" s="112" t="s">
        <v>1013</v>
      </c>
      <c r="G196" s="162" t="s">
        <v>827</v>
      </c>
      <c r="H196" s="113" t="s">
        <v>574</v>
      </c>
      <c r="I196" s="125" t="s">
        <v>20</v>
      </c>
      <c r="J196" s="127">
        <v>1</v>
      </c>
      <c r="K196" s="127"/>
      <c r="L196" s="142">
        <v>4230</v>
      </c>
      <c r="M196" s="176">
        <f t="shared" si="12"/>
        <v>0</v>
      </c>
      <c r="N196" s="176">
        <f t="shared" si="11"/>
        <v>4230</v>
      </c>
      <c r="O196" s="176">
        <f t="shared" si="10"/>
        <v>4230</v>
      </c>
    </row>
    <row r="197" spans="1:17">
      <c r="A197" s="112" t="s">
        <v>1014</v>
      </c>
      <c r="B197" s="156" t="s">
        <v>149</v>
      </c>
      <c r="C197" s="156" t="s">
        <v>204</v>
      </c>
      <c r="D197" s="156" t="s">
        <v>202</v>
      </c>
      <c r="E197" s="156" t="s">
        <v>330</v>
      </c>
      <c r="F197" s="112" t="s">
        <v>1014</v>
      </c>
      <c r="G197" s="162" t="s">
        <v>828</v>
      </c>
      <c r="H197" s="160" t="s">
        <v>1054</v>
      </c>
      <c r="I197" s="125" t="s">
        <v>20</v>
      </c>
      <c r="J197" s="127">
        <v>1</v>
      </c>
      <c r="K197" s="127"/>
      <c r="L197" s="142">
        <v>5600</v>
      </c>
      <c r="M197" s="176">
        <f t="shared" si="12"/>
        <v>0</v>
      </c>
      <c r="N197" s="176">
        <f t="shared" si="11"/>
        <v>5600</v>
      </c>
      <c r="O197" s="176">
        <f t="shared" si="10"/>
        <v>5600</v>
      </c>
    </row>
    <row r="198" spans="1:17">
      <c r="A198" s="112" t="s">
        <v>1015</v>
      </c>
      <c r="B198" s="156" t="s">
        <v>149</v>
      </c>
      <c r="C198" s="156" t="s">
        <v>204</v>
      </c>
      <c r="D198" s="156" t="s">
        <v>202</v>
      </c>
      <c r="E198" s="156" t="s">
        <v>330</v>
      </c>
      <c r="F198" s="112" t="s">
        <v>1015</v>
      </c>
      <c r="G198" s="162" t="s">
        <v>829</v>
      </c>
      <c r="H198" s="113" t="s">
        <v>558</v>
      </c>
      <c r="I198" s="125" t="s">
        <v>20</v>
      </c>
      <c r="J198" s="127">
        <v>1</v>
      </c>
      <c r="K198" s="127"/>
      <c r="L198" s="142">
        <v>66</v>
      </c>
      <c r="M198" s="176">
        <f t="shared" si="12"/>
        <v>0</v>
      </c>
      <c r="N198" s="176">
        <f t="shared" si="11"/>
        <v>66</v>
      </c>
      <c r="O198" s="176">
        <f t="shared" si="10"/>
        <v>66</v>
      </c>
      <c r="P198" s="153">
        <f>SUM(O163:O198)</f>
        <v>46841.4</v>
      </c>
      <c r="Q198" s="153" t="s">
        <v>703</v>
      </c>
    </row>
    <row r="199" spans="1:17">
      <c r="A199" s="363" t="s">
        <v>369</v>
      </c>
      <c r="B199" s="363"/>
      <c r="C199" s="363"/>
      <c r="D199" s="363"/>
      <c r="E199" s="363"/>
      <c r="F199" s="363" t="s">
        <v>369</v>
      </c>
      <c r="G199" s="351" t="s">
        <v>495</v>
      </c>
      <c r="H199" s="145"/>
      <c r="I199" s="364"/>
      <c r="J199" s="364"/>
      <c r="K199" s="364"/>
      <c r="L199" s="364"/>
      <c r="M199" s="364">
        <f t="shared" si="12"/>
        <v>0</v>
      </c>
      <c r="N199" s="364">
        <f>J199*L199</f>
        <v>0</v>
      </c>
      <c r="O199" s="364">
        <f t="shared" si="10"/>
        <v>0</v>
      </c>
    </row>
    <row r="200" spans="1:17">
      <c r="A200" s="140" t="s">
        <v>370</v>
      </c>
      <c r="B200" s="156"/>
      <c r="C200" s="156"/>
      <c r="D200" s="156"/>
      <c r="E200" s="156"/>
      <c r="F200" s="140" t="s">
        <v>370</v>
      </c>
      <c r="G200" s="141" t="s">
        <v>10</v>
      </c>
      <c r="H200" s="113"/>
      <c r="I200" s="125"/>
      <c r="J200" s="125"/>
      <c r="K200" s="127"/>
      <c r="L200" s="142"/>
      <c r="M200" s="176"/>
      <c r="N200" s="176"/>
      <c r="O200" s="176"/>
    </row>
    <row r="201" spans="1:17">
      <c r="A201" s="112" t="s">
        <v>371</v>
      </c>
      <c r="B201" s="156" t="s">
        <v>193</v>
      </c>
      <c r="C201" s="156" t="s">
        <v>200</v>
      </c>
      <c r="D201" s="156" t="s">
        <v>202</v>
      </c>
      <c r="E201" s="156" t="s">
        <v>425</v>
      </c>
      <c r="F201" s="112" t="s">
        <v>371</v>
      </c>
      <c r="G201" s="358" t="s">
        <v>466</v>
      </c>
      <c r="H201" s="113"/>
      <c r="I201" s="125" t="s">
        <v>201</v>
      </c>
      <c r="J201" s="126"/>
      <c r="K201" s="127">
        <v>200</v>
      </c>
      <c r="L201" s="142"/>
      <c r="M201" s="176">
        <f>J201*K201</f>
        <v>0</v>
      </c>
      <c r="N201" s="176">
        <f t="shared" ref="N201:N264" si="13">J201*L201</f>
        <v>0</v>
      </c>
      <c r="O201" s="176">
        <f t="shared" si="10"/>
        <v>0</v>
      </c>
    </row>
    <row r="202" spans="1:17">
      <c r="A202" s="112" t="s">
        <v>372</v>
      </c>
      <c r="B202" s="156" t="s">
        <v>193</v>
      </c>
      <c r="C202" s="156" t="s">
        <v>200</v>
      </c>
      <c r="D202" s="156" t="s">
        <v>202</v>
      </c>
      <c r="E202" s="156" t="s">
        <v>425</v>
      </c>
      <c r="F202" s="112" t="s">
        <v>372</v>
      </c>
      <c r="G202" s="358" t="s">
        <v>467</v>
      </c>
      <c r="H202" s="113"/>
      <c r="I202" s="125" t="s">
        <v>201</v>
      </c>
      <c r="J202" s="126"/>
      <c r="K202" s="127">
        <v>200</v>
      </c>
      <c r="L202" s="142"/>
      <c r="M202" s="176">
        <f>J202*K202</f>
        <v>0</v>
      </c>
      <c r="N202" s="176">
        <f t="shared" si="13"/>
        <v>0</v>
      </c>
      <c r="O202" s="176">
        <f t="shared" si="10"/>
        <v>0</v>
      </c>
    </row>
    <row r="203" spans="1:17">
      <c r="A203" s="112" t="s">
        <v>373</v>
      </c>
      <c r="B203" s="156" t="s">
        <v>193</v>
      </c>
      <c r="C203" s="156" t="s">
        <v>200</v>
      </c>
      <c r="D203" s="156" t="s">
        <v>202</v>
      </c>
      <c r="E203" s="156" t="s">
        <v>425</v>
      </c>
      <c r="F203" s="112" t="s">
        <v>373</v>
      </c>
      <c r="G203" s="358" t="s">
        <v>468</v>
      </c>
      <c r="H203" s="113"/>
      <c r="I203" s="125" t="s">
        <v>20</v>
      </c>
      <c r="J203" s="126"/>
      <c r="K203" s="127">
        <v>5200</v>
      </c>
      <c r="L203" s="142"/>
      <c r="M203" s="176">
        <f>J203*K203</f>
        <v>0</v>
      </c>
      <c r="N203" s="176">
        <f t="shared" si="13"/>
        <v>0</v>
      </c>
      <c r="O203" s="176">
        <f t="shared" si="10"/>
        <v>0</v>
      </c>
    </row>
    <row r="204" spans="1:17">
      <c r="A204" s="112" t="s">
        <v>374</v>
      </c>
      <c r="B204" s="156" t="s">
        <v>193</v>
      </c>
      <c r="C204" s="156" t="s">
        <v>200</v>
      </c>
      <c r="D204" s="156" t="s">
        <v>202</v>
      </c>
      <c r="E204" s="156" t="s">
        <v>425</v>
      </c>
      <c r="F204" s="112" t="s">
        <v>374</v>
      </c>
      <c r="G204" s="358" t="s">
        <v>469</v>
      </c>
      <c r="H204" s="113"/>
      <c r="I204" s="125" t="s">
        <v>201</v>
      </c>
      <c r="J204" s="126"/>
      <c r="K204" s="127">
        <v>200</v>
      </c>
      <c r="L204" s="142"/>
      <c r="M204" s="176">
        <f>J204*K204</f>
        <v>0</v>
      </c>
      <c r="N204" s="176">
        <f t="shared" si="13"/>
        <v>0</v>
      </c>
      <c r="O204" s="176">
        <f t="shared" si="10"/>
        <v>0</v>
      </c>
    </row>
    <row r="205" spans="1:17">
      <c r="A205" s="112" t="s">
        <v>483</v>
      </c>
      <c r="B205" s="156" t="s">
        <v>193</v>
      </c>
      <c r="C205" s="156" t="s">
        <v>200</v>
      </c>
      <c r="D205" s="156" t="s">
        <v>202</v>
      </c>
      <c r="E205" s="156" t="s">
        <v>425</v>
      </c>
      <c r="F205" s="112" t="s">
        <v>483</v>
      </c>
      <c r="G205" s="358" t="s">
        <v>470</v>
      </c>
      <c r="H205" s="113"/>
      <c r="I205" s="125" t="s">
        <v>201</v>
      </c>
      <c r="J205" s="126"/>
      <c r="K205" s="127">
        <v>200</v>
      </c>
      <c r="L205" s="142"/>
      <c r="M205" s="176">
        <f t="shared" ref="M205:M230" si="14">J205*K205</f>
        <v>0</v>
      </c>
      <c r="N205" s="176">
        <f t="shared" si="13"/>
        <v>0</v>
      </c>
      <c r="O205" s="176">
        <f t="shared" si="10"/>
        <v>0</v>
      </c>
    </row>
    <row r="206" spans="1:17">
      <c r="A206" s="112" t="s">
        <v>484</v>
      </c>
      <c r="B206" s="156" t="s">
        <v>193</v>
      </c>
      <c r="C206" s="156" t="s">
        <v>200</v>
      </c>
      <c r="D206" s="156" t="s">
        <v>202</v>
      </c>
      <c r="E206" s="156" t="s">
        <v>425</v>
      </c>
      <c r="F206" s="112" t="s">
        <v>484</v>
      </c>
      <c r="G206" s="358" t="s">
        <v>471</v>
      </c>
      <c r="H206" s="113"/>
      <c r="I206" s="125" t="s">
        <v>201</v>
      </c>
      <c r="J206" s="126"/>
      <c r="K206" s="127">
        <v>200</v>
      </c>
      <c r="L206" s="142"/>
      <c r="M206" s="176">
        <f t="shared" si="14"/>
        <v>0</v>
      </c>
      <c r="N206" s="176">
        <f t="shared" si="13"/>
        <v>0</v>
      </c>
      <c r="O206" s="176">
        <f t="shared" si="10"/>
        <v>0</v>
      </c>
    </row>
    <row r="207" spans="1:17">
      <c r="A207" s="112" t="s">
        <v>485</v>
      </c>
      <c r="B207" s="156" t="s">
        <v>193</v>
      </c>
      <c r="C207" s="156" t="s">
        <v>200</v>
      </c>
      <c r="D207" s="156" t="s">
        <v>202</v>
      </c>
      <c r="E207" s="156" t="s">
        <v>425</v>
      </c>
      <c r="F207" s="112" t="s">
        <v>485</v>
      </c>
      <c r="G207" s="358" t="s">
        <v>472</v>
      </c>
      <c r="H207" s="113"/>
      <c r="I207" s="125" t="s">
        <v>201</v>
      </c>
      <c r="J207" s="126"/>
      <c r="K207" s="127">
        <v>200</v>
      </c>
      <c r="L207" s="142"/>
      <c r="M207" s="176">
        <f t="shared" si="14"/>
        <v>0</v>
      </c>
      <c r="N207" s="176">
        <f t="shared" si="13"/>
        <v>0</v>
      </c>
      <c r="O207" s="176">
        <f t="shared" si="10"/>
        <v>0</v>
      </c>
    </row>
    <row r="208" spans="1:17">
      <c r="A208" s="140" t="s">
        <v>375</v>
      </c>
      <c r="B208" s="156"/>
      <c r="C208" s="156"/>
      <c r="D208" s="156"/>
      <c r="E208" s="156"/>
      <c r="F208" s="140" t="s">
        <v>375</v>
      </c>
      <c r="G208" s="141" t="s">
        <v>15</v>
      </c>
      <c r="H208" s="113"/>
      <c r="I208" s="127"/>
      <c r="J208" s="127"/>
      <c r="K208" s="127"/>
      <c r="L208" s="142"/>
      <c r="M208" s="176">
        <f t="shared" si="14"/>
        <v>0</v>
      </c>
      <c r="N208" s="176">
        <f t="shared" si="13"/>
        <v>0</v>
      </c>
      <c r="O208" s="176">
        <f t="shared" ref="O208:O216" si="15">N208+M208</f>
        <v>0</v>
      </c>
    </row>
    <row r="209" spans="1:15">
      <c r="A209" s="112" t="s">
        <v>376</v>
      </c>
      <c r="B209" s="156" t="s">
        <v>149</v>
      </c>
      <c r="C209" s="156" t="s">
        <v>204</v>
      </c>
      <c r="D209" s="156" t="s">
        <v>202</v>
      </c>
      <c r="E209" s="156" t="s">
        <v>425</v>
      </c>
      <c r="F209" s="112" t="s">
        <v>376</v>
      </c>
      <c r="G209" s="163" t="s">
        <v>830</v>
      </c>
      <c r="H209" s="113" t="s">
        <v>670</v>
      </c>
      <c r="I209" s="125" t="s">
        <v>20</v>
      </c>
      <c r="J209" s="127">
        <v>2</v>
      </c>
      <c r="K209" s="127"/>
      <c r="L209" s="142">
        <v>560</v>
      </c>
      <c r="M209" s="176">
        <f t="shared" si="14"/>
        <v>0</v>
      </c>
      <c r="N209" s="176">
        <f t="shared" si="13"/>
        <v>1120</v>
      </c>
      <c r="O209" s="176">
        <f t="shared" si="15"/>
        <v>1120</v>
      </c>
    </row>
    <row r="210" spans="1:15">
      <c r="A210" s="112" t="s">
        <v>377</v>
      </c>
      <c r="B210" s="156" t="s">
        <v>149</v>
      </c>
      <c r="C210" s="156" t="s">
        <v>204</v>
      </c>
      <c r="D210" s="156" t="s">
        <v>202</v>
      </c>
      <c r="E210" s="156" t="s">
        <v>425</v>
      </c>
      <c r="F210" s="112" t="s">
        <v>377</v>
      </c>
      <c r="G210" s="163" t="s">
        <v>671</v>
      </c>
      <c r="H210" s="174" t="s">
        <v>671</v>
      </c>
      <c r="I210" s="125" t="s">
        <v>20</v>
      </c>
      <c r="J210" s="127">
        <v>1</v>
      </c>
      <c r="K210" s="127"/>
      <c r="L210" s="142">
        <v>460</v>
      </c>
      <c r="M210" s="176">
        <f t="shared" si="14"/>
        <v>0</v>
      </c>
      <c r="N210" s="176">
        <f t="shared" si="13"/>
        <v>460</v>
      </c>
      <c r="O210" s="176">
        <f t="shared" si="15"/>
        <v>460</v>
      </c>
    </row>
    <row r="211" spans="1:15">
      <c r="A211" s="112" t="s">
        <v>378</v>
      </c>
      <c r="B211" s="156" t="s">
        <v>149</v>
      </c>
      <c r="C211" s="156" t="s">
        <v>204</v>
      </c>
      <c r="D211" s="156" t="s">
        <v>202</v>
      </c>
      <c r="E211" s="156" t="s">
        <v>425</v>
      </c>
      <c r="F211" s="112" t="s">
        <v>378</v>
      </c>
      <c r="G211" s="163" t="s">
        <v>831</v>
      </c>
      <c r="H211" s="174" t="s">
        <v>672</v>
      </c>
      <c r="I211" s="125" t="s">
        <v>20</v>
      </c>
      <c r="J211" s="127">
        <v>1</v>
      </c>
      <c r="K211" s="127"/>
      <c r="L211" s="142">
        <v>500</v>
      </c>
      <c r="M211" s="176">
        <f t="shared" si="14"/>
        <v>0</v>
      </c>
      <c r="N211" s="176">
        <f t="shared" si="13"/>
        <v>500</v>
      </c>
      <c r="O211" s="176">
        <f t="shared" si="15"/>
        <v>500</v>
      </c>
    </row>
    <row r="212" spans="1:15">
      <c r="A212" s="112" t="s">
        <v>379</v>
      </c>
      <c r="B212" s="156" t="s">
        <v>149</v>
      </c>
      <c r="C212" s="156" t="s">
        <v>204</v>
      </c>
      <c r="D212" s="156" t="s">
        <v>202</v>
      </c>
      <c r="E212" s="156" t="s">
        <v>425</v>
      </c>
      <c r="F212" s="112" t="s">
        <v>379</v>
      </c>
      <c r="G212" s="163" t="s">
        <v>832</v>
      </c>
      <c r="H212" s="174" t="s">
        <v>639</v>
      </c>
      <c r="I212" s="125" t="s">
        <v>20</v>
      </c>
      <c r="J212" s="127">
        <v>1</v>
      </c>
      <c r="K212" s="127"/>
      <c r="L212" s="142">
        <v>17000</v>
      </c>
      <c r="M212" s="176">
        <f t="shared" si="14"/>
        <v>0</v>
      </c>
      <c r="N212" s="176">
        <f t="shared" si="13"/>
        <v>17000</v>
      </c>
      <c r="O212" s="176">
        <f t="shared" si="15"/>
        <v>17000</v>
      </c>
    </row>
    <row r="213" spans="1:15">
      <c r="A213" s="112" t="s">
        <v>380</v>
      </c>
      <c r="B213" s="156" t="s">
        <v>149</v>
      </c>
      <c r="C213" s="156" t="s">
        <v>204</v>
      </c>
      <c r="D213" s="156" t="s">
        <v>202</v>
      </c>
      <c r="E213" s="156" t="s">
        <v>425</v>
      </c>
      <c r="F213" s="112" t="s">
        <v>380</v>
      </c>
      <c r="G213" s="163" t="s">
        <v>833</v>
      </c>
      <c r="H213" s="113" t="s">
        <v>675</v>
      </c>
      <c r="I213" s="125" t="s">
        <v>20</v>
      </c>
      <c r="J213" s="127">
        <v>8</v>
      </c>
      <c r="K213" s="127"/>
      <c r="L213" s="142">
        <v>1500</v>
      </c>
      <c r="M213" s="176">
        <f t="shared" si="14"/>
        <v>0</v>
      </c>
      <c r="N213" s="176">
        <f t="shared" si="13"/>
        <v>12000</v>
      </c>
      <c r="O213" s="176">
        <f t="shared" si="15"/>
        <v>12000</v>
      </c>
    </row>
    <row r="214" spans="1:15">
      <c r="A214" s="112" t="s">
        <v>381</v>
      </c>
      <c r="B214" s="156" t="s">
        <v>149</v>
      </c>
      <c r="C214" s="156" t="s">
        <v>204</v>
      </c>
      <c r="D214" s="156" t="s">
        <v>202</v>
      </c>
      <c r="E214" s="156" t="s">
        <v>425</v>
      </c>
      <c r="F214" s="112" t="s">
        <v>381</v>
      </c>
      <c r="G214" s="163" t="s">
        <v>655</v>
      </c>
      <c r="H214" s="113" t="s">
        <v>655</v>
      </c>
      <c r="I214" s="125" t="s">
        <v>20</v>
      </c>
      <c r="J214" s="127">
        <v>4</v>
      </c>
      <c r="K214" s="127"/>
      <c r="L214" s="142">
        <v>340</v>
      </c>
      <c r="M214" s="176">
        <f t="shared" si="14"/>
        <v>0</v>
      </c>
      <c r="N214" s="176">
        <f t="shared" si="13"/>
        <v>1360</v>
      </c>
      <c r="O214" s="176">
        <f t="shared" si="15"/>
        <v>1360</v>
      </c>
    </row>
    <row r="215" spans="1:15">
      <c r="A215" s="112" t="s">
        <v>382</v>
      </c>
      <c r="B215" s="156" t="s">
        <v>149</v>
      </c>
      <c r="C215" s="156" t="s">
        <v>204</v>
      </c>
      <c r="D215" s="156" t="s">
        <v>202</v>
      </c>
      <c r="E215" s="156" t="s">
        <v>425</v>
      </c>
      <c r="F215" s="112" t="s">
        <v>382</v>
      </c>
      <c r="G215" s="163" t="s">
        <v>834</v>
      </c>
      <c r="H215" s="113" t="s">
        <v>1080</v>
      </c>
      <c r="I215" s="125" t="s">
        <v>20</v>
      </c>
      <c r="J215" s="127">
        <v>1</v>
      </c>
      <c r="K215" s="127"/>
      <c r="L215" s="142">
        <v>587</v>
      </c>
      <c r="M215" s="176">
        <f t="shared" si="14"/>
        <v>0</v>
      </c>
      <c r="N215" s="176">
        <f t="shared" si="13"/>
        <v>587</v>
      </c>
      <c r="O215" s="176">
        <f t="shared" si="15"/>
        <v>587</v>
      </c>
    </row>
    <row r="216" spans="1:15">
      <c r="A216" s="112" t="s">
        <v>383</v>
      </c>
      <c r="B216" s="156" t="s">
        <v>149</v>
      </c>
      <c r="C216" s="156" t="s">
        <v>204</v>
      </c>
      <c r="D216" s="156" t="s">
        <v>202</v>
      </c>
      <c r="E216" s="156" t="s">
        <v>425</v>
      </c>
      <c r="F216" s="112" t="s">
        <v>383</v>
      </c>
      <c r="G216" s="315" t="s">
        <v>835</v>
      </c>
      <c r="H216" s="113" t="s">
        <v>2632</v>
      </c>
      <c r="I216" s="125" t="s">
        <v>20</v>
      </c>
      <c r="J216" s="127">
        <v>1</v>
      </c>
      <c r="K216" s="127"/>
      <c r="L216" s="142">
        <v>360</v>
      </c>
      <c r="M216" s="176">
        <f t="shared" si="14"/>
        <v>0</v>
      </c>
      <c r="N216" s="176">
        <f t="shared" si="13"/>
        <v>360</v>
      </c>
      <c r="O216" s="176">
        <f t="shared" si="15"/>
        <v>360</v>
      </c>
    </row>
    <row r="217" spans="1:15">
      <c r="A217" s="112" t="s">
        <v>384</v>
      </c>
      <c r="B217" s="156" t="s">
        <v>149</v>
      </c>
      <c r="C217" s="156" t="s">
        <v>204</v>
      </c>
      <c r="D217" s="156" t="s">
        <v>202</v>
      </c>
      <c r="E217" s="156" t="s">
        <v>425</v>
      </c>
      <c r="F217" s="112" t="s">
        <v>384</v>
      </c>
      <c r="G217" s="315" t="s">
        <v>836</v>
      </c>
      <c r="H217" s="113" t="s">
        <v>675</v>
      </c>
      <c r="I217" s="125" t="s">
        <v>20</v>
      </c>
      <c r="J217" s="127">
        <v>1</v>
      </c>
      <c r="K217" s="127"/>
      <c r="L217" s="142">
        <v>3460</v>
      </c>
      <c r="M217" s="176">
        <f t="shared" si="14"/>
        <v>0</v>
      </c>
      <c r="N217" s="176">
        <f t="shared" si="13"/>
        <v>3460</v>
      </c>
      <c r="O217" s="176">
        <f t="shared" ref="O217:O228" si="16">M217+N217</f>
        <v>3460</v>
      </c>
    </row>
    <row r="218" spans="1:15">
      <c r="A218" s="112" t="s">
        <v>1016</v>
      </c>
      <c r="B218" s="156" t="s">
        <v>149</v>
      </c>
      <c r="C218" s="156" t="s">
        <v>204</v>
      </c>
      <c r="D218" s="156" t="s">
        <v>202</v>
      </c>
      <c r="E218" s="156" t="s">
        <v>425</v>
      </c>
      <c r="F218" s="112" t="s">
        <v>1016</v>
      </c>
      <c r="G218" s="315" t="s">
        <v>837</v>
      </c>
      <c r="H218" s="113" t="s">
        <v>837</v>
      </c>
      <c r="I218" s="125" t="s">
        <v>20</v>
      </c>
      <c r="J218" s="127">
        <v>1</v>
      </c>
      <c r="K218" s="127"/>
      <c r="L218" s="142">
        <v>6700</v>
      </c>
      <c r="M218" s="176">
        <f t="shared" si="14"/>
        <v>0</v>
      </c>
      <c r="N218" s="176">
        <f t="shared" si="13"/>
        <v>6700</v>
      </c>
      <c r="O218" s="176">
        <f t="shared" si="16"/>
        <v>6700</v>
      </c>
    </row>
    <row r="219" spans="1:15">
      <c r="A219" s="112" t="s">
        <v>1017</v>
      </c>
      <c r="B219" s="156" t="s">
        <v>149</v>
      </c>
      <c r="C219" s="156" t="s">
        <v>204</v>
      </c>
      <c r="D219" s="156" t="s">
        <v>202</v>
      </c>
      <c r="E219" s="156" t="s">
        <v>425</v>
      </c>
      <c r="F219" s="112" t="s">
        <v>1017</v>
      </c>
      <c r="G219" s="315" t="s">
        <v>838</v>
      </c>
      <c r="H219" s="113" t="s">
        <v>1055</v>
      </c>
      <c r="I219" s="125" t="s">
        <v>20</v>
      </c>
      <c r="J219" s="127">
        <v>1</v>
      </c>
      <c r="K219" s="127"/>
      <c r="L219" s="142">
        <v>1500</v>
      </c>
      <c r="M219" s="176">
        <f t="shared" si="14"/>
        <v>0</v>
      </c>
      <c r="N219" s="176">
        <f t="shared" si="13"/>
        <v>1500</v>
      </c>
      <c r="O219" s="176">
        <f t="shared" si="16"/>
        <v>1500</v>
      </c>
    </row>
    <row r="220" spans="1:15">
      <c r="A220" s="112" t="s">
        <v>1018</v>
      </c>
      <c r="B220" s="156" t="s">
        <v>149</v>
      </c>
      <c r="C220" s="156" t="s">
        <v>204</v>
      </c>
      <c r="D220" s="156" t="s">
        <v>202</v>
      </c>
      <c r="E220" s="156" t="s">
        <v>425</v>
      </c>
      <c r="F220" s="112" t="s">
        <v>1018</v>
      </c>
      <c r="G220" s="315" t="s">
        <v>839</v>
      </c>
      <c r="H220" s="113" t="s">
        <v>2860</v>
      </c>
      <c r="I220" s="125" t="s">
        <v>20</v>
      </c>
      <c r="J220" s="127">
        <v>1</v>
      </c>
      <c r="K220" s="127"/>
      <c r="L220" s="142">
        <v>7800</v>
      </c>
      <c r="M220" s="176">
        <f t="shared" si="14"/>
        <v>0</v>
      </c>
      <c r="N220" s="176">
        <f t="shared" si="13"/>
        <v>7800</v>
      </c>
      <c r="O220" s="176">
        <f t="shared" si="16"/>
        <v>7800</v>
      </c>
    </row>
    <row r="221" spans="1:15">
      <c r="A221" s="112" t="s">
        <v>1019</v>
      </c>
      <c r="B221" s="156" t="s">
        <v>149</v>
      </c>
      <c r="C221" s="156" t="s">
        <v>204</v>
      </c>
      <c r="D221" s="156" t="s">
        <v>202</v>
      </c>
      <c r="E221" s="156" t="s">
        <v>425</v>
      </c>
      <c r="F221" s="112" t="s">
        <v>1019</v>
      </c>
      <c r="G221" s="315" t="s">
        <v>679</v>
      </c>
      <c r="H221" s="113" t="s">
        <v>575</v>
      </c>
      <c r="I221" s="125" t="s">
        <v>20</v>
      </c>
      <c r="J221" s="127">
        <v>1</v>
      </c>
      <c r="K221" s="127"/>
      <c r="L221" s="142">
        <v>1260</v>
      </c>
      <c r="M221" s="176">
        <f t="shared" si="14"/>
        <v>0</v>
      </c>
      <c r="N221" s="176">
        <f t="shared" si="13"/>
        <v>1260</v>
      </c>
      <c r="O221" s="176">
        <f t="shared" si="16"/>
        <v>1260</v>
      </c>
    </row>
    <row r="222" spans="1:15">
      <c r="A222" s="112" t="s">
        <v>1020</v>
      </c>
      <c r="B222" s="156" t="s">
        <v>149</v>
      </c>
      <c r="C222" s="156" t="s">
        <v>204</v>
      </c>
      <c r="D222" s="156" t="s">
        <v>202</v>
      </c>
      <c r="E222" s="156" t="s">
        <v>425</v>
      </c>
      <c r="F222" s="112" t="s">
        <v>1020</v>
      </c>
      <c r="G222" s="315" t="s">
        <v>840</v>
      </c>
      <c r="H222" s="113" t="s">
        <v>562</v>
      </c>
      <c r="I222" s="125" t="s">
        <v>20</v>
      </c>
      <c r="J222" s="127">
        <v>1</v>
      </c>
      <c r="K222" s="127"/>
      <c r="L222" s="142">
        <v>11200</v>
      </c>
      <c r="M222" s="176">
        <f t="shared" si="14"/>
        <v>0</v>
      </c>
      <c r="N222" s="176">
        <f t="shared" si="13"/>
        <v>11200</v>
      </c>
      <c r="O222" s="176">
        <f t="shared" si="16"/>
        <v>11200</v>
      </c>
    </row>
    <row r="223" spans="1:15">
      <c r="A223" s="112" t="s">
        <v>1021</v>
      </c>
      <c r="B223" s="156" t="s">
        <v>149</v>
      </c>
      <c r="C223" s="156" t="s">
        <v>204</v>
      </c>
      <c r="D223" s="156" t="s">
        <v>202</v>
      </c>
      <c r="E223" s="156" t="s">
        <v>425</v>
      </c>
      <c r="F223" s="112" t="s">
        <v>1021</v>
      </c>
      <c r="G223" s="315" t="s">
        <v>841</v>
      </c>
      <c r="H223" s="113" t="s">
        <v>681</v>
      </c>
      <c r="I223" s="125" t="s">
        <v>20</v>
      </c>
      <c r="J223" s="127">
        <v>1</v>
      </c>
      <c r="K223" s="127"/>
      <c r="L223" s="142">
        <v>1600</v>
      </c>
      <c r="M223" s="176">
        <f t="shared" si="14"/>
        <v>0</v>
      </c>
      <c r="N223" s="176">
        <f t="shared" si="13"/>
        <v>1600</v>
      </c>
      <c r="O223" s="176">
        <f t="shared" si="16"/>
        <v>1600</v>
      </c>
    </row>
    <row r="224" spans="1:15">
      <c r="A224" s="112" t="s">
        <v>1022</v>
      </c>
      <c r="B224" s="156" t="s">
        <v>149</v>
      </c>
      <c r="C224" s="156" t="s">
        <v>204</v>
      </c>
      <c r="D224" s="156" t="s">
        <v>202</v>
      </c>
      <c r="E224" s="156" t="s">
        <v>425</v>
      </c>
      <c r="F224" s="112" t="s">
        <v>1022</v>
      </c>
      <c r="G224" s="315" t="s">
        <v>842</v>
      </c>
      <c r="H224" s="113" t="s">
        <v>842</v>
      </c>
      <c r="I224" s="125" t="s">
        <v>20</v>
      </c>
      <c r="J224" s="127">
        <v>1</v>
      </c>
      <c r="K224" s="127"/>
      <c r="L224" s="142">
        <v>350</v>
      </c>
      <c r="M224" s="176">
        <f t="shared" si="14"/>
        <v>0</v>
      </c>
      <c r="N224" s="176">
        <f t="shared" si="13"/>
        <v>350</v>
      </c>
      <c r="O224" s="176">
        <f t="shared" si="16"/>
        <v>350</v>
      </c>
    </row>
    <row r="225" spans="1:17">
      <c r="A225" s="112" t="s">
        <v>1023</v>
      </c>
      <c r="B225" s="156" t="s">
        <v>149</v>
      </c>
      <c r="C225" s="156" t="s">
        <v>204</v>
      </c>
      <c r="D225" s="156" t="s">
        <v>202</v>
      </c>
      <c r="E225" s="156" t="s">
        <v>425</v>
      </c>
      <c r="F225" s="112" t="s">
        <v>1023</v>
      </c>
      <c r="G225" s="315" t="s">
        <v>843</v>
      </c>
      <c r="H225" s="113" t="s">
        <v>683</v>
      </c>
      <c r="I225" s="125" t="s">
        <v>20</v>
      </c>
      <c r="J225" s="127">
        <v>1</v>
      </c>
      <c r="K225" s="127"/>
      <c r="L225" s="142">
        <v>55000</v>
      </c>
      <c r="M225" s="176">
        <f t="shared" si="14"/>
        <v>0</v>
      </c>
      <c r="N225" s="176">
        <f t="shared" si="13"/>
        <v>55000</v>
      </c>
      <c r="O225" s="176">
        <f t="shared" si="16"/>
        <v>55000</v>
      </c>
    </row>
    <row r="226" spans="1:17">
      <c r="A226" s="112" t="s">
        <v>1024</v>
      </c>
      <c r="B226" s="156" t="s">
        <v>149</v>
      </c>
      <c r="C226" s="156" t="s">
        <v>204</v>
      </c>
      <c r="D226" s="156" t="s">
        <v>202</v>
      </c>
      <c r="E226" s="156" t="s">
        <v>425</v>
      </c>
      <c r="F226" s="112" t="s">
        <v>1024</v>
      </c>
      <c r="G226" s="315" t="s">
        <v>844</v>
      </c>
      <c r="H226" s="113" t="s">
        <v>607</v>
      </c>
      <c r="I226" s="125" t="s">
        <v>20</v>
      </c>
      <c r="J226" s="127">
        <v>1</v>
      </c>
      <c r="K226" s="127"/>
      <c r="L226" s="142">
        <v>6400</v>
      </c>
      <c r="M226" s="176">
        <f t="shared" si="14"/>
        <v>0</v>
      </c>
      <c r="N226" s="176">
        <f t="shared" si="13"/>
        <v>6400</v>
      </c>
      <c r="O226" s="176">
        <f t="shared" si="16"/>
        <v>6400</v>
      </c>
    </row>
    <row r="227" spans="1:17">
      <c r="A227" s="112" t="s">
        <v>1025</v>
      </c>
      <c r="B227" s="156" t="s">
        <v>149</v>
      </c>
      <c r="C227" s="156" t="s">
        <v>204</v>
      </c>
      <c r="D227" s="156" t="s">
        <v>202</v>
      </c>
      <c r="E227" s="156" t="s">
        <v>425</v>
      </c>
      <c r="F227" s="112" t="s">
        <v>1025</v>
      </c>
      <c r="G227" s="315" t="s">
        <v>845</v>
      </c>
      <c r="H227" s="113" t="s">
        <v>2643</v>
      </c>
      <c r="I227" s="125" t="s">
        <v>20</v>
      </c>
      <c r="J227" s="127">
        <v>1</v>
      </c>
      <c r="K227" s="127"/>
      <c r="L227" s="142">
        <v>7830</v>
      </c>
      <c r="M227" s="176">
        <f t="shared" si="14"/>
        <v>0</v>
      </c>
      <c r="N227" s="176">
        <f t="shared" si="13"/>
        <v>7830</v>
      </c>
      <c r="O227" s="176">
        <f t="shared" si="16"/>
        <v>7830</v>
      </c>
    </row>
    <row r="228" spans="1:17">
      <c r="A228" s="112" t="s">
        <v>1026</v>
      </c>
      <c r="B228" s="156" t="s">
        <v>149</v>
      </c>
      <c r="C228" s="156" t="s">
        <v>204</v>
      </c>
      <c r="D228" s="156" t="s">
        <v>202</v>
      </c>
      <c r="E228" s="156" t="s">
        <v>425</v>
      </c>
      <c r="F228" s="112" t="s">
        <v>1026</v>
      </c>
      <c r="G228" s="315" t="s">
        <v>846</v>
      </c>
      <c r="H228" s="113" t="s">
        <v>1592</v>
      </c>
      <c r="I228" s="125" t="s">
        <v>20</v>
      </c>
      <c r="J228" s="127">
        <v>1</v>
      </c>
      <c r="K228" s="127"/>
      <c r="L228" s="142">
        <v>12000</v>
      </c>
      <c r="M228" s="176">
        <f t="shared" si="14"/>
        <v>0</v>
      </c>
      <c r="N228" s="176">
        <f t="shared" si="13"/>
        <v>12000</v>
      </c>
      <c r="O228" s="176">
        <f t="shared" si="16"/>
        <v>12000</v>
      </c>
      <c r="P228" s="153">
        <f>SUM(N209:N228)</f>
        <v>148487</v>
      </c>
      <c r="Q228" s="153" t="s">
        <v>703</v>
      </c>
    </row>
    <row r="229" spans="1:17">
      <c r="A229" s="363" t="s">
        <v>385</v>
      </c>
      <c r="B229" s="363"/>
      <c r="C229" s="363"/>
      <c r="D229" s="363"/>
      <c r="E229" s="363"/>
      <c r="F229" s="363" t="s">
        <v>385</v>
      </c>
      <c r="G229" s="351" t="s">
        <v>386</v>
      </c>
      <c r="H229" s="145"/>
      <c r="I229" s="364"/>
      <c r="J229" s="364"/>
      <c r="K229" s="364"/>
      <c r="L229" s="364"/>
      <c r="M229" s="364">
        <f t="shared" si="14"/>
        <v>0</v>
      </c>
      <c r="N229" s="364">
        <f t="shared" si="13"/>
        <v>0</v>
      </c>
      <c r="O229" s="364">
        <f t="shared" ref="O229:O279" si="17">N229+M229</f>
        <v>0</v>
      </c>
    </row>
    <row r="230" spans="1:17">
      <c r="A230" s="140" t="s">
        <v>387</v>
      </c>
      <c r="B230" s="156"/>
      <c r="C230" s="156"/>
      <c r="D230" s="156"/>
      <c r="E230" s="156"/>
      <c r="F230" s="140" t="s">
        <v>387</v>
      </c>
      <c r="G230" s="141" t="s">
        <v>10</v>
      </c>
      <c r="H230" s="113"/>
      <c r="I230" s="125"/>
      <c r="J230" s="125"/>
      <c r="K230" s="127"/>
      <c r="L230" s="142"/>
      <c r="M230" s="176">
        <f t="shared" si="14"/>
        <v>0</v>
      </c>
      <c r="N230" s="176">
        <f t="shared" si="13"/>
        <v>0</v>
      </c>
      <c r="O230" s="176">
        <f t="shared" si="17"/>
        <v>0</v>
      </c>
    </row>
    <row r="231" spans="1:17">
      <c r="A231" s="112" t="s">
        <v>388</v>
      </c>
      <c r="B231" s="156" t="s">
        <v>193</v>
      </c>
      <c r="C231" s="156" t="s">
        <v>200</v>
      </c>
      <c r="D231" s="156" t="s">
        <v>202</v>
      </c>
      <c r="E231" s="156" t="s">
        <v>386</v>
      </c>
      <c r="F231" s="112" t="s">
        <v>388</v>
      </c>
      <c r="G231" s="358" t="s">
        <v>473</v>
      </c>
      <c r="H231" s="113"/>
      <c r="I231" s="125" t="s">
        <v>201</v>
      </c>
      <c r="J231" s="126"/>
      <c r="K231" s="127">
        <v>350</v>
      </c>
      <c r="L231" s="142"/>
      <c r="M231" s="176">
        <f>J231*K231</f>
        <v>0</v>
      </c>
      <c r="N231" s="176">
        <f t="shared" si="13"/>
        <v>0</v>
      </c>
      <c r="O231" s="176">
        <f t="shared" si="17"/>
        <v>0</v>
      </c>
    </row>
    <row r="232" spans="1:17">
      <c r="A232" s="112" t="s">
        <v>389</v>
      </c>
      <c r="B232" s="156" t="s">
        <v>193</v>
      </c>
      <c r="C232" s="156" t="s">
        <v>200</v>
      </c>
      <c r="D232" s="156" t="s">
        <v>202</v>
      </c>
      <c r="E232" s="156" t="s">
        <v>386</v>
      </c>
      <c r="F232" s="112" t="s">
        <v>389</v>
      </c>
      <c r="G232" s="358" t="s">
        <v>474</v>
      </c>
      <c r="H232" s="113"/>
      <c r="I232" s="125" t="s">
        <v>201</v>
      </c>
      <c r="J232" s="126"/>
      <c r="K232" s="127">
        <v>350</v>
      </c>
      <c r="L232" s="142"/>
      <c r="M232" s="176">
        <f t="shared" ref="M232:M238" si="18">J232*K232</f>
        <v>0</v>
      </c>
      <c r="N232" s="176">
        <f t="shared" si="13"/>
        <v>0</v>
      </c>
      <c r="O232" s="176">
        <f t="shared" si="17"/>
        <v>0</v>
      </c>
    </row>
    <row r="233" spans="1:17">
      <c r="A233" s="112" t="s">
        <v>390</v>
      </c>
      <c r="B233" s="156" t="s">
        <v>193</v>
      </c>
      <c r="C233" s="156" t="s">
        <v>200</v>
      </c>
      <c r="D233" s="156" t="s">
        <v>202</v>
      </c>
      <c r="E233" s="156" t="s">
        <v>386</v>
      </c>
      <c r="F233" s="112" t="s">
        <v>390</v>
      </c>
      <c r="G233" s="358" t="s">
        <v>475</v>
      </c>
      <c r="H233" s="113"/>
      <c r="I233" s="125" t="s">
        <v>201</v>
      </c>
      <c r="J233" s="126"/>
      <c r="K233" s="127">
        <v>350</v>
      </c>
      <c r="L233" s="142"/>
      <c r="M233" s="176">
        <f t="shared" si="18"/>
        <v>0</v>
      </c>
      <c r="N233" s="176">
        <f t="shared" si="13"/>
        <v>0</v>
      </c>
      <c r="O233" s="176">
        <f t="shared" si="17"/>
        <v>0</v>
      </c>
    </row>
    <row r="234" spans="1:17">
      <c r="A234" s="112" t="s">
        <v>391</v>
      </c>
      <c r="B234" s="156" t="s">
        <v>193</v>
      </c>
      <c r="C234" s="156" t="s">
        <v>200</v>
      </c>
      <c r="D234" s="156" t="s">
        <v>202</v>
      </c>
      <c r="E234" s="156" t="s">
        <v>386</v>
      </c>
      <c r="F234" s="112" t="s">
        <v>391</v>
      </c>
      <c r="G234" s="358" t="s">
        <v>476</v>
      </c>
      <c r="H234" s="113"/>
      <c r="I234" s="125" t="s">
        <v>201</v>
      </c>
      <c r="J234" s="126"/>
      <c r="K234" s="127">
        <v>350</v>
      </c>
      <c r="L234" s="142"/>
      <c r="M234" s="176">
        <f t="shared" si="18"/>
        <v>0</v>
      </c>
      <c r="N234" s="176">
        <f t="shared" si="13"/>
        <v>0</v>
      </c>
      <c r="O234" s="176">
        <f t="shared" si="17"/>
        <v>0</v>
      </c>
    </row>
    <row r="235" spans="1:17">
      <c r="A235" s="112" t="s">
        <v>392</v>
      </c>
      <c r="B235" s="156" t="s">
        <v>193</v>
      </c>
      <c r="C235" s="156" t="s">
        <v>200</v>
      </c>
      <c r="D235" s="156" t="s">
        <v>202</v>
      </c>
      <c r="E235" s="156" t="s">
        <v>386</v>
      </c>
      <c r="F235" s="112" t="s">
        <v>392</v>
      </c>
      <c r="G235" s="358" t="s">
        <v>477</v>
      </c>
      <c r="H235" s="113"/>
      <c r="I235" s="125" t="s">
        <v>201</v>
      </c>
      <c r="J235" s="126"/>
      <c r="K235" s="127">
        <v>350</v>
      </c>
      <c r="L235" s="142"/>
      <c r="M235" s="176">
        <f t="shared" si="18"/>
        <v>0</v>
      </c>
      <c r="N235" s="176">
        <f t="shared" si="13"/>
        <v>0</v>
      </c>
      <c r="O235" s="176">
        <f t="shared" si="17"/>
        <v>0</v>
      </c>
    </row>
    <row r="236" spans="1:17">
      <c r="A236" s="112" t="s">
        <v>393</v>
      </c>
      <c r="B236" s="156" t="s">
        <v>193</v>
      </c>
      <c r="C236" s="156" t="s">
        <v>200</v>
      </c>
      <c r="D236" s="156" t="s">
        <v>202</v>
      </c>
      <c r="E236" s="156" t="s">
        <v>386</v>
      </c>
      <c r="F236" s="112" t="s">
        <v>393</v>
      </c>
      <c r="G236" s="358" t="s">
        <v>478</v>
      </c>
      <c r="H236" s="113"/>
      <c r="I236" s="125" t="s">
        <v>201</v>
      </c>
      <c r="J236" s="126"/>
      <c r="K236" s="127">
        <v>350</v>
      </c>
      <c r="L236" s="142"/>
      <c r="M236" s="176">
        <f t="shared" si="18"/>
        <v>0</v>
      </c>
      <c r="N236" s="176">
        <f t="shared" si="13"/>
        <v>0</v>
      </c>
      <c r="O236" s="176">
        <f t="shared" si="17"/>
        <v>0</v>
      </c>
    </row>
    <row r="237" spans="1:17">
      <c r="A237" s="112" t="s">
        <v>394</v>
      </c>
      <c r="B237" s="156" t="s">
        <v>193</v>
      </c>
      <c r="C237" s="156" t="s">
        <v>200</v>
      </c>
      <c r="D237" s="156" t="s">
        <v>202</v>
      </c>
      <c r="E237" s="156" t="s">
        <v>386</v>
      </c>
      <c r="F237" s="112" t="s">
        <v>394</v>
      </c>
      <c r="G237" s="358" t="s">
        <v>479</v>
      </c>
      <c r="H237" s="113"/>
      <c r="I237" s="125" t="s">
        <v>201</v>
      </c>
      <c r="J237" s="126"/>
      <c r="K237" s="127">
        <v>350</v>
      </c>
      <c r="L237" s="142"/>
      <c r="M237" s="176">
        <f t="shared" si="18"/>
        <v>0</v>
      </c>
      <c r="N237" s="176">
        <f t="shared" si="13"/>
        <v>0</v>
      </c>
      <c r="O237" s="176">
        <f t="shared" si="17"/>
        <v>0</v>
      </c>
    </row>
    <row r="238" spans="1:17">
      <c r="A238" s="112" t="s">
        <v>395</v>
      </c>
      <c r="B238" s="156" t="s">
        <v>193</v>
      </c>
      <c r="C238" s="156" t="s">
        <v>200</v>
      </c>
      <c r="D238" s="156" t="s">
        <v>202</v>
      </c>
      <c r="E238" s="156" t="s">
        <v>386</v>
      </c>
      <c r="F238" s="112" t="s">
        <v>395</v>
      </c>
      <c r="G238" s="358" t="s">
        <v>480</v>
      </c>
      <c r="H238" s="113"/>
      <c r="I238" s="125" t="s">
        <v>201</v>
      </c>
      <c r="J238" s="126"/>
      <c r="K238" s="127">
        <v>350</v>
      </c>
      <c r="L238" s="142"/>
      <c r="M238" s="176">
        <f t="shared" si="18"/>
        <v>0</v>
      </c>
      <c r="N238" s="176">
        <f t="shared" si="13"/>
        <v>0</v>
      </c>
      <c r="O238" s="176">
        <f t="shared" si="17"/>
        <v>0</v>
      </c>
    </row>
    <row r="239" spans="1:17">
      <c r="A239" s="112" t="s">
        <v>396</v>
      </c>
      <c r="B239" s="156" t="s">
        <v>193</v>
      </c>
      <c r="C239" s="156" t="s">
        <v>200</v>
      </c>
      <c r="D239" s="156" t="s">
        <v>202</v>
      </c>
      <c r="E239" s="156" t="s">
        <v>386</v>
      </c>
      <c r="F239" s="112" t="s">
        <v>396</v>
      </c>
      <c r="G239" s="162"/>
      <c r="H239" s="113"/>
      <c r="I239" s="125"/>
      <c r="J239" s="127"/>
      <c r="K239" s="127"/>
      <c r="L239" s="142"/>
      <c r="M239" s="176">
        <f>J239*K239</f>
        <v>0</v>
      </c>
      <c r="N239" s="176">
        <f t="shared" si="13"/>
        <v>0</v>
      </c>
      <c r="O239" s="176">
        <f t="shared" si="17"/>
        <v>0</v>
      </c>
    </row>
    <row r="240" spans="1:17">
      <c r="A240" s="140" t="s">
        <v>397</v>
      </c>
      <c r="B240" s="156"/>
      <c r="C240" s="156"/>
      <c r="D240" s="156"/>
      <c r="E240" s="156" t="s">
        <v>386</v>
      </c>
      <c r="F240" s="140" t="s">
        <v>397</v>
      </c>
      <c r="G240" s="141" t="s">
        <v>15</v>
      </c>
      <c r="H240" s="113"/>
      <c r="I240" s="127"/>
      <c r="J240" s="127"/>
      <c r="K240" s="127"/>
      <c r="L240" s="142"/>
      <c r="M240" s="176">
        <f t="shared" ref="M240:M303" si="19">J240*K240</f>
        <v>0</v>
      </c>
      <c r="N240" s="176">
        <f t="shared" si="13"/>
        <v>0</v>
      </c>
      <c r="O240" s="176">
        <f t="shared" si="17"/>
        <v>0</v>
      </c>
    </row>
    <row r="241" spans="1:15">
      <c r="A241" s="140"/>
      <c r="B241" s="156" t="s">
        <v>149</v>
      </c>
      <c r="C241" s="156" t="s">
        <v>204</v>
      </c>
      <c r="D241" s="156" t="s">
        <v>202</v>
      </c>
      <c r="E241" s="156" t="s">
        <v>386</v>
      </c>
      <c r="F241" s="112" t="s">
        <v>398</v>
      </c>
      <c r="G241" s="141"/>
      <c r="H241" s="113"/>
      <c r="I241" s="127" t="s">
        <v>20</v>
      </c>
      <c r="J241" s="127">
        <v>0</v>
      </c>
      <c r="K241" s="127"/>
      <c r="L241" s="142">
        <v>0</v>
      </c>
      <c r="M241" s="176">
        <f t="shared" si="19"/>
        <v>0</v>
      </c>
      <c r="N241" s="176">
        <f t="shared" si="13"/>
        <v>0</v>
      </c>
      <c r="O241" s="176">
        <f t="shared" si="17"/>
        <v>0</v>
      </c>
    </row>
    <row r="242" spans="1:15">
      <c r="A242" s="140"/>
      <c r="B242" s="156" t="s">
        <v>149</v>
      </c>
      <c r="C242" s="156" t="s">
        <v>204</v>
      </c>
      <c r="D242" s="156" t="s">
        <v>202</v>
      </c>
      <c r="E242" s="156" t="s">
        <v>386</v>
      </c>
      <c r="F242" s="112" t="s">
        <v>399</v>
      </c>
      <c r="G242" s="141"/>
      <c r="H242" s="113"/>
      <c r="I242" s="127" t="s">
        <v>20</v>
      </c>
      <c r="J242" s="127">
        <v>0</v>
      </c>
      <c r="K242" s="127"/>
      <c r="L242" s="142">
        <v>0</v>
      </c>
      <c r="M242" s="176">
        <f t="shared" si="19"/>
        <v>0</v>
      </c>
      <c r="N242" s="176">
        <f t="shared" si="13"/>
        <v>0</v>
      </c>
      <c r="O242" s="176">
        <f t="shared" si="17"/>
        <v>0</v>
      </c>
    </row>
    <row r="243" spans="1:15">
      <c r="A243" s="140"/>
      <c r="B243" s="156" t="s">
        <v>149</v>
      </c>
      <c r="C243" s="156" t="s">
        <v>204</v>
      </c>
      <c r="D243" s="156" t="s">
        <v>202</v>
      </c>
      <c r="E243" s="156" t="s">
        <v>386</v>
      </c>
      <c r="F243" s="112" t="s">
        <v>400</v>
      </c>
      <c r="G243" s="141"/>
      <c r="H243" s="113"/>
      <c r="I243" s="127" t="s">
        <v>20</v>
      </c>
      <c r="J243" s="127">
        <v>0</v>
      </c>
      <c r="K243" s="127"/>
      <c r="L243" s="142">
        <v>0</v>
      </c>
      <c r="M243" s="176">
        <f t="shared" si="19"/>
        <v>0</v>
      </c>
      <c r="N243" s="176">
        <f t="shared" si="13"/>
        <v>0</v>
      </c>
      <c r="O243" s="176">
        <f t="shared" si="17"/>
        <v>0</v>
      </c>
    </row>
    <row r="244" spans="1:15">
      <c r="A244" s="140"/>
      <c r="B244" s="156" t="s">
        <v>149</v>
      </c>
      <c r="C244" s="156" t="s">
        <v>204</v>
      </c>
      <c r="D244" s="156" t="s">
        <v>202</v>
      </c>
      <c r="E244" s="156" t="s">
        <v>386</v>
      </c>
      <c r="F244" s="112" t="s">
        <v>519</v>
      </c>
      <c r="G244" s="141"/>
      <c r="H244" s="113"/>
      <c r="I244" s="127" t="s">
        <v>20</v>
      </c>
      <c r="J244" s="127">
        <v>0</v>
      </c>
      <c r="K244" s="127"/>
      <c r="L244" s="142">
        <v>0</v>
      </c>
      <c r="M244" s="176">
        <f t="shared" si="19"/>
        <v>0</v>
      </c>
      <c r="N244" s="176">
        <f t="shared" si="13"/>
        <v>0</v>
      </c>
      <c r="O244" s="176">
        <f t="shared" si="17"/>
        <v>0</v>
      </c>
    </row>
    <row r="245" spans="1:15">
      <c r="A245" s="140"/>
      <c r="B245" s="156" t="s">
        <v>149</v>
      </c>
      <c r="C245" s="156" t="s">
        <v>204</v>
      </c>
      <c r="D245" s="156" t="s">
        <v>202</v>
      </c>
      <c r="E245" s="156" t="s">
        <v>386</v>
      </c>
      <c r="F245" s="112" t="s">
        <v>520</v>
      </c>
      <c r="G245" s="141"/>
      <c r="H245" s="113"/>
      <c r="I245" s="127" t="s">
        <v>20</v>
      </c>
      <c r="J245" s="127">
        <v>0</v>
      </c>
      <c r="K245" s="127"/>
      <c r="L245" s="142">
        <v>0</v>
      </c>
      <c r="M245" s="176">
        <f t="shared" si="19"/>
        <v>0</v>
      </c>
      <c r="N245" s="176">
        <f t="shared" si="13"/>
        <v>0</v>
      </c>
      <c r="O245" s="176">
        <f t="shared" si="17"/>
        <v>0</v>
      </c>
    </row>
    <row r="246" spans="1:15">
      <c r="A246" s="140"/>
      <c r="B246" s="156" t="s">
        <v>149</v>
      </c>
      <c r="C246" s="156" t="s">
        <v>204</v>
      </c>
      <c r="D246" s="156" t="s">
        <v>202</v>
      </c>
      <c r="E246" s="156" t="s">
        <v>386</v>
      </c>
      <c r="F246" s="112" t="s">
        <v>521</v>
      </c>
      <c r="G246" s="141"/>
      <c r="H246" s="113"/>
      <c r="I246" s="127" t="s">
        <v>20</v>
      </c>
      <c r="J246" s="127">
        <v>0</v>
      </c>
      <c r="K246" s="127"/>
      <c r="L246" s="142">
        <v>0</v>
      </c>
      <c r="M246" s="176">
        <f t="shared" si="19"/>
        <v>0</v>
      </c>
      <c r="N246" s="176">
        <f t="shared" si="13"/>
        <v>0</v>
      </c>
      <c r="O246" s="176">
        <f t="shared" si="17"/>
        <v>0</v>
      </c>
    </row>
    <row r="247" spans="1:15">
      <c r="A247" s="140"/>
      <c r="B247" s="156" t="s">
        <v>149</v>
      </c>
      <c r="C247" s="156" t="s">
        <v>204</v>
      </c>
      <c r="D247" s="156" t="s">
        <v>202</v>
      </c>
      <c r="E247" s="156" t="s">
        <v>386</v>
      </c>
      <c r="F247" s="112" t="s">
        <v>522</v>
      </c>
      <c r="G247" s="141"/>
      <c r="H247" s="174"/>
      <c r="I247" s="127" t="s">
        <v>20</v>
      </c>
      <c r="J247" s="127">
        <v>0</v>
      </c>
      <c r="K247" s="127"/>
      <c r="L247" s="142">
        <v>0</v>
      </c>
      <c r="M247" s="176">
        <f t="shared" si="19"/>
        <v>0</v>
      </c>
      <c r="N247" s="176">
        <f t="shared" si="13"/>
        <v>0</v>
      </c>
      <c r="O247" s="176">
        <f t="shared" si="17"/>
        <v>0</v>
      </c>
    </row>
    <row r="248" spans="1:15">
      <c r="A248" s="140"/>
      <c r="B248" s="156" t="s">
        <v>149</v>
      </c>
      <c r="C248" s="156" t="s">
        <v>204</v>
      </c>
      <c r="D248" s="156" t="s">
        <v>202</v>
      </c>
      <c r="E248" s="156" t="s">
        <v>386</v>
      </c>
      <c r="F248" s="112" t="s">
        <v>523</v>
      </c>
      <c r="G248" s="141"/>
      <c r="H248" s="113"/>
      <c r="I248" s="127" t="s">
        <v>20</v>
      </c>
      <c r="J248" s="127">
        <v>0</v>
      </c>
      <c r="K248" s="127"/>
      <c r="L248" s="142">
        <v>0</v>
      </c>
      <c r="M248" s="176">
        <f t="shared" si="19"/>
        <v>0</v>
      </c>
      <c r="N248" s="176">
        <f t="shared" si="13"/>
        <v>0</v>
      </c>
      <c r="O248" s="176">
        <f t="shared" si="17"/>
        <v>0</v>
      </c>
    </row>
    <row r="249" spans="1:15">
      <c r="A249" s="140"/>
      <c r="B249" s="156" t="s">
        <v>149</v>
      </c>
      <c r="C249" s="156" t="s">
        <v>204</v>
      </c>
      <c r="D249" s="156" t="s">
        <v>202</v>
      </c>
      <c r="E249" s="156" t="s">
        <v>386</v>
      </c>
      <c r="F249" s="112" t="s">
        <v>524</v>
      </c>
      <c r="G249" s="141"/>
      <c r="H249" s="113"/>
      <c r="I249" s="127" t="s">
        <v>20</v>
      </c>
      <c r="J249" s="127">
        <v>0</v>
      </c>
      <c r="K249" s="127"/>
      <c r="L249" s="142">
        <v>0</v>
      </c>
      <c r="M249" s="176">
        <f t="shared" si="19"/>
        <v>0</v>
      </c>
      <c r="N249" s="176">
        <f t="shared" si="13"/>
        <v>0</v>
      </c>
      <c r="O249" s="176">
        <f t="shared" si="17"/>
        <v>0</v>
      </c>
    </row>
    <row r="250" spans="1:15">
      <c r="A250" s="140"/>
      <c r="B250" s="156" t="s">
        <v>149</v>
      </c>
      <c r="C250" s="156" t="s">
        <v>204</v>
      </c>
      <c r="D250" s="156" t="s">
        <v>202</v>
      </c>
      <c r="E250" s="156" t="s">
        <v>386</v>
      </c>
      <c r="F250" s="112" t="s">
        <v>525</v>
      </c>
      <c r="G250" s="141"/>
      <c r="H250" s="113"/>
      <c r="I250" s="127" t="s">
        <v>20</v>
      </c>
      <c r="J250" s="127">
        <v>0</v>
      </c>
      <c r="K250" s="127"/>
      <c r="L250" s="142">
        <v>0</v>
      </c>
      <c r="M250" s="176">
        <f t="shared" si="19"/>
        <v>0</v>
      </c>
      <c r="N250" s="176">
        <f t="shared" si="13"/>
        <v>0</v>
      </c>
      <c r="O250" s="176">
        <f t="shared" si="17"/>
        <v>0</v>
      </c>
    </row>
    <row r="251" spans="1:15">
      <c r="A251" s="140"/>
      <c r="B251" s="156" t="s">
        <v>149</v>
      </c>
      <c r="C251" s="156" t="s">
        <v>204</v>
      </c>
      <c r="D251" s="156" t="s">
        <v>202</v>
      </c>
      <c r="E251" s="156" t="s">
        <v>386</v>
      </c>
      <c r="F251" s="112" t="s">
        <v>526</v>
      </c>
      <c r="G251" s="141"/>
      <c r="H251" s="113"/>
      <c r="I251" s="127" t="s">
        <v>20</v>
      </c>
      <c r="J251" s="127">
        <v>0</v>
      </c>
      <c r="K251" s="127"/>
      <c r="L251" s="142">
        <v>0</v>
      </c>
      <c r="M251" s="176">
        <f t="shared" si="19"/>
        <v>0</v>
      </c>
      <c r="N251" s="176">
        <f t="shared" si="13"/>
        <v>0</v>
      </c>
      <c r="O251" s="176">
        <f t="shared" si="17"/>
        <v>0</v>
      </c>
    </row>
    <row r="252" spans="1:15">
      <c r="A252" s="140"/>
      <c r="B252" s="156" t="s">
        <v>149</v>
      </c>
      <c r="C252" s="156" t="s">
        <v>204</v>
      </c>
      <c r="D252" s="156" t="s">
        <v>202</v>
      </c>
      <c r="E252" s="156" t="s">
        <v>386</v>
      </c>
      <c r="F252" s="112" t="s">
        <v>527</v>
      </c>
      <c r="G252" s="141"/>
      <c r="H252" s="113"/>
      <c r="I252" s="127" t="s">
        <v>20</v>
      </c>
      <c r="J252" s="127">
        <v>0</v>
      </c>
      <c r="K252" s="127"/>
      <c r="L252" s="142">
        <v>0</v>
      </c>
      <c r="M252" s="176">
        <f t="shared" si="19"/>
        <v>0</v>
      </c>
      <c r="N252" s="176">
        <f t="shared" si="13"/>
        <v>0</v>
      </c>
      <c r="O252" s="176">
        <f t="shared" si="17"/>
        <v>0</v>
      </c>
    </row>
    <row r="253" spans="1:15">
      <c r="A253" s="140"/>
      <c r="B253" s="156" t="s">
        <v>149</v>
      </c>
      <c r="C253" s="156" t="s">
        <v>204</v>
      </c>
      <c r="D253" s="156" t="s">
        <v>202</v>
      </c>
      <c r="E253" s="156" t="s">
        <v>386</v>
      </c>
      <c r="F253" s="112" t="s">
        <v>528</v>
      </c>
      <c r="G253" s="141"/>
      <c r="H253" s="113"/>
      <c r="I253" s="127" t="s">
        <v>20</v>
      </c>
      <c r="J253" s="127">
        <v>0</v>
      </c>
      <c r="K253" s="127"/>
      <c r="L253" s="142">
        <v>0</v>
      </c>
      <c r="M253" s="176">
        <f t="shared" si="19"/>
        <v>0</v>
      </c>
      <c r="N253" s="176">
        <f t="shared" si="13"/>
        <v>0</v>
      </c>
      <c r="O253" s="176">
        <f t="shared" si="17"/>
        <v>0</v>
      </c>
    </row>
    <row r="254" spans="1:15">
      <c r="A254" s="140"/>
      <c r="B254" s="156" t="s">
        <v>149</v>
      </c>
      <c r="C254" s="156" t="s">
        <v>204</v>
      </c>
      <c r="D254" s="156" t="s">
        <v>202</v>
      </c>
      <c r="E254" s="156" t="s">
        <v>386</v>
      </c>
      <c r="F254" s="112" t="s">
        <v>529</v>
      </c>
      <c r="G254" s="141"/>
      <c r="H254" s="113"/>
      <c r="I254" s="127" t="s">
        <v>20</v>
      </c>
      <c r="J254" s="127">
        <v>0</v>
      </c>
      <c r="K254" s="127"/>
      <c r="L254" s="142">
        <v>0</v>
      </c>
      <c r="M254" s="176">
        <f t="shared" si="19"/>
        <v>0</v>
      </c>
      <c r="N254" s="176">
        <f t="shared" si="13"/>
        <v>0</v>
      </c>
      <c r="O254" s="176">
        <f t="shared" si="17"/>
        <v>0</v>
      </c>
    </row>
    <row r="255" spans="1:15">
      <c r="A255" s="140"/>
      <c r="B255" s="156" t="s">
        <v>149</v>
      </c>
      <c r="C255" s="156" t="s">
        <v>204</v>
      </c>
      <c r="D255" s="156" t="s">
        <v>202</v>
      </c>
      <c r="E255" s="156" t="s">
        <v>386</v>
      </c>
      <c r="F255" s="112" t="s">
        <v>530</v>
      </c>
      <c r="G255" s="141"/>
      <c r="H255" s="174"/>
      <c r="I255" s="127" t="s">
        <v>20</v>
      </c>
      <c r="J255" s="127">
        <v>0</v>
      </c>
      <c r="K255" s="127"/>
      <c r="L255" s="142">
        <v>0</v>
      </c>
      <c r="M255" s="176">
        <f t="shared" si="19"/>
        <v>0</v>
      </c>
      <c r="N255" s="176">
        <f t="shared" si="13"/>
        <v>0</v>
      </c>
      <c r="O255" s="176">
        <f t="shared" si="17"/>
        <v>0</v>
      </c>
    </row>
    <row r="256" spans="1:15">
      <c r="A256" s="140"/>
      <c r="B256" s="156" t="s">
        <v>149</v>
      </c>
      <c r="C256" s="156" t="s">
        <v>204</v>
      </c>
      <c r="D256" s="156" t="s">
        <v>202</v>
      </c>
      <c r="E256" s="156" t="s">
        <v>386</v>
      </c>
      <c r="F256" s="112" t="s">
        <v>531</v>
      </c>
      <c r="G256" s="141"/>
      <c r="H256" s="113"/>
      <c r="I256" s="127" t="s">
        <v>20</v>
      </c>
      <c r="J256" s="127">
        <v>0</v>
      </c>
      <c r="K256" s="127"/>
      <c r="L256" s="142">
        <v>0</v>
      </c>
      <c r="M256" s="176">
        <f t="shared" si="19"/>
        <v>0</v>
      </c>
      <c r="N256" s="176">
        <f t="shared" si="13"/>
        <v>0</v>
      </c>
      <c r="O256" s="176">
        <f t="shared" si="17"/>
        <v>0</v>
      </c>
    </row>
    <row r="257" spans="1:15">
      <c r="A257" s="140"/>
      <c r="B257" s="156"/>
      <c r="C257" s="156"/>
      <c r="D257" s="156"/>
      <c r="E257" s="156"/>
      <c r="F257" s="112" t="s">
        <v>532</v>
      </c>
      <c r="G257" s="141"/>
      <c r="H257" s="113"/>
      <c r="I257" s="127" t="s">
        <v>20</v>
      </c>
      <c r="J257" s="127">
        <v>0</v>
      </c>
      <c r="K257" s="127"/>
      <c r="L257" s="142">
        <v>0</v>
      </c>
      <c r="M257" s="176">
        <f t="shared" si="19"/>
        <v>0</v>
      </c>
      <c r="N257" s="176">
        <f t="shared" si="13"/>
        <v>0</v>
      </c>
      <c r="O257" s="176">
        <f t="shared" si="17"/>
        <v>0</v>
      </c>
    </row>
    <row r="258" spans="1:15">
      <c r="A258" s="140"/>
      <c r="B258" s="156"/>
      <c r="C258" s="156"/>
      <c r="D258" s="156"/>
      <c r="E258" s="156"/>
      <c r="F258" s="112" t="s">
        <v>533</v>
      </c>
      <c r="G258" s="141"/>
      <c r="H258" s="113"/>
      <c r="I258" s="127" t="s">
        <v>20</v>
      </c>
      <c r="J258" s="127">
        <v>0</v>
      </c>
      <c r="K258" s="127"/>
      <c r="L258" s="142">
        <v>0</v>
      </c>
      <c r="M258" s="176">
        <f t="shared" si="19"/>
        <v>0</v>
      </c>
      <c r="N258" s="176">
        <f t="shared" si="13"/>
        <v>0</v>
      </c>
      <c r="O258" s="176">
        <f t="shared" si="17"/>
        <v>0</v>
      </c>
    </row>
    <row r="259" spans="1:15">
      <c r="A259" s="140"/>
      <c r="B259" s="156"/>
      <c r="C259" s="156"/>
      <c r="D259" s="156"/>
      <c r="E259" s="156"/>
      <c r="F259" s="112" t="s">
        <v>534</v>
      </c>
      <c r="G259" s="141"/>
      <c r="H259" s="113"/>
      <c r="I259" s="127" t="s">
        <v>20</v>
      </c>
      <c r="J259" s="127">
        <v>0</v>
      </c>
      <c r="K259" s="127"/>
      <c r="L259" s="142">
        <v>0</v>
      </c>
      <c r="M259" s="176">
        <f t="shared" si="19"/>
        <v>0</v>
      </c>
      <c r="N259" s="176">
        <f t="shared" si="13"/>
        <v>0</v>
      </c>
      <c r="O259" s="176">
        <f t="shared" si="17"/>
        <v>0</v>
      </c>
    </row>
    <row r="260" spans="1:15">
      <c r="A260" s="140"/>
      <c r="B260" s="156"/>
      <c r="C260" s="156"/>
      <c r="D260" s="156"/>
      <c r="E260" s="156"/>
      <c r="F260" s="112" t="s">
        <v>684</v>
      </c>
      <c r="G260" s="141"/>
      <c r="H260" s="113"/>
      <c r="I260" s="127" t="s">
        <v>20</v>
      </c>
      <c r="J260" s="127">
        <v>0</v>
      </c>
      <c r="K260" s="127"/>
      <c r="L260" s="142">
        <v>0</v>
      </c>
      <c r="M260" s="176">
        <f t="shared" si="19"/>
        <v>0</v>
      </c>
      <c r="N260" s="176">
        <f t="shared" si="13"/>
        <v>0</v>
      </c>
      <c r="O260" s="176">
        <f t="shared" si="17"/>
        <v>0</v>
      </c>
    </row>
    <row r="261" spans="1:15">
      <c r="A261" s="140"/>
      <c r="B261" s="156"/>
      <c r="C261" s="156"/>
      <c r="D261" s="156"/>
      <c r="E261" s="156"/>
      <c r="F261" s="112" t="s">
        <v>685</v>
      </c>
      <c r="G261" s="141"/>
      <c r="H261" s="113"/>
      <c r="I261" s="127" t="s">
        <v>20</v>
      </c>
      <c r="J261" s="127">
        <v>0</v>
      </c>
      <c r="K261" s="127"/>
      <c r="L261" s="142">
        <v>0</v>
      </c>
      <c r="M261" s="176">
        <f t="shared" si="19"/>
        <v>0</v>
      </c>
      <c r="N261" s="176">
        <f t="shared" si="13"/>
        <v>0</v>
      </c>
      <c r="O261" s="176">
        <f t="shared" si="17"/>
        <v>0</v>
      </c>
    </row>
    <row r="262" spans="1:15">
      <c r="A262" s="140"/>
      <c r="B262" s="156"/>
      <c r="C262" s="156"/>
      <c r="D262" s="156"/>
      <c r="E262" s="156"/>
      <c r="F262" s="112" t="s">
        <v>686</v>
      </c>
      <c r="G262" s="141"/>
      <c r="H262" s="113"/>
      <c r="I262" s="127" t="s">
        <v>20</v>
      </c>
      <c r="J262" s="127">
        <v>0</v>
      </c>
      <c r="K262" s="127"/>
      <c r="L262" s="142">
        <v>0</v>
      </c>
      <c r="M262" s="176">
        <f t="shared" si="19"/>
        <v>0</v>
      </c>
      <c r="N262" s="176">
        <f t="shared" si="13"/>
        <v>0</v>
      </c>
      <c r="O262" s="176">
        <f t="shared" si="17"/>
        <v>0</v>
      </c>
    </row>
    <row r="263" spans="1:15">
      <c r="A263" s="140"/>
      <c r="B263" s="156"/>
      <c r="C263" s="156"/>
      <c r="D263" s="156"/>
      <c r="E263" s="156"/>
      <c r="F263" s="112" t="s">
        <v>687</v>
      </c>
      <c r="G263" s="141"/>
      <c r="H263" s="113"/>
      <c r="I263" s="127" t="s">
        <v>20</v>
      </c>
      <c r="J263" s="127">
        <v>0</v>
      </c>
      <c r="K263" s="127"/>
      <c r="L263" s="142">
        <v>0</v>
      </c>
      <c r="M263" s="176">
        <f t="shared" si="19"/>
        <v>0</v>
      </c>
      <c r="N263" s="176">
        <f t="shared" si="13"/>
        <v>0</v>
      </c>
      <c r="O263" s="176">
        <f t="shared" si="17"/>
        <v>0</v>
      </c>
    </row>
    <row r="264" spans="1:15">
      <c r="A264" s="140"/>
      <c r="B264" s="156"/>
      <c r="C264" s="156"/>
      <c r="D264" s="156"/>
      <c r="E264" s="156"/>
      <c r="F264" s="112" t="s">
        <v>688</v>
      </c>
      <c r="G264" s="141"/>
      <c r="H264" s="113"/>
      <c r="I264" s="127" t="s">
        <v>20</v>
      </c>
      <c r="J264" s="127">
        <v>0</v>
      </c>
      <c r="K264" s="127"/>
      <c r="L264" s="142">
        <v>0</v>
      </c>
      <c r="M264" s="176">
        <f t="shared" si="19"/>
        <v>0</v>
      </c>
      <c r="N264" s="176">
        <f t="shared" si="13"/>
        <v>0</v>
      </c>
      <c r="O264" s="176">
        <f t="shared" si="17"/>
        <v>0</v>
      </c>
    </row>
    <row r="265" spans="1:15">
      <c r="A265" s="140"/>
      <c r="B265" s="156"/>
      <c r="C265" s="156"/>
      <c r="D265" s="156"/>
      <c r="E265" s="156"/>
      <c r="F265" s="112" t="s">
        <v>689</v>
      </c>
      <c r="G265" s="141"/>
      <c r="H265" s="113"/>
      <c r="I265" s="127" t="s">
        <v>20</v>
      </c>
      <c r="J265" s="127">
        <v>0</v>
      </c>
      <c r="K265" s="127"/>
      <c r="L265" s="142">
        <v>0</v>
      </c>
      <c r="M265" s="176">
        <f t="shared" si="19"/>
        <v>0</v>
      </c>
      <c r="N265" s="176">
        <f t="shared" ref="N265:N278" si="20">J265*L265</f>
        <v>0</v>
      </c>
      <c r="O265" s="176">
        <f t="shared" si="17"/>
        <v>0</v>
      </c>
    </row>
    <row r="266" spans="1:15">
      <c r="A266" s="140"/>
      <c r="B266" s="156"/>
      <c r="C266" s="156"/>
      <c r="D266" s="156"/>
      <c r="E266" s="156"/>
      <c r="F266" s="112" t="s">
        <v>690</v>
      </c>
      <c r="G266" s="141"/>
      <c r="H266" s="113"/>
      <c r="I266" s="127" t="s">
        <v>20</v>
      </c>
      <c r="J266" s="127">
        <v>0</v>
      </c>
      <c r="K266" s="127"/>
      <c r="L266" s="142">
        <v>0</v>
      </c>
      <c r="M266" s="176">
        <f t="shared" si="19"/>
        <v>0</v>
      </c>
      <c r="N266" s="176">
        <f t="shared" si="20"/>
        <v>0</v>
      </c>
      <c r="O266" s="176">
        <f t="shared" si="17"/>
        <v>0</v>
      </c>
    </row>
    <row r="267" spans="1:15">
      <c r="A267" s="140"/>
      <c r="B267" s="156"/>
      <c r="C267" s="156"/>
      <c r="D267" s="156"/>
      <c r="E267" s="156"/>
      <c r="F267" s="112" t="s">
        <v>691</v>
      </c>
      <c r="G267" s="141"/>
      <c r="H267" s="113"/>
      <c r="I267" s="127" t="s">
        <v>20</v>
      </c>
      <c r="J267" s="127">
        <v>0</v>
      </c>
      <c r="K267" s="127"/>
      <c r="L267" s="142">
        <v>0</v>
      </c>
      <c r="M267" s="176">
        <f t="shared" si="19"/>
        <v>0</v>
      </c>
      <c r="N267" s="176">
        <f t="shared" si="20"/>
        <v>0</v>
      </c>
      <c r="O267" s="176">
        <f t="shared" si="17"/>
        <v>0</v>
      </c>
    </row>
    <row r="268" spans="1:15">
      <c r="A268" s="140"/>
      <c r="B268" s="156"/>
      <c r="C268" s="156"/>
      <c r="D268" s="156"/>
      <c r="E268" s="156"/>
      <c r="F268" s="112" t="s">
        <v>692</v>
      </c>
      <c r="G268" s="141"/>
      <c r="H268" s="113"/>
      <c r="I268" s="127" t="s">
        <v>20</v>
      </c>
      <c r="J268" s="127">
        <v>0</v>
      </c>
      <c r="K268" s="127"/>
      <c r="L268" s="142">
        <v>0</v>
      </c>
      <c r="M268" s="176">
        <f t="shared" si="19"/>
        <v>0</v>
      </c>
      <c r="N268" s="176">
        <f t="shared" si="20"/>
        <v>0</v>
      </c>
      <c r="O268" s="176">
        <f t="shared" si="17"/>
        <v>0</v>
      </c>
    </row>
    <row r="269" spans="1:15">
      <c r="A269" s="140"/>
      <c r="B269" s="156"/>
      <c r="C269" s="156"/>
      <c r="D269" s="156"/>
      <c r="E269" s="156"/>
      <c r="F269" s="112" t="s">
        <v>693</v>
      </c>
      <c r="G269" s="141"/>
      <c r="H269" s="113"/>
      <c r="I269" s="127" t="s">
        <v>20</v>
      </c>
      <c r="J269" s="127">
        <v>0</v>
      </c>
      <c r="K269" s="127"/>
      <c r="L269" s="142">
        <v>0</v>
      </c>
      <c r="M269" s="176">
        <f t="shared" si="19"/>
        <v>0</v>
      </c>
      <c r="N269" s="176">
        <f t="shared" si="20"/>
        <v>0</v>
      </c>
      <c r="O269" s="176">
        <f t="shared" si="17"/>
        <v>0</v>
      </c>
    </row>
    <row r="270" spans="1:15">
      <c r="A270" s="140"/>
      <c r="B270" s="156"/>
      <c r="C270" s="156"/>
      <c r="D270" s="156"/>
      <c r="E270" s="156"/>
      <c r="F270" s="112" t="s">
        <v>694</v>
      </c>
      <c r="G270" s="141"/>
      <c r="H270" s="113"/>
      <c r="I270" s="127" t="s">
        <v>20</v>
      </c>
      <c r="J270" s="127">
        <v>0</v>
      </c>
      <c r="K270" s="127"/>
      <c r="L270" s="142">
        <v>0</v>
      </c>
      <c r="M270" s="176">
        <f t="shared" si="19"/>
        <v>0</v>
      </c>
      <c r="N270" s="176">
        <f t="shared" si="20"/>
        <v>0</v>
      </c>
      <c r="O270" s="176">
        <f t="shared" si="17"/>
        <v>0</v>
      </c>
    </row>
    <row r="271" spans="1:15">
      <c r="A271" s="140"/>
      <c r="B271" s="156"/>
      <c r="C271" s="156"/>
      <c r="D271" s="156"/>
      <c r="E271" s="156"/>
      <c r="F271" s="112" t="s">
        <v>695</v>
      </c>
      <c r="G271" s="141"/>
      <c r="H271" s="113"/>
      <c r="I271" s="127" t="s">
        <v>20</v>
      </c>
      <c r="J271" s="127">
        <v>0</v>
      </c>
      <c r="K271" s="127"/>
      <c r="L271" s="142">
        <v>0</v>
      </c>
      <c r="M271" s="176">
        <f t="shared" si="19"/>
        <v>0</v>
      </c>
      <c r="N271" s="176">
        <f t="shared" si="20"/>
        <v>0</v>
      </c>
      <c r="O271" s="176">
        <f t="shared" si="17"/>
        <v>0</v>
      </c>
    </row>
    <row r="272" spans="1:15">
      <c r="A272" s="140"/>
      <c r="B272" s="156"/>
      <c r="C272" s="156"/>
      <c r="D272" s="156"/>
      <c r="E272" s="156"/>
      <c r="F272" s="112" t="s">
        <v>696</v>
      </c>
      <c r="G272" s="141"/>
      <c r="H272" s="113"/>
      <c r="I272" s="127" t="s">
        <v>20</v>
      </c>
      <c r="J272" s="127">
        <v>0</v>
      </c>
      <c r="K272" s="127"/>
      <c r="L272" s="142">
        <v>0</v>
      </c>
      <c r="M272" s="176">
        <f t="shared" si="19"/>
        <v>0</v>
      </c>
      <c r="N272" s="176">
        <f t="shared" si="20"/>
        <v>0</v>
      </c>
      <c r="O272" s="176">
        <f t="shared" si="17"/>
        <v>0</v>
      </c>
    </row>
    <row r="273" spans="1:16">
      <c r="A273" s="140"/>
      <c r="B273" s="156"/>
      <c r="C273" s="156"/>
      <c r="D273" s="156"/>
      <c r="E273" s="156"/>
      <c r="F273" s="112" t="s">
        <v>697</v>
      </c>
      <c r="G273" s="141"/>
      <c r="H273" s="113"/>
      <c r="I273" s="127" t="s">
        <v>20</v>
      </c>
      <c r="J273" s="127">
        <v>0</v>
      </c>
      <c r="K273" s="127"/>
      <c r="L273" s="142">
        <v>0</v>
      </c>
      <c r="M273" s="176">
        <f t="shared" si="19"/>
        <v>0</v>
      </c>
      <c r="N273" s="176">
        <f t="shared" si="20"/>
        <v>0</v>
      </c>
      <c r="O273" s="176">
        <f t="shared" si="17"/>
        <v>0</v>
      </c>
    </row>
    <row r="274" spans="1:16">
      <c r="A274" s="140"/>
      <c r="B274" s="156"/>
      <c r="C274" s="156"/>
      <c r="D274" s="156"/>
      <c r="E274" s="156"/>
      <c r="F274" s="112" t="s">
        <v>698</v>
      </c>
      <c r="G274" s="141"/>
      <c r="H274" s="113"/>
      <c r="I274" s="127" t="s">
        <v>20</v>
      </c>
      <c r="J274" s="127">
        <v>0</v>
      </c>
      <c r="K274" s="127"/>
      <c r="L274" s="142">
        <v>0</v>
      </c>
      <c r="M274" s="176">
        <f t="shared" si="19"/>
        <v>0</v>
      </c>
      <c r="N274" s="176">
        <f t="shared" si="20"/>
        <v>0</v>
      </c>
      <c r="O274" s="176">
        <f t="shared" si="17"/>
        <v>0</v>
      </c>
    </row>
    <row r="275" spans="1:16">
      <c r="A275" s="140"/>
      <c r="B275" s="156"/>
      <c r="C275" s="156"/>
      <c r="D275" s="156"/>
      <c r="E275" s="156"/>
      <c r="F275" s="112" t="s">
        <v>699</v>
      </c>
      <c r="G275" s="141"/>
      <c r="H275" s="113"/>
      <c r="I275" s="127" t="s">
        <v>20</v>
      </c>
      <c r="J275" s="127">
        <v>0</v>
      </c>
      <c r="K275" s="127"/>
      <c r="L275" s="142">
        <v>0</v>
      </c>
      <c r="M275" s="176">
        <f t="shared" si="19"/>
        <v>0</v>
      </c>
      <c r="N275" s="176">
        <f t="shared" si="20"/>
        <v>0</v>
      </c>
      <c r="O275" s="176">
        <f t="shared" si="17"/>
        <v>0</v>
      </c>
    </row>
    <row r="276" spans="1:16">
      <c r="A276" s="140"/>
      <c r="B276" s="156"/>
      <c r="C276" s="156"/>
      <c r="D276" s="156"/>
      <c r="E276" s="156"/>
      <c r="F276" s="112" t="s">
        <v>700</v>
      </c>
      <c r="G276" s="141"/>
      <c r="H276" s="113"/>
      <c r="I276" s="127" t="s">
        <v>20</v>
      </c>
      <c r="J276" s="127">
        <v>0</v>
      </c>
      <c r="K276" s="127"/>
      <c r="L276" s="142">
        <v>0</v>
      </c>
      <c r="M276" s="176">
        <f t="shared" si="19"/>
        <v>0</v>
      </c>
      <c r="N276" s="176">
        <f t="shared" si="20"/>
        <v>0</v>
      </c>
      <c r="O276" s="176">
        <f t="shared" si="17"/>
        <v>0</v>
      </c>
    </row>
    <row r="277" spans="1:16">
      <c r="A277" s="140"/>
      <c r="B277" s="156"/>
      <c r="C277" s="156"/>
      <c r="D277" s="156"/>
      <c r="E277" s="156"/>
      <c r="F277" s="112" t="s">
        <v>701</v>
      </c>
      <c r="G277" s="141"/>
      <c r="H277" s="113"/>
      <c r="I277" s="127" t="s">
        <v>295</v>
      </c>
      <c r="J277" s="127">
        <v>0</v>
      </c>
      <c r="K277" s="127"/>
      <c r="L277" s="142">
        <v>0</v>
      </c>
      <c r="M277" s="176">
        <f t="shared" si="19"/>
        <v>0</v>
      </c>
      <c r="N277" s="176">
        <f t="shared" si="20"/>
        <v>0</v>
      </c>
      <c r="O277" s="176">
        <f t="shared" si="17"/>
        <v>0</v>
      </c>
    </row>
    <row r="278" spans="1:16" ht="15.75">
      <c r="A278" s="140"/>
      <c r="B278" s="156"/>
      <c r="C278" s="156"/>
      <c r="D278" s="156"/>
      <c r="E278" s="156"/>
      <c r="F278" s="112" t="s">
        <v>702</v>
      </c>
      <c r="G278" s="141"/>
      <c r="H278" s="113"/>
      <c r="I278" s="127" t="s">
        <v>20</v>
      </c>
      <c r="J278" s="127">
        <v>0</v>
      </c>
      <c r="K278" s="127"/>
      <c r="L278" s="142">
        <v>0</v>
      </c>
      <c r="M278" s="176">
        <f t="shared" si="19"/>
        <v>0</v>
      </c>
      <c r="N278" s="176">
        <f t="shared" si="20"/>
        <v>0</v>
      </c>
      <c r="O278" s="176">
        <f t="shared" si="17"/>
        <v>0</v>
      </c>
      <c r="P278" s="213">
        <f>SUM(O241:O278)</f>
        <v>0</v>
      </c>
    </row>
    <row r="279" spans="1:16">
      <c r="A279" s="351" t="s">
        <v>401</v>
      </c>
      <c r="B279" s="351"/>
      <c r="C279" s="351"/>
      <c r="D279" s="351"/>
      <c r="E279" s="351"/>
      <c r="F279" s="363" t="s">
        <v>401</v>
      </c>
      <c r="G279" s="351" t="s">
        <v>24</v>
      </c>
      <c r="H279" s="145"/>
      <c r="I279" s="364"/>
      <c r="J279" s="364"/>
      <c r="K279" s="364"/>
      <c r="L279" s="364"/>
      <c r="M279" s="364">
        <f t="shared" si="19"/>
        <v>0</v>
      </c>
      <c r="N279" s="364">
        <f>J279*L279</f>
        <v>0</v>
      </c>
      <c r="O279" s="364">
        <f t="shared" si="17"/>
        <v>0</v>
      </c>
    </row>
    <row r="280" spans="1:16">
      <c r="A280" s="140" t="s">
        <v>402</v>
      </c>
      <c r="B280" s="156"/>
      <c r="C280" s="156"/>
      <c r="D280" s="156"/>
      <c r="E280" s="156"/>
      <c r="F280" s="140" t="s">
        <v>402</v>
      </c>
      <c r="G280" s="141"/>
      <c r="H280" s="141"/>
      <c r="I280" s="125"/>
      <c r="J280" s="125"/>
      <c r="K280" s="127"/>
      <c r="L280" s="142"/>
      <c r="M280" s="176">
        <f t="shared" si="19"/>
        <v>0</v>
      </c>
      <c r="N280" s="176"/>
      <c r="O280" s="176"/>
    </row>
    <row r="281" spans="1:16">
      <c r="A281" s="112" t="s">
        <v>403</v>
      </c>
      <c r="B281" s="177" t="s">
        <v>148</v>
      </c>
      <c r="C281" s="156" t="s">
        <v>200</v>
      </c>
      <c r="D281" s="156" t="s">
        <v>202</v>
      </c>
      <c r="E281" s="156" t="s">
        <v>24</v>
      </c>
      <c r="F281" s="112" t="s">
        <v>403</v>
      </c>
      <c r="G281" s="315" t="s">
        <v>24</v>
      </c>
      <c r="H281" s="113"/>
      <c r="I281" s="125">
        <v>0.05</v>
      </c>
      <c r="J281" s="126"/>
      <c r="K281" s="127"/>
      <c r="L281" s="142"/>
      <c r="M281" s="176">
        <f t="shared" si="19"/>
        <v>0</v>
      </c>
      <c r="N281" s="176"/>
      <c r="O281" s="176">
        <f t="shared" ref="O281:O305" si="21">N281+M281</f>
        <v>0</v>
      </c>
    </row>
    <row r="282" spans="1:16">
      <c r="A282" s="112" t="s">
        <v>404</v>
      </c>
      <c r="B282" s="156" t="s">
        <v>193</v>
      </c>
      <c r="C282" s="156" t="s">
        <v>200</v>
      </c>
      <c r="D282" s="156" t="s">
        <v>202</v>
      </c>
      <c r="E282" s="156" t="s">
        <v>24</v>
      </c>
      <c r="F282" s="112" t="s">
        <v>404</v>
      </c>
      <c r="G282" s="315" t="s">
        <v>25</v>
      </c>
      <c r="H282" s="113"/>
      <c r="I282" s="125" t="s">
        <v>26</v>
      </c>
      <c r="J282" s="126"/>
      <c r="K282" s="127"/>
      <c r="L282" s="142"/>
      <c r="M282" s="176">
        <f t="shared" si="19"/>
        <v>0</v>
      </c>
      <c r="N282" s="176"/>
      <c r="O282" s="176">
        <f t="shared" si="21"/>
        <v>0</v>
      </c>
    </row>
    <row r="283" spans="1:16">
      <c r="A283" s="112" t="s">
        <v>405</v>
      </c>
      <c r="B283" s="156" t="s">
        <v>193</v>
      </c>
      <c r="C283" s="156" t="s">
        <v>200</v>
      </c>
      <c r="D283" s="156" t="s">
        <v>202</v>
      </c>
      <c r="E283" s="156" t="s">
        <v>24</v>
      </c>
      <c r="F283" s="112" t="s">
        <v>405</v>
      </c>
      <c r="G283" s="315" t="s">
        <v>27</v>
      </c>
      <c r="H283" s="113"/>
      <c r="I283" s="125">
        <v>5.0000000000000001E-3</v>
      </c>
      <c r="J283" s="126"/>
      <c r="K283" s="127"/>
      <c r="L283" s="142"/>
      <c r="M283" s="176">
        <f t="shared" si="19"/>
        <v>0</v>
      </c>
      <c r="N283" s="176"/>
      <c r="O283" s="176">
        <f t="shared" si="21"/>
        <v>0</v>
      </c>
    </row>
    <row r="284" spans="1:16">
      <c r="A284" s="112" t="s">
        <v>406</v>
      </c>
      <c r="B284" s="177" t="s">
        <v>107</v>
      </c>
      <c r="C284" s="156" t="s">
        <v>200</v>
      </c>
      <c r="D284" s="156" t="s">
        <v>202</v>
      </c>
      <c r="E284" s="156" t="s">
        <v>24</v>
      </c>
      <c r="F284" s="112" t="s">
        <v>406</v>
      </c>
      <c r="G284" s="315" t="s">
        <v>28</v>
      </c>
      <c r="H284" s="113"/>
      <c r="I284" s="125" t="s">
        <v>23</v>
      </c>
      <c r="J284" s="126"/>
      <c r="K284" s="127">
        <v>12240</v>
      </c>
      <c r="L284" s="142"/>
      <c r="M284" s="176">
        <f t="shared" si="19"/>
        <v>0</v>
      </c>
      <c r="N284" s="176"/>
      <c r="O284" s="176">
        <f t="shared" si="21"/>
        <v>0</v>
      </c>
    </row>
    <row r="285" spans="1:16">
      <c r="A285" s="112" t="s">
        <v>407</v>
      </c>
      <c r="B285" s="156"/>
      <c r="C285" s="156" t="s">
        <v>200</v>
      </c>
      <c r="D285" s="156" t="s">
        <v>202</v>
      </c>
      <c r="E285" s="156" t="s">
        <v>24</v>
      </c>
      <c r="F285" s="112" t="s">
        <v>407</v>
      </c>
      <c r="G285" s="315" t="s">
        <v>29</v>
      </c>
      <c r="H285" s="113"/>
      <c r="I285" s="125" t="s">
        <v>23</v>
      </c>
      <c r="J285" s="126"/>
      <c r="K285" s="127"/>
      <c r="L285" s="142"/>
      <c r="M285" s="176">
        <f t="shared" si="19"/>
        <v>0</v>
      </c>
      <c r="N285" s="176"/>
      <c r="O285" s="176">
        <f t="shared" si="21"/>
        <v>0</v>
      </c>
    </row>
    <row r="286" spans="1:16">
      <c r="A286" s="112" t="s">
        <v>408</v>
      </c>
      <c r="B286" s="177" t="s">
        <v>92</v>
      </c>
      <c r="C286" s="156" t="s">
        <v>200</v>
      </c>
      <c r="D286" s="156" t="s">
        <v>202</v>
      </c>
      <c r="E286" s="156" t="s">
        <v>24</v>
      </c>
      <c r="F286" s="112" t="s">
        <v>408</v>
      </c>
      <c r="G286" s="315" t="s">
        <v>30</v>
      </c>
      <c r="H286" s="113"/>
      <c r="I286" s="125" t="s">
        <v>26</v>
      </c>
      <c r="J286" s="126"/>
      <c r="K286" s="127"/>
      <c r="L286" s="142"/>
      <c r="M286" s="176">
        <f t="shared" si="19"/>
        <v>0</v>
      </c>
      <c r="N286" s="176"/>
      <c r="O286" s="176">
        <f t="shared" si="21"/>
        <v>0</v>
      </c>
    </row>
    <row r="287" spans="1:16">
      <c r="A287" s="112" t="s">
        <v>409</v>
      </c>
      <c r="B287" s="177" t="s">
        <v>92</v>
      </c>
      <c r="C287" s="156" t="s">
        <v>200</v>
      </c>
      <c r="D287" s="156" t="s">
        <v>202</v>
      </c>
      <c r="E287" s="156" t="s">
        <v>24</v>
      </c>
      <c r="F287" s="112" t="s">
        <v>409</v>
      </c>
      <c r="G287" s="315" t="s">
        <v>31</v>
      </c>
      <c r="H287" s="113"/>
      <c r="I287" s="125" t="s">
        <v>26</v>
      </c>
      <c r="J287" s="126"/>
      <c r="K287" s="127"/>
      <c r="L287" s="142"/>
      <c r="M287" s="176">
        <f t="shared" si="19"/>
        <v>0</v>
      </c>
      <c r="N287" s="176"/>
      <c r="O287" s="176">
        <f t="shared" si="21"/>
        <v>0</v>
      </c>
    </row>
    <row r="288" spans="1:16">
      <c r="A288" s="112" t="s">
        <v>410</v>
      </c>
      <c r="B288" s="177" t="s">
        <v>32</v>
      </c>
      <c r="C288" s="156" t="s">
        <v>200</v>
      </c>
      <c r="D288" s="156" t="s">
        <v>202</v>
      </c>
      <c r="E288" s="156" t="s">
        <v>24</v>
      </c>
      <c r="F288" s="112" t="s">
        <v>410</v>
      </c>
      <c r="G288" s="315" t="s">
        <v>32</v>
      </c>
      <c r="H288" s="113"/>
      <c r="I288" s="125" t="s">
        <v>26</v>
      </c>
      <c r="J288" s="126"/>
      <c r="K288" s="127"/>
      <c r="L288" s="142"/>
      <c r="M288" s="176">
        <f t="shared" si="19"/>
        <v>0</v>
      </c>
      <c r="N288" s="176"/>
      <c r="O288" s="176">
        <f t="shared" si="21"/>
        <v>0</v>
      </c>
    </row>
    <row r="289" spans="1:15">
      <c r="A289" s="112" t="s">
        <v>411</v>
      </c>
      <c r="B289" s="177" t="s">
        <v>94</v>
      </c>
      <c r="C289" s="156" t="s">
        <v>200</v>
      </c>
      <c r="D289" s="156" t="s">
        <v>202</v>
      </c>
      <c r="E289" s="156" t="s">
        <v>24</v>
      </c>
      <c r="F289" s="112" t="s">
        <v>411</v>
      </c>
      <c r="G289" s="315" t="s">
        <v>33</v>
      </c>
      <c r="H289" s="113"/>
      <c r="I289" s="125" t="s">
        <v>26</v>
      </c>
      <c r="J289" s="126"/>
      <c r="K289" s="127"/>
      <c r="L289" s="142"/>
      <c r="M289" s="176">
        <f t="shared" si="19"/>
        <v>0</v>
      </c>
      <c r="N289" s="176"/>
      <c r="O289" s="176">
        <f t="shared" si="21"/>
        <v>0</v>
      </c>
    </row>
    <row r="290" spans="1:15">
      <c r="A290" s="112" t="s">
        <v>412</v>
      </c>
      <c r="B290" s="178" t="s">
        <v>165</v>
      </c>
      <c r="C290" s="156" t="s">
        <v>200</v>
      </c>
      <c r="D290" s="156" t="s">
        <v>202</v>
      </c>
      <c r="E290" s="156" t="s">
        <v>24</v>
      </c>
      <c r="F290" s="112" t="s">
        <v>412</v>
      </c>
      <c r="G290" s="315" t="s">
        <v>422</v>
      </c>
      <c r="H290" s="113"/>
      <c r="I290" s="125" t="s">
        <v>26</v>
      </c>
      <c r="J290" s="126"/>
      <c r="K290" s="127"/>
      <c r="L290" s="142"/>
      <c r="M290" s="176">
        <f t="shared" si="19"/>
        <v>0</v>
      </c>
      <c r="N290" s="176"/>
      <c r="O290" s="176">
        <f t="shared" si="21"/>
        <v>0</v>
      </c>
    </row>
    <row r="291" spans="1:15">
      <c r="A291" s="112" t="s">
        <v>413</v>
      </c>
      <c r="B291" s="178" t="s">
        <v>165</v>
      </c>
      <c r="C291" s="156" t="s">
        <v>200</v>
      </c>
      <c r="D291" s="156" t="s">
        <v>202</v>
      </c>
      <c r="E291" s="156" t="s">
        <v>24</v>
      </c>
      <c r="F291" s="112" t="s">
        <v>413</v>
      </c>
      <c r="G291" s="315" t="s">
        <v>423</v>
      </c>
      <c r="H291" s="113"/>
      <c r="I291" s="125" t="s">
        <v>26</v>
      </c>
      <c r="J291" s="126"/>
      <c r="K291" s="127"/>
      <c r="L291" s="142"/>
      <c r="M291" s="176">
        <f t="shared" si="19"/>
        <v>0</v>
      </c>
      <c r="N291" s="176"/>
      <c r="O291" s="176">
        <f t="shared" si="21"/>
        <v>0</v>
      </c>
    </row>
    <row r="292" spans="1:15">
      <c r="A292" s="112" t="s">
        <v>414</v>
      </c>
      <c r="B292" s="179" t="s">
        <v>167</v>
      </c>
      <c r="C292" s="156" t="s">
        <v>200</v>
      </c>
      <c r="D292" s="156" t="s">
        <v>202</v>
      </c>
      <c r="E292" s="156" t="s">
        <v>24</v>
      </c>
      <c r="F292" s="112" t="s">
        <v>414</v>
      </c>
      <c r="G292" s="315" t="s">
        <v>167</v>
      </c>
      <c r="H292" s="113"/>
      <c r="I292" s="125" t="s">
        <v>26</v>
      </c>
      <c r="J292" s="126"/>
      <c r="K292" s="127"/>
      <c r="L292" s="142"/>
      <c r="M292" s="176">
        <f t="shared" si="19"/>
        <v>0</v>
      </c>
      <c r="N292" s="176"/>
      <c r="O292" s="176">
        <f t="shared" si="21"/>
        <v>0</v>
      </c>
    </row>
    <row r="293" spans="1:15">
      <c r="A293" s="112" t="s">
        <v>415</v>
      </c>
      <c r="B293" s="156" t="s">
        <v>166</v>
      </c>
      <c r="C293" s="156" t="s">
        <v>200</v>
      </c>
      <c r="D293" s="156" t="s">
        <v>202</v>
      </c>
      <c r="E293" s="156" t="s">
        <v>24</v>
      </c>
      <c r="F293" s="112" t="s">
        <v>415</v>
      </c>
      <c r="G293" s="180" t="s">
        <v>424</v>
      </c>
      <c r="H293" s="113"/>
      <c r="I293" s="125" t="s">
        <v>26</v>
      </c>
      <c r="J293" s="126"/>
      <c r="K293" s="127"/>
      <c r="L293" s="127"/>
      <c r="M293" s="176">
        <f t="shared" si="19"/>
        <v>0</v>
      </c>
      <c r="N293" s="176"/>
      <c r="O293" s="176">
        <f t="shared" si="21"/>
        <v>0</v>
      </c>
    </row>
    <row r="294" spans="1:15">
      <c r="A294" s="112" t="s">
        <v>416</v>
      </c>
      <c r="B294" s="177" t="s">
        <v>91</v>
      </c>
      <c r="C294" s="156" t="s">
        <v>200</v>
      </c>
      <c r="D294" s="156" t="s">
        <v>202</v>
      </c>
      <c r="E294" s="156" t="s">
        <v>24</v>
      </c>
      <c r="F294" s="112" t="s">
        <v>416</v>
      </c>
      <c r="G294" s="180" t="s">
        <v>34</v>
      </c>
      <c r="H294" s="113"/>
      <c r="I294" s="125" t="s">
        <v>35</v>
      </c>
      <c r="J294" s="126"/>
      <c r="K294" s="127"/>
      <c r="L294" s="127"/>
      <c r="M294" s="176">
        <f t="shared" si="19"/>
        <v>0</v>
      </c>
      <c r="N294" s="176"/>
      <c r="O294" s="176">
        <f t="shared" si="21"/>
        <v>0</v>
      </c>
    </row>
    <row r="295" spans="1:15">
      <c r="A295" s="112" t="s">
        <v>417</v>
      </c>
      <c r="B295" s="177" t="s">
        <v>90</v>
      </c>
      <c r="C295" s="156" t="s">
        <v>200</v>
      </c>
      <c r="D295" s="156" t="s">
        <v>202</v>
      </c>
      <c r="E295" s="156" t="s">
        <v>24</v>
      </c>
      <c r="F295" s="112" t="s">
        <v>417</v>
      </c>
      <c r="G295" s="180" t="s">
        <v>36</v>
      </c>
      <c r="H295" s="113"/>
      <c r="I295" s="125" t="s">
        <v>26</v>
      </c>
      <c r="J295" s="126"/>
      <c r="K295" s="127"/>
      <c r="L295" s="127"/>
      <c r="M295" s="176">
        <f t="shared" si="19"/>
        <v>0</v>
      </c>
      <c r="N295" s="176"/>
      <c r="O295" s="176">
        <f t="shared" si="21"/>
        <v>0</v>
      </c>
    </row>
    <row r="296" spans="1:15">
      <c r="A296" s="112" t="s">
        <v>418</v>
      </c>
      <c r="B296" s="177" t="s">
        <v>90</v>
      </c>
      <c r="C296" s="156" t="s">
        <v>200</v>
      </c>
      <c r="D296" s="156" t="s">
        <v>202</v>
      </c>
      <c r="E296" s="156" t="s">
        <v>24</v>
      </c>
      <c r="F296" s="112" t="s">
        <v>418</v>
      </c>
      <c r="G296" s="180" t="s">
        <v>37</v>
      </c>
      <c r="H296" s="113"/>
      <c r="I296" s="125" t="s">
        <v>35</v>
      </c>
      <c r="J296" s="126"/>
      <c r="K296" s="127">
        <v>800</v>
      </c>
      <c r="L296" s="127"/>
      <c r="M296" s="176">
        <f t="shared" si="19"/>
        <v>0</v>
      </c>
      <c r="N296" s="176"/>
      <c r="O296" s="176">
        <f t="shared" si="21"/>
        <v>0</v>
      </c>
    </row>
    <row r="297" spans="1:15">
      <c r="A297" s="112" t="s">
        <v>419</v>
      </c>
      <c r="B297" s="156" t="s">
        <v>194</v>
      </c>
      <c r="C297" s="156" t="s">
        <v>200</v>
      </c>
      <c r="D297" s="156" t="s">
        <v>202</v>
      </c>
      <c r="E297" s="156" t="s">
        <v>24</v>
      </c>
      <c r="F297" s="112" t="s">
        <v>419</v>
      </c>
      <c r="G297" s="180" t="s">
        <v>38</v>
      </c>
      <c r="H297" s="113"/>
      <c r="I297" s="125" t="s">
        <v>35</v>
      </c>
      <c r="J297" s="126"/>
      <c r="K297" s="127"/>
      <c r="L297" s="127"/>
      <c r="M297" s="176">
        <f t="shared" si="19"/>
        <v>0</v>
      </c>
      <c r="N297" s="176"/>
      <c r="O297" s="176">
        <f t="shared" si="21"/>
        <v>0</v>
      </c>
    </row>
    <row r="298" spans="1:15">
      <c r="A298" s="112" t="s">
        <v>420</v>
      </c>
      <c r="B298" s="177" t="s">
        <v>101</v>
      </c>
      <c r="C298" s="156" t="s">
        <v>200</v>
      </c>
      <c r="D298" s="156" t="s">
        <v>202</v>
      </c>
      <c r="E298" s="156" t="s">
        <v>24</v>
      </c>
      <c r="F298" s="112" t="s">
        <v>420</v>
      </c>
      <c r="G298" s="180" t="s">
        <v>39</v>
      </c>
      <c r="H298" s="113"/>
      <c r="I298" s="125">
        <v>0.03</v>
      </c>
      <c r="J298" s="126"/>
      <c r="K298" s="127"/>
      <c r="L298" s="127"/>
      <c r="M298" s="176">
        <f t="shared" si="19"/>
        <v>0</v>
      </c>
      <c r="N298" s="176"/>
      <c r="O298" s="176">
        <f t="shared" si="21"/>
        <v>0</v>
      </c>
    </row>
    <row r="299" spans="1:15">
      <c r="A299" s="112" t="s">
        <v>421</v>
      </c>
      <c r="B299" s="177" t="s">
        <v>196</v>
      </c>
      <c r="C299" s="156" t="s">
        <v>200</v>
      </c>
      <c r="D299" s="156" t="s">
        <v>202</v>
      </c>
      <c r="E299" s="156" t="s">
        <v>24</v>
      </c>
      <c r="F299" s="112" t="s">
        <v>421</v>
      </c>
      <c r="G299" s="180" t="s">
        <v>40</v>
      </c>
      <c r="H299" s="113"/>
      <c r="I299" s="125">
        <v>0.15</v>
      </c>
      <c r="J299" s="126"/>
      <c r="K299" s="127"/>
      <c r="L299" s="127"/>
      <c r="M299" s="176">
        <f t="shared" si="19"/>
        <v>0</v>
      </c>
      <c r="N299" s="176"/>
      <c r="O299" s="176">
        <f t="shared" si="21"/>
        <v>0</v>
      </c>
    </row>
    <row r="300" spans="1:15">
      <c r="A300" s="112" t="s">
        <v>511</v>
      </c>
      <c r="B300" s="177" t="s">
        <v>154</v>
      </c>
      <c r="C300" s="156" t="s">
        <v>200</v>
      </c>
      <c r="D300" s="156" t="s">
        <v>202</v>
      </c>
      <c r="E300" s="156" t="s">
        <v>24</v>
      </c>
      <c r="F300" s="112" t="s">
        <v>511</v>
      </c>
      <c r="G300" s="180" t="s">
        <v>496</v>
      </c>
      <c r="H300" s="113"/>
      <c r="I300" s="125" t="s">
        <v>497</v>
      </c>
      <c r="J300" s="126"/>
      <c r="K300" s="127">
        <f>1500*8</f>
        <v>12000</v>
      </c>
      <c r="L300" s="127"/>
      <c r="M300" s="176">
        <f t="shared" si="19"/>
        <v>0</v>
      </c>
      <c r="N300" s="176"/>
      <c r="O300" s="176">
        <f t="shared" si="21"/>
        <v>0</v>
      </c>
    </row>
    <row r="301" spans="1:15">
      <c r="A301" s="112" t="s">
        <v>512</v>
      </c>
      <c r="B301" s="156" t="s">
        <v>193</v>
      </c>
      <c r="C301" s="156" t="s">
        <v>200</v>
      </c>
      <c r="D301" s="156" t="s">
        <v>202</v>
      </c>
      <c r="E301" s="156" t="s">
        <v>24</v>
      </c>
      <c r="F301" s="112" t="s">
        <v>512</v>
      </c>
      <c r="G301" s="180" t="s">
        <v>498</v>
      </c>
      <c r="H301" s="113"/>
      <c r="I301" s="125" t="s">
        <v>497</v>
      </c>
      <c r="J301" s="126"/>
      <c r="K301" s="127">
        <v>10000</v>
      </c>
      <c r="L301" s="127"/>
      <c r="M301" s="176">
        <f t="shared" si="19"/>
        <v>0</v>
      </c>
      <c r="N301" s="176"/>
      <c r="O301" s="176">
        <f t="shared" si="21"/>
        <v>0</v>
      </c>
    </row>
    <row r="302" spans="1:15">
      <c r="A302" s="112" t="s">
        <v>513</v>
      </c>
      <c r="B302" s="177" t="s">
        <v>148</v>
      </c>
      <c r="C302" s="156" t="s">
        <v>200</v>
      </c>
      <c r="D302" s="156" t="s">
        <v>202</v>
      </c>
      <c r="E302" s="156" t="s">
        <v>24</v>
      </c>
      <c r="F302" s="112" t="s">
        <v>513</v>
      </c>
      <c r="G302" s="180" t="s">
        <v>499</v>
      </c>
      <c r="H302" s="113"/>
      <c r="I302" s="125" t="s">
        <v>497</v>
      </c>
      <c r="J302" s="126"/>
      <c r="K302" s="127">
        <v>10000</v>
      </c>
      <c r="L302" s="127"/>
      <c r="M302" s="176">
        <f t="shared" si="19"/>
        <v>0</v>
      </c>
      <c r="N302" s="176"/>
      <c r="O302" s="176">
        <f t="shared" si="21"/>
        <v>0</v>
      </c>
    </row>
    <row r="303" spans="1:15">
      <c r="A303" s="112" t="s">
        <v>514</v>
      </c>
      <c r="B303" s="177" t="s">
        <v>154</v>
      </c>
      <c r="C303" s="156" t="s">
        <v>200</v>
      </c>
      <c r="D303" s="156" t="s">
        <v>202</v>
      </c>
      <c r="E303" s="156" t="s">
        <v>24</v>
      </c>
      <c r="F303" s="112" t="s">
        <v>514</v>
      </c>
      <c r="G303" s="180" t="s">
        <v>500</v>
      </c>
      <c r="H303" s="113"/>
      <c r="I303" s="125" t="s">
        <v>497</v>
      </c>
      <c r="J303" s="126"/>
      <c r="K303" s="127">
        <v>15000</v>
      </c>
      <c r="L303" s="127"/>
      <c r="M303" s="176">
        <f t="shared" si="19"/>
        <v>0</v>
      </c>
      <c r="N303" s="176"/>
      <c r="O303" s="176">
        <f t="shared" si="21"/>
        <v>0</v>
      </c>
    </row>
    <row r="304" spans="1:15">
      <c r="A304" s="112" t="s">
        <v>515</v>
      </c>
      <c r="B304" s="177" t="s">
        <v>151</v>
      </c>
      <c r="C304" s="156" t="s">
        <v>200</v>
      </c>
      <c r="D304" s="156" t="s">
        <v>202</v>
      </c>
      <c r="E304" s="156" t="s">
        <v>24</v>
      </c>
      <c r="F304" s="112" t="s">
        <v>515</v>
      </c>
      <c r="G304" s="180" t="s">
        <v>501</v>
      </c>
      <c r="H304" s="113"/>
      <c r="I304" s="125" t="s">
        <v>497</v>
      </c>
      <c r="J304" s="126"/>
      <c r="K304" s="127">
        <v>54000</v>
      </c>
      <c r="L304" s="127"/>
      <c r="M304" s="176">
        <f t="shared" ref="M304:M305" si="22">J304*K304</f>
        <v>0</v>
      </c>
      <c r="N304" s="176"/>
      <c r="O304" s="176">
        <f t="shared" si="21"/>
        <v>0</v>
      </c>
    </row>
    <row r="305" spans="1:15">
      <c r="A305" s="112" t="s">
        <v>516</v>
      </c>
      <c r="B305" s="177" t="s">
        <v>191</v>
      </c>
      <c r="C305" s="156" t="s">
        <v>200</v>
      </c>
      <c r="D305" s="156" t="s">
        <v>202</v>
      </c>
      <c r="E305" s="156" t="s">
        <v>24</v>
      </c>
      <c r="F305" s="112" t="s">
        <v>516</v>
      </c>
      <c r="G305" s="180" t="s">
        <v>502</v>
      </c>
      <c r="H305" s="113"/>
      <c r="I305" s="125" t="s">
        <v>497</v>
      </c>
      <c r="J305" s="126"/>
      <c r="K305" s="127">
        <v>50000</v>
      </c>
      <c r="L305" s="127"/>
      <c r="M305" s="176">
        <f t="shared" si="22"/>
        <v>0</v>
      </c>
      <c r="N305" s="176"/>
      <c r="O305" s="176">
        <f t="shared" si="21"/>
        <v>0</v>
      </c>
    </row>
    <row r="306" spans="1:15">
      <c r="G306" s="182"/>
      <c r="H306" s="146"/>
      <c r="I306" s="183"/>
      <c r="K306" s="185"/>
    </row>
    <row r="307" spans="1:15">
      <c r="G307" s="182"/>
      <c r="H307" s="146"/>
      <c r="I307" s="183"/>
      <c r="K307" s="185"/>
    </row>
    <row r="308" spans="1:15">
      <c r="G308" s="153"/>
      <c r="H308" s="146"/>
      <c r="I308" s="186"/>
      <c r="J308" s="186"/>
      <c r="K308" s="186"/>
      <c r="L308" s="186"/>
      <c r="M308" s="186"/>
      <c r="N308" s="186"/>
      <c r="O308" s="186"/>
    </row>
    <row r="309" spans="1:15" ht="13.5" thickBot="1">
      <c r="G309" s="187"/>
      <c r="H309" s="147"/>
      <c r="I309" s="188"/>
      <c r="J309" s="188"/>
      <c r="K309" s="188"/>
      <c r="L309" s="188"/>
      <c r="M309" s="188"/>
      <c r="N309" s="188"/>
      <c r="O309" s="189"/>
    </row>
    <row r="310" spans="1:15" ht="39" thickBot="1">
      <c r="G310" s="190" t="s">
        <v>43</v>
      </c>
      <c r="H310" s="191"/>
      <c r="I310" s="192" t="s">
        <v>45</v>
      </c>
      <c r="J310" s="193" t="s">
        <v>46</v>
      </c>
      <c r="K310" s="193" t="s">
        <v>47</v>
      </c>
      <c r="L310" s="193" t="s">
        <v>48</v>
      </c>
      <c r="M310" s="193" t="s">
        <v>49</v>
      </c>
      <c r="N310" s="193" t="s">
        <v>50</v>
      </c>
      <c r="O310" s="193"/>
    </row>
    <row r="311" spans="1:15" ht="13.5" thickBot="1">
      <c r="G311" s="194">
        <v>1</v>
      </c>
      <c r="H311" s="195"/>
      <c r="I311" s="196">
        <v>3</v>
      </c>
      <c r="J311" s="197">
        <v>4</v>
      </c>
      <c r="K311" s="198">
        <v>5</v>
      </c>
      <c r="L311" s="199">
        <v>6</v>
      </c>
      <c r="M311" s="197">
        <v>7</v>
      </c>
      <c r="N311" s="199">
        <v>8</v>
      </c>
      <c r="O311" s="197">
        <v>9</v>
      </c>
    </row>
    <row r="312" spans="1:15">
      <c r="B312" s="200" t="s">
        <v>21</v>
      </c>
      <c r="G312" s="201"/>
      <c r="H312" s="200"/>
      <c r="I312" s="202" t="s">
        <v>21</v>
      </c>
      <c r="J312" s="203" t="s">
        <v>51</v>
      </c>
      <c r="K312" s="204"/>
      <c r="L312" s="205">
        <v>4000</v>
      </c>
      <c r="M312" s="205">
        <v>1</v>
      </c>
      <c r="N312" s="205">
        <v>1.1499999999999999</v>
      </c>
      <c r="O312" s="205">
        <f t="shared" ref="O312:O318" si="23">K312*L312*N312*M312</f>
        <v>0</v>
      </c>
    </row>
    <row r="313" spans="1:15">
      <c r="B313" s="200" t="s">
        <v>53</v>
      </c>
      <c r="G313" s="201"/>
      <c r="H313" s="200"/>
      <c r="I313" s="202" t="s">
        <v>53</v>
      </c>
      <c r="J313" s="203" t="s">
        <v>51</v>
      </c>
      <c r="K313" s="204"/>
      <c r="L313" s="205">
        <v>1700</v>
      </c>
      <c r="M313" s="205">
        <v>1</v>
      </c>
      <c r="N313" s="205">
        <v>1</v>
      </c>
      <c r="O313" s="205">
        <f>K313*L313*N313*M313</f>
        <v>0</v>
      </c>
    </row>
    <row r="314" spans="1:15">
      <c r="B314" s="200" t="s">
        <v>55</v>
      </c>
      <c r="G314" s="201"/>
      <c r="H314" s="200"/>
      <c r="I314" s="202" t="s">
        <v>56</v>
      </c>
      <c r="J314" s="205" t="s">
        <v>51</v>
      </c>
      <c r="K314" s="204"/>
      <c r="L314" s="205">
        <v>1000</v>
      </c>
      <c r="M314" s="205">
        <v>1</v>
      </c>
      <c r="N314" s="205">
        <v>1.1499999999999999</v>
      </c>
      <c r="O314" s="205">
        <f>K314*L314*N314*M314</f>
        <v>0</v>
      </c>
    </row>
    <row r="315" spans="1:15">
      <c r="B315" s="200" t="s">
        <v>57</v>
      </c>
      <c r="G315" s="201"/>
      <c r="H315" s="200"/>
      <c r="I315" s="202" t="s">
        <v>57</v>
      </c>
      <c r="J315" s="205" t="s">
        <v>51</v>
      </c>
      <c r="K315" s="204"/>
      <c r="L315" s="205">
        <v>400</v>
      </c>
      <c r="M315" s="205">
        <v>1</v>
      </c>
      <c r="N315" s="205">
        <v>1.1499999999999999</v>
      </c>
      <c r="O315" s="205">
        <f>K315*L315*N315*M315</f>
        <v>0</v>
      </c>
    </row>
    <row r="316" spans="1:15">
      <c r="B316" s="200" t="s">
        <v>58</v>
      </c>
      <c r="G316" s="201"/>
      <c r="H316" s="200"/>
      <c r="I316" s="202" t="s">
        <v>58</v>
      </c>
      <c r="J316" s="205" t="s">
        <v>51</v>
      </c>
      <c r="K316" s="204"/>
      <c r="L316" s="205">
        <v>1000</v>
      </c>
      <c r="M316" s="205">
        <v>1</v>
      </c>
      <c r="N316" s="205">
        <v>1</v>
      </c>
      <c r="O316" s="205">
        <f t="shared" si="23"/>
        <v>0</v>
      </c>
    </row>
    <row r="317" spans="1:15">
      <c r="B317" s="200" t="s">
        <v>59</v>
      </c>
      <c r="G317" s="201"/>
      <c r="H317" s="200"/>
      <c r="I317" s="202" t="s">
        <v>59</v>
      </c>
      <c r="J317" s="205" t="s">
        <v>51</v>
      </c>
      <c r="K317" s="204"/>
      <c r="L317" s="205">
        <v>5000</v>
      </c>
      <c r="M317" s="205">
        <v>1</v>
      </c>
      <c r="N317" s="205">
        <v>1</v>
      </c>
      <c r="O317" s="206">
        <f t="shared" si="23"/>
        <v>0</v>
      </c>
    </row>
    <row r="318" spans="1:15">
      <c r="B318" s="200" t="s">
        <v>60</v>
      </c>
      <c r="G318" s="201"/>
      <c r="H318" s="200"/>
      <c r="I318" s="202" t="s">
        <v>61</v>
      </c>
      <c r="J318" s="205" t="s">
        <v>51</v>
      </c>
      <c r="K318" s="204"/>
      <c r="L318" s="205">
        <v>3000</v>
      </c>
      <c r="M318" s="205">
        <v>1</v>
      </c>
      <c r="N318" s="205">
        <v>1</v>
      </c>
      <c r="O318" s="206">
        <f t="shared" si="23"/>
        <v>0</v>
      </c>
    </row>
    <row r="319" spans="1:15" ht="13.5" thickBot="1">
      <c r="G319" s="207"/>
      <c r="H319" s="208"/>
      <c r="I319" s="209" t="s">
        <v>62</v>
      </c>
      <c r="J319" s="210"/>
      <c r="K319" s="211"/>
      <c r="L319" s="211"/>
      <c r="M319" s="211"/>
      <c r="N319" s="211"/>
      <c r="O319" s="211">
        <f>SUM(O312:O318)</f>
        <v>0</v>
      </c>
    </row>
  </sheetData>
  <autoFilter ref="G1:G319" xr:uid="{7F02976A-F999-49BA-9359-4817B327EE5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0F73-F083-4184-A240-F44BF079C14C}">
  <dimension ref="A1:J302"/>
  <sheetViews>
    <sheetView topLeftCell="A156" zoomScale="70" zoomScaleNormal="70" workbookViewId="0">
      <selection activeCell="F92" sqref="F92"/>
    </sheetView>
  </sheetViews>
  <sheetFormatPr defaultColWidth="8.85546875" defaultRowHeight="15.75"/>
  <cols>
    <col min="1" max="1" width="35.7109375" style="268" bestFit="1" customWidth="1"/>
    <col min="2" max="2" width="35.7109375" style="268" customWidth="1"/>
    <col min="3" max="3" width="7.140625" style="269" bestFit="1" customWidth="1"/>
    <col min="4" max="4" width="11.7109375" style="269" customWidth="1"/>
    <col min="5" max="5" width="33.85546875" style="275" bestFit="1" customWidth="1"/>
    <col min="6" max="6" width="18.28515625" style="276" bestFit="1" customWidth="1"/>
    <col min="7" max="7" width="11.85546875" style="272" hidden="1" customWidth="1"/>
    <col min="8" max="8" width="11.28515625" style="272" hidden="1" customWidth="1"/>
    <col min="9" max="9" width="0" style="222" hidden="1" customWidth="1"/>
    <col min="10" max="10" width="10" style="222" hidden="1" customWidth="1"/>
    <col min="11" max="16384" width="8.85546875" style="222"/>
  </cols>
  <sheetData>
    <row r="1" spans="1:8" ht="18.75">
      <c r="A1" s="219"/>
      <c r="B1" s="219"/>
      <c r="C1" s="219"/>
      <c r="D1" s="219"/>
      <c r="E1" s="219"/>
      <c r="F1" s="220"/>
      <c r="G1" s="221"/>
      <c r="H1" s="221"/>
    </row>
    <row r="2" spans="1:8" ht="17.45" customHeight="1">
      <c r="A2" s="223"/>
      <c r="B2" s="223"/>
      <c r="C2" s="223"/>
      <c r="D2" s="223"/>
      <c r="E2" s="223"/>
      <c r="F2" s="224"/>
      <c r="G2" s="225" t="e">
        <f>VLOOKUP(#REF!,[3]СВОД!$B$4:$D$4,3,0)</f>
        <v>#REF!</v>
      </c>
      <c r="H2" s="221"/>
    </row>
    <row r="3" spans="1:8" ht="47.25">
      <c r="A3" s="226" t="s">
        <v>704</v>
      </c>
      <c r="B3" s="227"/>
      <c r="C3" s="226" t="s">
        <v>2</v>
      </c>
      <c r="D3" s="228" t="s">
        <v>705</v>
      </c>
      <c r="E3" s="229" t="s">
        <v>706</v>
      </c>
      <c r="F3" s="229" t="s">
        <v>707</v>
      </c>
      <c r="G3" s="230" t="s">
        <v>708</v>
      </c>
      <c r="H3" s="231"/>
    </row>
    <row r="4" spans="1:8">
      <c r="A4" s="226">
        <v>7</v>
      </c>
      <c r="B4" s="226"/>
      <c r="C4" s="226">
        <v>8</v>
      </c>
      <c r="D4" s="226">
        <v>9</v>
      </c>
      <c r="E4" s="229">
        <v>10</v>
      </c>
      <c r="F4" s="229">
        <v>11</v>
      </c>
      <c r="G4" s="232"/>
      <c r="H4" s="232"/>
    </row>
    <row r="5" spans="1:8" ht="20.25" thickBot="1">
      <c r="A5" s="233" t="s">
        <v>199</v>
      </c>
      <c r="B5" s="233"/>
      <c r="C5" s="234"/>
      <c r="D5" s="234"/>
      <c r="E5" s="234"/>
      <c r="F5" s="234"/>
      <c r="G5" s="235"/>
      <c r="H5" s="235"/>
    </row>
    <row r="6" spans="1:8" thickBot="1">
      <c r="A6" s="236" t="s">
        <v>709</v>
      </c>
      <c r="B6" s="236" t="s">
        <v>535</v>
      </c>
      <c r="C6" s="236" t="s">
        <v>262</v>
      </c>
      <c r="D6" s="236">
        <f>100.4-20</f>
        <v>80.400000000000006</v>
      </c>
      <c r="E6" s="237">
        <v>473</v>
      </c>
      <c r="F6" s="237">
        <f t="shared" ref="F6:F46" si="0">E6*D6</f>
        <v>38029.200000000004</v>
      </c>
      <c r="G6" s="235"/>
      <c r="H6" s="235"/>
    </row>
    <row r="7" spans="1:8" thickBot="1">
      <c r="A7" s="236" t="s">
        <v>710</v>
      </c>
      <c r="B7" s="236" t="s">
        <v>535</v>
      </c>
      <c r="C7" s="236" t="s">
        <v>518</v>
      </c>
      <c r="D7" s="238">
        <f>290-50</f>
        <v>240</v>
      </c>
      <c r="E7" s="237">
        <v>157</v>
      </c>
      <c r="F7" s="237">
        <f t="shared" si="0"/>
        <v>37680</v>
      </c>
      <c r="G7" s="235"/>
      <c r="H7" s="235"/>
    </row>
    <row r="8" spans="1:8" thickBot="1">
      <c r="A8" s="236" t="s">
        <v>711</v>
      </c>
      <c r="B8" s="236" t="s">
        <v>535</v>
      </c>
      <c r="C8" s="236" t="s">
        <v>262</v>
      </c>
      <c r="D8" s="236">
        <v>2.5</v>
      </c>
      <c r="E8" s="237">
        <v>151</v>
      </c>
      <c r="F8" s="237">
        <f t="shared" si="0"/>
        <v>377.5</v>
      </c>
      <c r="G8" s="235"/>
      <c r="H8" s="235"/>
    </row>
    <row r="9" spans="1:8" thickBot="1">
      <c r="A9" s="236" t="s">
        <v>712</v>
      </c>
      <c r="B9" s="236" t="s">
        <v>535</v>
      </c>
      <c r="C9" s="236" t="s">
        <v>518</v>
      </c>
      <c r="D9" s="236">
        <v>2</v>
      </c>
      <c r="E9" s="237">
        <v>339</v>
      </c>
      <c r="F9" s="237">
        <f t="shared" si="0"/>
        <v>678</v>
      </c>
      <c r="G9" s="235"/>
      <c r="H9" s="235"/>
    </row>
    <row r="10" spans="1:8" thickBot="1">
      <c r="A10" s="236" t="s">
        <v>486</v>
      </c>
      <c r="B10" s="236" t="s">
        <v>590</v>
      </c>
      <c r="C10" s="236" t="s">
        <v>489</v>
      </c>
      <c r="D10" s="236">
        <v>1.02</v>
      </c>
      <c r="E10" s="237">
        <v>1207</v>
      </c>
      <c r="F10" s="237">
        <f t="shared" si="0"/>
        <v>1231.1400000000001</v>
      </c>
      <c r="G10" s="235"/>
      <c r="H10" s="235"/>
    </row>
    <row r="11" spans="1:8" thickBot="1">
      <c r="A11" s="236" t="s">
        <v>487</v>
      </c>
      <c r="B11" s="236" t="s">
        <v>590</v>
      </c>
      <c r="C11" s="236" t="s">
        <v>489</v>
      </c>
      <c r="D11" s="236">
        <v>1.2150000000000001</v>
      </c>
      <c r="E11" s="237">
        <v>2487</v>
      </c>
      <c r="F11" s="237">
        <f t="shared" si="0"/>
        <v>3021.7050000000004</v>
      </c>
      <c r="G11" s="235"/>
      <c r="H11" s="235"/>
    </row>
    <row r="12" spans="1:8" thickBot="1">
      <c r="A12" s="236" t="s">
        <v>488</v>
      </c>
      <c r="B12" s="236" t="s">
        <v>590</v>
      </c>
      <c r="C12" s="236" t="s">
        <v>489</v>
      </c>
      <c r="D12" s="236">
        <v>0.24</v>
      </c>
      <c r="E12" s="237">
        <v>4976</v>
      </c>
      <c r="F12" s="237">
        <f t="shared" si="0"/>
        <v>1194.24</v>
      </c>
      <c r="G12" s="235"/>
      <c r="H12" s="235"/>
    </row>
    <row r="13" spans="1:8" thickBot="1">
      <c r="A13" s="236" t="s">
        <v>713</v>
      </c>
      <c r="B13" s="236" t="s">
        <v>537</v>
      </c>
      <c r="C13" s="236" t="s">
        <v>20</v>
      </c>
      <c r="D13" s="238">
        <v>11</v>
      </c>
      <c r="E13" s="237">
        <v>350</v>
      </c>
      <c r="F13" s="237">
        <f t="shared" si="0"/>
        <v>3850</v>
      </c>
      <c r="G13" s="235"/>
      <c r="H13" s="235"/>
    </row>
    <row r="14" spans="1:8" thickBot="1">
      <c r="A14" s="236" t="s">
        <v>714</v>
      </c>
      <c r="B14" s="236" t="s">
        <v>591</v>
      </c>
      <c r="C14" s="236" t="s">
        <v>20</v>
      </c>
      <c r="D14" s="236">
        <v>5</v>
      </c>
      <c r="E14" s="237">
        <v>3600</v>
      </c>
      <c r="F14" s="237">
        <f t="shared" si="0"/>
        <v>18000</v>
      </c>
      <c r="G14" s="235"/>
      <c r="H14" s="235"/>
    </row>
    <row r="15" spans="1:8" thickBot="1">
      <c r="A15" s="236" t="s">
        <v>715</v>
      </c>
      <c r="B15" s="236" t="s">
        <v>537</v>
      </c>
      <c r="C15" s="236" t="s">
        <v>20</v>
      </c>
      <c r="D15" s="238">
        <v>28</v>
      </c>
      <c r="E15" s="237">
        <v>154</v>
      </c>
      <c r="F15" s="237">
        <f t="shared" si="0"/>
        <v>4312</v>
      </c>
      <c r="G15" s="235"/>
      <c r="H15" s="235"/>
    </row>
    <row r="16" spans="1:8" thickBot="1">
      <c r="A16" s="236" t="s">
        <v>716</v>
      </c>
      <c r="B16" s="236" t="s">
        <v>536</v>
      </c>
      <c r="C16" s="236" t="s">
        <v>20</v>
      </c>
      <c r="D16" s="238">
        <v>9</v>
      </c>
      <c r="E16" s="237">
        <v>168</v>
      </c>
      <c r="F16" s="237">
        <f t="shared" si="0"/>
        <v>1512</v>
      </c>
      <c r="G16" s="235"/>
      <c r="H16" s="235"/>
    </row>
    <row r="17" spans="1:8" thickBot="1">
      <c r="A17" s="236" t="s">
        <v>592</v>
      </c>
      <c r="B17" s="236" t="s">
        <v>535</v>
      </c>
      <c r="C17" s="236" t="s">
        <v>518</v>
      </c>
      <c r="D17" s="238">
        <v>141</v>
      </c>
      <c r="E17" s="237">
        <v>165</v>
      </c>
      <c r="F17" s="237">
        <f t="shared" si="0"/>
        <v>23265</v>
      </c>
      <c r="G17" s="235"/>
      <c r="H17" s="235"/>
    </row>
    <row r="18" spans="1:8" thickBot="1">
      <c r="A18" s="236" t="s">
        <v>593</v>
      </c>
      <c r="B18" s="236" t="s">
        <v>594</v>
      </c>
      <c r="C18" s="236" t="s">
        <v>518</v>
      </c>
      <c r="D18" s="236">
        <v>10</v>
      </c>
      <c r="E18" s="237">
        <v>62</v>
      </c>
      <c r="F18" s="237">
        <f t="shared" si="0"/>
        <v>620</v>
      </c>
      <c r="G18" s="235"/>
      <c r="H18" s="235"/>
    </row>
    <row r="19" spans="1:8" thickBot="1">
      <c r="A19" s="236" t="s">
        <v>595</v>
      </c>
      <c r="B19" s="236" t="s">
        <v>21</v>
      </c>
      <c r="C19" s="236" t="s">
        <v>596</v>
      </c>
      <c r="D19" s="236">
        <v>2</v>
      </c>
      <c r="E19" s="237">
        <v>1799.27</v>
      </c>
      <c r="F19" s="237">
        <f t="shared" si="0"/>
        <v>3598.54</v>
      </c>
      <c r="G19" s="235"/>
      <c r="H19" s="235"/>
    </row>
    <row r="20" spans="1:8" thickBot="1">
      <c r="A20" s="236" t="s">
        <v>597</v>
      </c>
      <c r="B20" s="236" t="s">
        <v>535</v>
      </c>
      <c r="C20" s="236" t="s">
        <v>518</v>
      </c>
      <c r="D20" s="236">
        <v>2</v>
      </c>
      <c r="E20" s="237">
        <v>285</v>
      </c>
      <c r="F20" s="237">
        <f t="shared" si="0"/>
        <v>570</v>
      </c>
      <c r="G20" s="235"/>
      <c r="H20" s="235"/>
    </row>
    <row r="21" spans="1:8" thickBot="1">
      <c r="A21" s="236" t="s">
        <v>598</v>
      </c>
      <c r="B21" s="236" t="s">
        <v>536</v>
      </c>
      <c r="C21" s="236" t="s">
        <v>20</v>
      </c>
      <c r="D21" s="238">
        <v>28</v>
      </c>
      <c r="E21" s="237">
        <v>30</v>
      </c>
      <c r="F21" s="237">
        <f t="shared" si="0"/>
        <v>840</v>
      </c>
      <c r="G21" s="235"/>
      <c r="H21" s="235"/>
    </row>
    <row r="22" spans="1:8" thickBot="1">
      <c r="A22" s="236" t="s">
        <v>599</v>
      </c>
      <c r="B22" s="236" t="s">
        <v>536</v>
      </c>
      <c r="C22" s="236" t="s">
        <v>20</v>
      </c>
      <c r="D22" s="238">
        <v>27</v>
      </c>
      <c r="E22" s="237">
        <v>49</v>
      </c>
      <c r="F22" s="237">
        <f t="shared" si="0"/>
        <v>1323</v>
      </c>
      <c r="G22" s="235"/>
      <c r="H22" s="235"/>
    </row>
    <row r="23" spans="1:8" thickBot="1">
      <c r="A23" s="236" t="s">
        <v>717</v>
      </c>
      <c r="B23" s="236" t="s">
        <v>537</v>
      </c>
      <c r="C23" s="236" t="s">
        <v>20</v>
      </c>
      <c r="D23" s="238">
        <v>75</v>
      </c>
      <c r="E23" s="237">
        <v>7.73</v>
      </c>
      <c r="F23" s="237">
        <f t="shared" si="0"/>
        <v>579.75</v>
      </c>
      <c r="G23" s="235"/>
      <c r="H23" s="235"/>
    </row>
    <row r="24" spans="1:8" thickBot="1">
      <c r="A24" s="236" t="s">
        <v>600</v>
      </c>
      <c r="B24" s="236" t="s">
        <v>538</v>
      </c>
      <c r="C24" s="236" t="s">
        <v>20</v>
      </c>
      <c r="D24" s="238">
        <v>90</v>
      </c>
      <c r="E24" s="237">
        <v>19.100000000000001</v>
      </c>
      <c r="F24" s="237">
        <f t="shared" si="0"/>
        <v>1719.0000000000002</v>
      </c>
      <c r="G24" s="235"/>
      <c r="H24" s="235"/>
    </row>
    <row r="25" spans="1:8" thickBot="1">
      <c r="A25" s="236" t="s">
        <v>601</v>
      </c>
      <c r="B25" s="236" t="s">
        <v>539</v>
      </c>
      <c r="C25" s="236" t="s">
        <v>20</v>
      </c>
      <c r="D25" s="238">
        <v>90</v>
      </c>
      <c r="E25" s="237">
        <v>1.6</v>
      </c>
      <c r="F25" s="237">
        <f t="shared" si="0"/>
        <v>144</v>
      </c>
      <c r="G25" s="235"/>
      <c r="H25" s="235"/>
    </row>
    <row r="26" spans="1:8" thickBot="1">
      <c r="A26" s="236" t="s">
        <v>602</v>
      </c>
      <c r="B26" s="236" t="s">
        <v>603</v>
      </c>
      <c r="C26" s="236" t="s">
        <v>20</v>
      </c>
      <c r="D26" s="238">
        <v>23</v>
      </c>
      <c r="E26" s="237">
        <v>86</v>
      </c>
      <c r="F26" s="237">
        <f t="shared" si="0"/>
        <v>1978</v>
      </c>
      <c r="G26" s="235"/>
      <c r="H26" s="235"/>
    </row>
    <row r="27" spans="1:8" thickBot="1">
      <c r="A27" s="236" t="s">
        <v>604</v>
      </c>
      <c r="B27" s="236" t="s">
        <v>605</v>
      </c>
      <c r="C27" s="236" t="s">
        <v>14</v>
      </c>
      <c r="D27" s="238">
        <v>45</v>
      </c>
      <c r="E27" s="237">
        <v>168</v>
      </c>
      <c r="F27" s="237">
        <f t="shared" si="0"/>
        <v>7560</v>
      </c>
      <c r="G27" s="235"/>
      <c r="H27" s="235"/>
    </row>
    <row r="28" spans="1:8" thickBot="1">
      <c r="A28" s="236" t="s">
        <v>203</v>
      </c>
      <c r="B28" s="236" t="s">
        <v>203</v>
      </c>
      <c r="C28" s="236" t="s">
        <v>261</v>
      </c>
      <c r="D28" s="238">
        <v>10</v>
      </c>
      <c r="E28" s="237">
        <v>96</v>
      </c>
      <c r="F28" s="237">
        <f t="shared" si="0"/>
        <v>960</v>
      </c>
      <c r="G28" s="235"/>
      <c r="H28" s="235"/>
    </row>
    <row r="29" spans="1:8" thickBot="1">
      <c r="A29" s="236" t="s">
        <v>718</v>
      </c>
      <c r="B29" s="236" t="s">
        <v>606</v>
      </c>
      <c r="C29" s="236" t="s">
        <v>20</v>
      </c>
      <c r="D29" s="238">
        <v>60</v>
      </c>
      <c r="E29" s="237">
        <v>312</v>
      </c>
      <c r="F29" s="237">
        <f t="shared" si="0"/>
        <v>18720</v>
      </c>
      <c r="G29" s="235"/>
      <c r="H29" s="235"/>
    </row>
    <row r="30" spans="1:8" thickBot="1">
      <c r="A30" s="236" t="s">
        <v>719</v>
      </c>
      <c r="B30" s="236" t="s">
        <v>720</v>
      </c>
      <c r="C30" s="236" t="s">
        <v>14</v>
      </c>
      <c r="D30" s="236">
        <v>16</v>
      </c>
      <c r="E30" s="237">
        <v>167</v>
      </c>
      <c r="F30" s="237">
        <f t="shared" si="0"/>
        <v>2672</v>
      </c>
      <c r="G30" s="235"/>
      <c r="H30" s="235"/>
    </row>
    <row r="31" spans="1:8" thickBot="1">
      <c r="A31" s="236" t="s">
        <v>721</v>
      </c>
      <c r="B31" s="236" t="s">
        <v>722</v>
      </c>
      <c r="C31" s="236" t="s">
        <v>14</v>
      </c>
      <c r="D31" s="236">
        <v>10</v>
      </c>
      <c r="E31" s="237">
        <v>164</v>
      </c>
      <c r="F31" s="237">
        <f t="shared" si="0"/>
        <v>1640</v>
      </c>
      <c r="G31" s="235"/>
      <c r="H31" s="235"/>
    </row>
    <row r="32" spans="1:8" ht="24.75" thickBot="1">
      <c r="A32" s="236" t="s">
        <v>723</v>
      </c>
      <c r="B32" s="236" t="s">
        <v>724</v>
      </c>
      <c r="C32" s="236" t="s">
        <v>725</v>
      </c>
      <c r="D32" s="236">
        <v>1</v>
      </c>
      <c r="E32" s="237">
        <v>1276</v>
      </c>
      <c r="F32" s="237">
        <f t="shared" si="0"/>
        <v>1276</v>
      </c>
      <c r="G32" s="235"/>
      <c r="H32" s="235"/>
    </row>
    <row r="33" spans="1:8" thickBot="1">
      <c r="A33" s="236" t="s">
        <v>726</v>
      </c>
      <c r="B33" s="236" t="s">
        <v>727</v>
      </c>
      <c r="C33" s="236" t="s">
        <v>20</v>
      </c>
      <c r="D33" s="236">
        <v>8</v>
      </c>
      <c r="E33" s="237">
        <v>96</v>
      </c>
      <c r="F33" s="237">
        <f t="shared" si="0"/>
        <v>768</v>
      </c>
      <c r="G33" s="235"/>
      <c r="H33" s="235"/>
    </row>
    <row r="34" spans="1:8" thickBot="1">
      <c r="A34" s="236" t="s">
        <v>728</v>
      </c>
      <c r="B34" s="236" t="s">
        <v>541</v>
      </c>
      <c r="C34" s="236" t="s">
        <v>262</v>
      </c>
      <c r="D34" s="238">
        <v>688</v>
      </c>
      <c r="E34" s="237">
        <v>67</v>
      </c>
      <c r="F34" s="237">
        <f t="shared" si="0"/>
        <v>46096</v>
      </c>
      <c r="G34" s="235"/>
      <c r="H34" s="235"/>
    </row>
    <row r="35" spans="1:8" thickBot="1">
      <c r="A35" s="236" t="s">
        <v>613</v>
      </c>
      <c r="B35" s="236" t="s">
        <v>614</v>
      </c>
      <c r="C35" s="236" t="s">
        <v>14</v>
      </c>
      <c r="D35" s="236">
        <v>4</v>
      </c>
      <c r="E35" s="237">
        <v>186</v>
      </c>
      <c r="F35" s="237">
        <f t="shared" si="0"/>
        <v>744</v>
      </c>
      <c r="G35" s="235"/>
      <c r="H35" s="235"/>
    </row>
    <row r="36" spans="1:8" thickBot="1">
      <c r="A36" s="236" t="s">
        <v>729</v>
      </c>
      <c r="B36" s="236" t="s">
        <v>542</v>
      </c>
      <c r="C36" s="236" t="s">
        <v>262</v>
      </c>
      <c r="D36" s="238">
        <v>80</v>
      </c>
      <c r="E36" s="237">
        <v>39</v>
      </c>
      <c r="F36" s="237">
        <f t="shared" si="0"/>
        <v>3120</v>
      </c>
      <c r="G36" s="235"/>
      <c r="H36" s="235"/>
    </row>
    <row r="37" spans="1:8" thickBot="1">
      <c r="A37" s="236" t="s">
        <v>730</v>
      </c>
      <c r="B37" s="236" t="s">
        <v>731</v>
      </c>
      <c r="C37" s="236" t="s">
        <v>20</v>
      </c>
      <c r="D37" s="236">
        <v>1</v>
      </c>
      <c r="E37" s="237">
        <v>350</v>
      </c>
      <c r="F37" s="237">
        <f t="shared" si="0"/>
        <v>350</v>
      </c>
      <c r="G37" s="235"/>
      <c r="H37" s="235"/>
    </row>
    <row r="38" spans="1:8" thickBot="1">
      <c r="A38" s="236" t="s">
        <v>732</v>
      </c>
      <c r="B38" s="236" t="s">
        <v>545</v>
      </c>
      <c r="C38" s="236" t="s">
        <v>20</v>
      </c>
      <c r="D38" s="236">
        <v>1600</v>
      </c>
      <c r="E38" s="237">
        <v>1.1200000000000001</v>
      </c>
      <c r="F38" s="237">
        <f t="shared" si="0"/>
        <v>1792.0000000000002</v>
      </c>
      <c r="G38" s="235"/>
      <c r="H38" s="235"/>
    </row>
    <row r="39" spans="1:8" thickBot="1">
      <c r="A39" s="236" t="s">
        <v>733</v>
      </c>
      <c r="B39" s="236" t="s">
        <v>545</v>
      </c>
      <c r="C39" s="236" t="s">
        <v>20</v>
      </c>
      <c r="D39" s="236">
        <v>1200</v>
      </c>
      <c r="E39" s="237">
        <v>0.54</v>
      </c>
      <c r="F39" s="237">
        <f t="shared" si="0"/>
        <v>648</v>
      </c>
      <c r="G39" s="235"/>
      <c r="H39" s="235"/>
    </row>
    <row r="40" spans="1:8" thickBot="1">
      <c r="A40" s="236" t="s">
        <v>734</v>
      </c>
      <c r="B40" s="236" t="s">
        <v>545</v>
      </c>
      <c r="C40" s="236" t="s">
        <v>20</v>
      </c>
      <c r="D40" s="236">
        <v>2100</v>
      </c>
      <c r="E40" s="237">
        <v>0.76</v>
      </c>
      <c r="F40" s="237">
        <f t="shared" si="0"/>
        <v>1596</v>
      </c>
      <c r="G40" s="235"/>
      <c r="H40" s="235"/>
    </row>
    <row r="41" spans="1:8" thickBot="1">
      <c r="A41" s="236" t="s">
        <v>735</v>
      </c>
      <c r="B41" s="236" t="s">
        <v>545</v>
      </c>
      <c r="C41" s="236" t="s">
        <v>20</v>
      </c>
      <c r="D41" s="236">
        <v>1500</v>
      </c>
      <c r="E41" s="237">
        <v>0.81</v>
      </c>
      <c r="F41" s="237">
        <f t="shared" si="0"/>
        <v>1215</v>
      </c>
      <c r="G41" s="235"/>
      <c r="H41" s="235"/>
    </row>
    <row r="42" spans="1:8" ht="24.75" thickBot="1">
      <c r="A42" s="236" t="s">
        <v>736</v>
      </c>
      <c r="B42" s="236" t="s">
        <v>545</v>
      </c>
      <c r="C42" s="236" t="s">
        <v>20</v>
      </c>
      <c r="D42" s="238">
        <v>2455</v>
      </c>
      <c r="E42" s="237">
        <v>0.25</v>
      </c>
      <c r="F42" s="237">
        <f t="shared" si="0"/>
        <v>613.75</v>
      </c>
      <c r="G42" s="235"/>
      <c r="H42" s="235"/>
    </row>
    <row r="43" spans="1:8" thickBot="1">
      <c r="A43" s="236" t="s">
        <v>737</v>
      </c>
      <c r="B43" s="236" t="s">
        <v>545</v>
      </c>
      <c r="C43" s="236" t="s">
        <v>20</v>
      </c>
      <c r="D43" s="238">
        <v>1890</v>
      </c>
      <c r="E43" s="237">
        <v>0.81</v>
      </c>
      <c r="F43" s="237">
        <f t="shared" si="0"/>
        <v>1530.9</v>
      </c>
      <c r="G43" s="235"/>
      <c r="H43" s="235"/>
    </row>
    <row r="44" spans="1:8" thickBot="1">
      <c r="A44" s="236" t="s">
        <v>738</v>
      </c>
      <c r="B44" s="236" t="s">
        <v>612</v>
      </c>
      <c r="C44" s="236" t="s">
        <v>20</v>
      </c>
      <c r="D44" s="238">
        <v>455</v>
      </c>
      <c r="E44" s="237">
        <v>0.93</v>
      </c>
      <c r="F44" s="237">
        <f t="shared" si="0"/>
        <v>423.15000000000003</v>
      </c>
      <c r="G44" s="235"/>
      <c r="H44" s="235"/>
    </row>
    <row r="45" spans="1:8" thickBot="1">
      <c r="A45" s="236" t="s">
        <v>739</v>
      </c>
      <c r="B45" s="236" t="s">
        <v>612</v>
      </c>
      <c r="C45" s="236" t="s">
        <v>20</v>
      </c>
      <c r="D45" s="236">
        <v>200</v>
      </c>
      <c r="E45" s="237">
        <v>0.32</v>
      </c>
      <c r="F45" s="237">
        <f t="shared" si="0"/>
        <v>64</v>
      </c>
      <c r="G45" s="235"/>
      <c r="H45" s="235"/>
    </row>
    <row r="46" spans="1:8" thickBot="1">
      <c r="A46" s="236" t="s">
        <v>740</v>
      </c>
      <c r="B46" s="236" t="s">
        <v>545</v>
      </c>
      <c r="C46" s="236" t="s">
        <v>20</v>
      </c>
      <c r="D46" s="238">
        <v>275</v>
      </c>
      <c r="E46" s="237">
        <v>1.03</v>
      </c>
      <c r="F46" s="237">
        <f t="shared" si="0"/>
        <v>283.25</v>
      </c>
      <c r="G46" s="235"/>
      <c r="H46" s="235"/>
    </row>
    <row r="47" spans="1:8" ht="19.5">
      <c r="A47" s="239" t="s">
        <v>741</v>
      </c>
      <c r="B47" s="240"/>
      <c r="C47" s="240"/>
      <c r="D47" s="240"/>
      <c r="E47" s="241"/>
      <c r="F47" s="242">
        <f>SUM(F6:F46)</f>
        <v>236595.12500000003</v>
      </c>
      <c r="G47" s="235"/>
      <c r="H47" s="235"/>
    </row>
    <row r="48" spans="1:8" ht="20.25" thickBot="1">
      <c r="A48" s="243" t="s">
        <v>205</v>
      </c>
      <c r="B48" s="244"/>
      <c r="C48" s="244"/>
      <c r="D48" s="244"/>
      <c r="E48" s="244"/>
      <c r="F48" s="245"/>
      <c r="G48" s="235"/>
      <c r="H48" s="235"/>
    </row>
    <row r="49" spans="1:8" thickBot="1">
      <c r="A49" s="236" t="s">
        <v>608</v>
      </c>
      <c r="B49" s="236" t="s">
        <v>567</v>
      </c>
      <c r="C49" s="236" t="s">
        <v>12</v>
      </c>
      <c r="D49" s="236">
        <v>82</v>
      </c>
      <c r="E49" s="237">
        <v>29</v>
      </c>
      <c r="F49" s="237">
        <f t="shared" ref="F49:F69" si="1">E49*D49</f>
        <v>2378</v>
      </c>
      <c r="G49" s="235"/>
      <c r="H49" s="235"/>
    </row>
    <row r="50" spans="1:8" thickBot="1">
      <c r="A50" s="236" t="s">
        <v>742</v>
      </c>
      <c r="B50" s="236" t="s">
        <v>567</v>
      </c>
      <c r="C50" s="236" t="s">
        <v>12</v>
      </c>
      <c r="D50" s="236">
        <v>210</v>
      </c>
      <c r="E50" s="237">
        <v>13</v>
      </c>
      <c r="F50" s="237">
        <f t="shared" si="1"/>
        <v>2730</v>
      </c>
      <c r="G50" s="235"/>
      <c r="H50" s="235"/>
    </row>
    <row r="51" spans="1:8" thickBot="1">
      <c r="A51" s="236" t="s">
        <v>743</v>
      </c>
      <c r="B51" s="236" t="s">
        <v>606</v>
      </c>
      <c r="C51" s="236" t="s">
        <v>12</v>
      </c>
      <c r="D51" s="236">
        <v>88</v>
      </c>
      <c r="E51" s="237">
        <v>112</v>
      </c>
      <c r="F51" s="237">
        <f t="shared" si="1"/>
        <v>9856</v>
      </c>
      <c r="G51" s="235"/>
      <c r="H51" s="235"/>
    </row>
    <row r="52" spans="1:8" thickBot="1">
      <c r="A52" s="236" t="s">
        <v>744</v>
      </c>
      <c r="B52" s="236" t="s">
        <v>540</v>
      </c>
      <c r="C52" s="236" t="s">
        <v>12</v>
      </c>
      <c r="D52" s="236">
        <v>100</v>
      </c>
      <c r="E52" s="237">
        <v>180</v>
      </c>
      <c r="F52" s="237">
        <f t="shared" si="1"/>
        <v>18000</v>
      </c>
      <c r="G52" s="235"/>
      <c r="H52" s="235"/>
    </row>
    <row r="53" spans="1:8" thickBot="1">
      <c r="A53" s="236" t="s">
        <v>745</v>
      </c>
      <c r="B53" s="236" t="s">
        <v>540</v>
      </c>
      <c r="C53" s="236" t="s">
        <v>12</v>
      </c>
      <c r="D53" s="238">
        <v>341</v>
      </c>
      <c r="E53" s="237">
        <v>90</v>
      </c>
      <c r="F53" s="237">
        <f t="shared" si="1"/>
        <v>30690</v>
      </c>
      <c r="G53" s="235"/>
      <c r="H53" s="235"/>
    </row>
    <row r="54" spans="1:8" thickBot="1">
      <c r="A54" s="236" t="s">
        <v>746</v>
      </c>
      <c r="B54" s="236" t="s">
        <v>609</v>
      </c>
      <c r="C54" s="236" t="s">
        <v>20</v>
      </c>
      <c r="D54" s="238">
        <v>9</v>
      </c>
      <c r="E54" s="237">
        <v>7700</v>
      </c>
      <c r="F54" s="237">
        <f t="shared" si="1"/>
        <v>69300</v>
      </c>
      <c r="G54" s="235"/>
      <c r="H54" s="235"/>
    </row>
    <row r="55" spans="1:8" thickBot="1">
      <c r="A55" s="236" t="s">
        <v>747</v>
      </c>
      <c r="B55" s="236" t="s">
        <v>610</v>
      </c>
      <c r="C55" s="236" t="s">
        <v>12</v>
      </c>
      <c r="D55" s="236">
        <v>36</v>
      </c>
      <c r="E55" s="237">
        <v>515</v>
      </c>
      <c r="F55" s="237">
        <f t="shared" si="1"/>
        <v>18540</v>
      </c>
      <c r="G55" s="235"/>
      <c r="H55" s="235"/>
    </row>
    <row r="56" spans="1:8" thickBot="1">
      <c r="A56" s="236" t="s">
        <v>748</v>
      </c>
      <c r="B56" s="236" t="s">
        <v>610</v>
      </c>
      <c r="C56" s="236" t="s">
        <v>12</v>
      </c>
      <c r="D56" s="236">
        <v>160</v>
      </c>
      <c r="E56" s="237">
        <v>429</v>
      </c>
      <c r="F56" s="237">
        <f t="shared" si="1"/>
        <v>68640</v>
      </c>
      <c r="G56" s="235"/>
      <c r="H56" s="235"/>
    </row>
    <row r="57" spans="1:8" thickBot="1">
      <c r="A57" s="236" t="s">
        <v>611</v>
      </c>
      <c r="B57" s="236" t="s">
        <v>611</v>
      </c>
      <c r="C57" s="236" t="s">
        <v>14</v>
      </c>
      <c r="D57" s="236">
        <v>35</v>
      </c>
      <c r="E57" s="237">
        <v>540</v>
      </c>
      <c r="F57" s="237">
        <f t="shared" si="1"/>
        <v>18900</v>
      </c>
      <c r="G57" s="235"/>
      <c r="H57" s="235"/>
    </row>
    <row r="58" spans="1:8" thickBot="1">
      <c r="A58" s="236" t="s">
        <v>749</v>
      </c>
      <c r="B58" s="236" t="s">
        <v>544</v>
      </c>
      <c r="C58" s="236" t="s">
        <v>262</v>
      </c>
      <c r="D58" s="238">
        <v>75</v>
      </c>
      <c r="E58" s="237">
        <v>132.58000000000001</v>
      </c>
      <c r="F58" s="237">
        <f t="shared" si="1"/>
        <v>9943.5000000000018</v>
      </c>
      <c r="G58" s="235"/>
      <c r="H58" s="235"/>
    </row>
    <row r="59" spans="1:8" thickBot="1">
      <c r="A59" s="236" t="s">
        <v>750</v>
      </c>
      <c r="B59" s="236" t="s">
        <v>621</v>
      </c>
      <c r="C59" s="236" t="s">
        <v>12</v>
      </c>
      <c r="D59" s="236">
        <v>36</v>
      </c>
      <c r="E59" s="237">
        <v>229</v>
      </c>
      <c r="F59" s="237">
        <f t="shared" si="1"/>
        <v>8244</v>
      </c>
      <c r="G59" s="235"/>
      <c r="H59" s="235"/>
    </row>
    <row r="60" spans="1:8" thickBot="1">
      <c r="A60" s="236" t="s">
        <v>751</v>
      </c>
      <c r="B60" s="236" t="s">
        <v>620</v>
      </c>
      <c r="C60" s="236" t="s">
        <v>262</v>
      </c>
      <c r="D60" s="236">
        <v>92</v>
      </c>
      <c r="E60" s="237">
        <v>139.26</v>
      </c>
      <c r="F60" s="237">
        <f t="shared" si="1"/>
        <v>12811.919999999998</v>
      </c>
      <c r="G60" s="235"/>
      <c r="H60" s="235"/>
    </row>
    <row r="61" spans="1:8" thickBot="1">
      <c r="A61" s="236" t="s">
        <v>752</v>
      </c>
      <c r="B61" s="236" t="s">
        <v>616</v>
      </c>
      <c r="C61" s="236" t="s">
        <v>20</v>
      </c>
      <c r="D61" s="236">
        <v>8</v>
      </c>
      <c r="E61" s="237">
        <v>227</v>
      </c>
      <c r="F61" s="237">
        <f t="shared" si="1"/>
        <v>1816</v>
      </c>
      <c r="G61" s="235"/>
      <c r="H61" s="235"/>
    </row>
    <row r="62" spans="1:8" thickBot="1">
      <c r="A62" s="236" t="s">
        <v>753</v>
      </c>
      <c r="B62" s="236" t="s">
        <v>615</v>
      </c>
      <c r="C62" s="236" t="s">
        <v>20</v>
      </c>
      <c r="D62" s="236">
        <v>50</v>
      </c>
      <c r="E62" s="237">
        <v>635</v>
      </c>
      <c r="F62" s="237">
        <f t="shared" si="1"/>
        <v>31750</v>
      </c>
      <c r="G62" s="235"/>
      <c r="H62" s="235"/>
    </row>
    <row r="63" spans="1:8" thickBot="1">
      <c r="A63" s="236" t="s">
        <v>754</v>
      </c>
      <c r="B63" s="236" t="s">
        <v>605</v>
      </c>
      <c r="C63" s="236" t="s">
        <v>14</v>
      </c>
      <c r="D63" s="236">
        <v>40</v>
      </c>
      <c r="E63" s="237">
        <v>226</v>
      </c>
      <c r="F63" s="237">
        <f t="shared" si="1"/>
        <v>9040</v>
      </c>
      <c r="G63" s="235"/>
      <c r="H63" s="235"/>
    </row>
    <row r="64" spans="1:8" thickBot="1">
      <c r="A64" s="236" t="s">
        <v>755</v>
      </c>
      <c r="B64" s="236" t="s">
        <v>543</v>
      </c>
      <c r="C64" s="236" t="s">
        <v>20</v>
      </c>
      <c r="D64" s="236">
        <v>15</v>
      </c>
      <c r="E64" s="237">
        <v>217</v>
      </c>
      <c r="F64" s="237">
        <f t="shared" si="1"/>
        <v>3255</v>
      </c>
      <c r="G64" s="235"/>
      <c r="H64" s="235"/>
    </row>
    <row r="65" spans="1:8" thickBot="1">
      <c r="A65" s="236" t="s">
        <v>617</v>
      </c>
      <c r="B65" s="236" t="s">
        <v>618</v>
      </c>
      <c r="C65" s="236" t="s">
        <v>20</v>
      </c>
      <c r="D65" s="236">
        <v>6</v>
      </c>
      <c r="E65" s="237">
        <v>267</v>
      </c>
      <c r="F65" s="237">
        <f t="shared" si="1"/>
        <v>1602</v>
      </c>
      <c r="G65" s="235"/>
      <c r="H65" s="235"/>
    </row>
    <row r="66" spans="1:8" thickBot="1">
      <c r="A66" s="236" t="s">
        <v>619</v>
      </c>
      <c r="B66" s="236" t="s">
        <v>619</v>
      </c>
      <c r="C66" s="236" t="s">
        <v>596</v>
      </c>
      <c r="D66" s="236">
        <v>2</v>
      </c>
      <c r="E66" s="237">
        <v>1670</v>
      </c>
      <c r="F66" s="237">
        <f t="shared" si="1"/>
        <v>3340</v>
      </c>
      <c r="G66" s="235"/>
      <c r="H66" s="235"/>
    </row>
    <row r="67" spans="1:8" thickBot="1">
      <c r="A67" s="236" t="s">
        <v>756</v>
      </c>
      <c r="B67" s="236" t="s">
        <v>620</v>
      </c>
      <c r="C67" s="236" t="s">
        <v>20</v>
      </c>
      <c r="D67" s="238">
        <v>28</v>
      </c>
      <c r="E67" s="237">
        <v>56</v>
      </c>
      <c r="F67" s="237">
        <f t="shared" si="1"/>
        <v>1568</v>
      </c>
      <c r="G67" s="235"/>
      <c r="H67" s="235"/>
    </row>
    <row r="68" spans="1:8" thickBot="1">
      <c r="A68" s="236" t="s">
        <v>757</v>
      </c>
      <c r="B68" s="236" t="s">
        <v>620</v>
      </c>
      <c r="C68" s="236" t="s">
        <v>20</v>
      </c>
      <c r="D68" s="236">
        <v>12</v>
      </c>
      <c r="E68" s="237">
        <v>103</v>
      </c>
      <c r="F68" s="237">
        <f t="shared" si="1"/>
        <v>1236</v>
      </c>
      <c r="G68" s="235"/>
      <c r="H68" s="235"/>
    </row>
    <row r="69" spans="1:8" thickBot="1">
      <c r="A69" s="236" t="s">
        <v>572</v>
      </c>
      <c r="B69" s="236" t="s">
        <v>572</v>
      </c>
      <c r="C69" s="236" t="s">
        <v>20</v>
      </c>
      <c r="D69" s="236">
        <v>6</v>
      </c>
      <c r="E69" s="237">
        <v>293</v>
      </c>
      <c r="F69" s="237">
        <f t="shared" si="1"/>
        <v>1758</v>
      </c>
      <c r="G69" s="235"/>
      <c r="H69" s="235"/>
    </row>
    <row r="70" spans="1:8" ht="19.5">
      <c r="A70" s="246" t="s">
        <v>741</v>
      </c>
      <c r="B70" s="246"/>
      <c r="C70" s="246"/>
      <c r="D70" s="246"/>
      <c r="E70" s="246"/>
      <c r="F70" s="242">
        <f>SUM(F49:F69)</f>
        <v>325398.42</v>
      </c>
      <c r="G70" s="235"/>
      <c r="H70" s="235"/>
    </row>
    <row r="71" spans="1:8" ht="20.25" thickBot="1">
      <c r="A71" s="233" t="s">
        <v>273</v>
      </c>
      <c r="B71" s="233"/>
      <c r="C71" s="234"/>
      <c r="D71" s="234"/>
      <c r="E71" s="234"/>
      <c r="F71" s="234"/>
      <c r="G71" s="235"/>
      <c r="H71" s="235"/>
    </row>
    <row r="72" spans="1:8" thickBot="1">
      <c r="A72" s="236" t="s">
        <v>758</v>
      </c>
      <c r="B72" s="236" t="s">
        <v>546</v>
      </c>
      <c r="C72" s="236" t="s">
        <v>12</v>
      </c>
      <c r="D72" s="236">
        <v>33</v>
      </c>
      <c r="E72" s="237">
        <v>286</v>
      </c>
      <c r="F72" s="237">
        <f t="shared" ref="F72:F83" si="2">E72*D72</f>
        <v>9438</v>
      </c>
      <c r="G72" s="235"/>
      <c r="H72" s="235"/>
    </row>
    <row r="73" spans="1:8" thickBot="1">
      <c r="A73" s="236" t="s">
        <v>759</v>
      </c>
      <c r="B73" s="236" t="s">
        <v>546</v>
      </c>
      <c r="C73" s="236" t="s">
        <v>12</v>
      </c>
      <c r="D73" s="238">
        <v>43.2</v>
      </c>
      <c r="E73" s="237">
        <v>289</v>
      </c>
      <c r="F73" s="237">
        <f t="shared" si="2"/>
        <v>12484.800000000001</v>
      </c>
      <c r="G73" s="235"/>
      <c r="H73" s="235"/>
    </row>
    <row r="74" spans="1:8" thickBot="1">
      <c r="A74" s="236" t="s">
        <v>760</v>
      </c>
      <c r="B74" s="236" t="s">
        <v>546</v>
      </c>
      <c r="C74" s="236" t="s">
        <v>12</v>
      </c>
      <c r="D74" s="238">
        <v>100</v>
      </c>
      <c r="E74" s="237">
        <v>281</v>
      </c>
      <c r="F74" s="237">
        <f t="shared" si="2"/>
        <v>28100</v>
      </c>
      <c r="G74" s="235"/>
      <c r="H74" s="235"/>
    </row>
    <row r="75" spans="1:8" thickBot="1">
      <c r="A75" s="236" t="s">
        <v>761</v>
      </c>
      <c r="B75" s="236" t="s">
        <v>570</v>
      </c>
      <c r="C75" s="236" t="s">
        <v>12</v>
      </c>
      <c r="D75" s="238">
        <v>44</v>
      </c>
      <c r="E75" s="237">
        <v>277</v>
      </c>
      <c r="F75" s="237">
        <f t="shared" si="2"/>
        <v>12188</v>
      </c>
      <c r="G75" s="235"/>
      <c r="H75" s="235"/>
    </row>
    <row r="76" spans="1:8" thickBot="1">
      <c r="A76" s="236" t="s">
        <v>662</v>
      </c>
      <c r="B76" s="236" t="s">
        <v>662</v>
      </c>
      <c r="C76" s="236" t="s">
        <v>20</v>
      </c>
      <c r="D76" s="238">
        <v>6</v>
      </c>
      <c r="E76" s="237">
        <v>403</v>
      </c>
      <c r="F76" s="237">
        <f t="shared" si="2"/>
        <v>2418</v>
      </c>
      <c r="G76" s="235"/>
      <c r="H76" s="235"/>
    </row>
    <row r="77" spans="1:8" thickBot="1">
      <c r="A77" s="236" t="s">
        <v>663</v>
      </c>
      <c r="B77" s="236" t="s">
        <v>556</v>
      </c>
      <c r="C77" s="236" t="s">
        <v>20</v>
      </c>
      <c r="D77" s="236">
        <v>4</v>
      </c>
      <c r="E77" s="237">
        <v>442</v>
      </c>
      <c r="F77" s="237">
        <f t="shared" si="2"/>
        <v>1768</v>
      </c>
      <c r="G77" s="235"/>
      <c r="H77" s="235"/>
    </row>
    <row r="78" spans="1:8" thickBot="1">
      <c r="A78" s="236" t="s">
        <v>664</v>
      </c>
      <c r="B78" s="236" t="s">
        <v>665</v>
      </c>
      <c r="C78" s="236" t="s">
        <v>20</v>
      </c>
      <c r="D78" s="236">
        <v>2</v>
      </c>
      <c r="E78" s="237">
        <v>495</v>
      </c>
      <c r="F78" s="237">
        <f t="shared" si="2"/>
        <v>990</v>
      </c>
      <c r="G78" s="235"/>
      <c r="H78" s="235"/>
    </row>
    <row r="79" spans="1:8" thickBot="1">
      <c r="A79" s="236" t="s">
        <v>666</v>
      </c>
      <c r="B79" s="236" t="s">
        <v>665</v>
      </c>
      <c r="C79" s="236" t="s">
        <v>20</v>
      </c>
      <c r="D79" s="236">
        <v>2</v>
      </c>
      <c r="E79" s="237">
        <v>495</v>
      </c>
      <c r="F79" s="237">
        <f t="shared" si="2"/>
        <v>990</v>
      </c>
      <c r="G79" s="235"/>
      <c r="H79" s="235"/>
    </row>
    <row r="80" spans="1:8" thickBot="1">
      <c r="A80" s="236" t="s">
        <v>762</v>
      </c>
      <c r="B80" s="236" t="s">
        <v>667</v>
      </c>
      <c r="C80" s="236" t="s">
        <v>20</v>
      </c>
      <c r="D80" s="236">
        <v>4</v>
      </c>
      <c r="E80" s="237">
        <v>196</v>
      </c>
      <c r="F80" s="237">
        <f t="shared" si="2"/>
        <v>784</v>
      </c>
      <c r="G80" s="235"/>
      <c r="H80" s="235"/>
    </row>
    <row r="81" spans="1:8" thickBot="1">
      <c r="A81" s="236" t="s">
        <v>763</v>
      </c>
      <c r="B81" s="236" t="s">
        <v>558</v>
      </c>
      <c r="C81" s="236" t="s">
        <v>20</v>
      </c>
      <c r="D81" s="236">
        <v>20</v>
      </c>
      <c r="E81" s="237">
        <v>123</v>
      </c>
      <c r="F81" s="237">
        <f t="shared" si="2"/>
        <v>2460</v>
      </c>
      <c r="G81" s="235"/>
      <c r="H81" s="235"/>
    </row>
    <row r="82" spans="1:8" thickBot="1">
      <c r="A82" s="236" t="s">
        <v>668</v>
      </c>
      <c r="B82" s="236" t="s">
        <v>558</v>
      </c>
      <c r="C82" s="236" t="s">
        <v>20</v>
      </c>
      <c r="D82" s="236">
        <v>8</v>
      </c>
      <c r="E82" s="237">
        <v>206</v>
      </c>
      <c r="F82" s="237">
        <f t="shared" si="2"/>
        <v>1648</v>
      </c>
      <c r="G82" s="235"/>
      <c r="H82" s="235"/>
    </row>
    <row r="83" spans="1:8" thickBot="1">
      <c r="A83" s="236" t="s">
        <v>764</v>
      </c>
      <c r="B83" s="236" t="s">
        <v>669</v>
      </c>
      <c r="C83" s="236" t="s">
        <v>20</v>
      </c>
      <c r="D83" s="236">
        <v>4</v>
      </c>
      <c r="E83" s="237">
        <v>365</v>
      </c>
      <c r="F83" s="237">
        <f t="shared" si="2"/>
        <v>1460</v>
      </c>
      <c r="G83" s="235"/>
      <c r="H83" s="235"/>
    </row>
    <row r="84" spans="1:8" ht="19.5">
      <c r="A84" s="246" t="s">
        <v>741</v>
      </c>
      <c r="B84" s="246"/>
      <c r="C84" s="246"/>
      <c r="D84" s="246"/>
      <c r="E84" s="246"/>
      <c r="F84" s="242">
        <f>SUM(F72:F83)</f>
        <v>74728.800000000003</v>
      </c>
      <c r="G84" s="235"/>
      <c r="H84" s="235"/>
    </row>
    <row r="85" spans="1:8" ht="20.25" thickBot="1">
      <c r="A85" s="233" t="s">
        <v>281</v>
      </c>
      <c r="B85" s="233"/>
      <c r="C85" s="234"/>
      <c r="D85" s="234"/>
      <c r="E85" s="234"/>
      <c r="F85" s="247"/>
      <c r="G85" s="235"/>
      <c r="H85" s="235"/>
    </row>
    <row r="86" spans="1:8" ht="16.5" thickBot="1">
      <c r="A86" s="236" t="s">
        <v>765</v>
      </c>
      <c r="B86" s="236" t="s">
        <v>571</v>
      </c>
      <c r="C86" s="236" t="s">
        <v>20</v>
      </c>
      <c r="D86" s="236">
        <v>6</v>
      </c>
      <c r="E86" s="248">
        <v>8500</v>
      </c>
      <c r="F86" s="249">
        <f>E86*D86</f>
        <v>51000</v>
      </c>
      <c r="G86" s="235"/>
      <c r="H86" s="235"/>
    </row>
    <row r="87" spans="1:8" ht="16.5" thickBot="1">
      <c r="A87" s="236" t="s">
        <v>568</v>
      </c>
      <c r="B87" s="236" t="s">
        <v>568</v>
      </c>
      <c r="C87" s="236" t="s">
        <v>20</v>
      </c>
      <c r="D87" s="236">
        <v>1</v>
      </c>
      <c r="E87" s="248">
        <v>25000</v>
      </c>
      <c r="F87" s="249">
        <f>E87*D87</f>
        <v>25000</v>
      </c>
      <c r="G87" s="235"/>
      <c r="H87" s="235"/>
    </row>
    <row r="88" spans="1:8" ht="16.5" thickBot="1">
      <c r="A88" s="236" t="s">
        <v>766</v>
      </c>
      <c r="B88" s="236" t="s">
        <v>569</v>
      </c>
      <c r="C88" s="236" t="s">
        <v>20</v>
      </c>
      <c r="D88" s="236">
        <v>3</v>
      </c>
      <c r="E88" s="248">
        <v>10000</v>
      </c>
      <c r="F88" s="249">
        <f>E88*D88</f>
        <v>30000</v>
      </c>
      <c r="G88" s="235"/>
      <c r="H88" s="235"/>
    </row>
    <row r="89" spans="1:8" ht="16.5" thickBot="1">
      <c r="A89" s="236" t="s">
        <v>767</v>
      </c>
      <c r="B89" s="236" t="s">
        <v>768</v>
      </c>
      <c r="C89" s="236" t="s">
        <v>20</v>
      </c>
      <c r="D89" s="236">
        <v>6</v>
      </c>
      <c r="E89" s="248">
        <v>573</v>
      </c>
      <c r="F89" s="249">
        <f>E89*D89</f>
        <v>3438</v>
      </c>
      <c r="G89" s="235"/>
      <c r="H89" s="235"/>
    </row>
    <row r="90" spans="1:8" ht="24.75" thickBot="1">
      <c r="A90" s="236" t="s">
        <v>769</v>
      </c>
      <c r="B90" s="236" t="s">
        <v>769</v>
      </c>
      <c r="C90" s="236" t="s">
        <v>725</v>
      </c>
      <c r="D90" s="236">
        <v>8</v>
      </c>
      <c r="E90" s="248">
        <v>297</v>
      </c>
      <c r="F90" s="250">
        <f>E90*D90</f>
        <v>2376</v>
      </c>
      <c r="G90" s="235"/>
      <c r="H90" s="235"/>
    </row>
    <row r="91" spans="1:8" ht="16.5" thickBot="1">
      <c r="A91" s="251"/>
      <c r="B91" s="251"/>
      <c r="C91" s="251"/>
      <c r="D91" s="251"/>
      <c r="E91" s="252"/>
      <c r="F91" s="253"/>
      <c r="G91" s="235"/>
      <c r="H91" s="235"/>
    </row>
    <row r="92" spans="1:8" ht="19.5">
      <c r="A92" s="246" t="s">
        <v>741</v>
      </c>
      <c r="B92" s="246"/>
      <c r="C92" s="246"/>
      <c r="D92" s="246"/>
      <c r="E92" s="246"/>
      <c r="F92" s="242">
        <f>SUM(F86:F91)</f>
        <v>111814</v>
      </c>
      <c r="G92" s="235"/>
      <c r="H92" s="235"/>
    </row>
    <row r="93" spans="1:8" ht="20.25" thickBot="1">
      <c r="A93" s="233" t="s">
        <v>289</v>
      </c>
      <c r="B93" s="233"/>
      <c r="C93" s="234"/>
      <c r="D93" s="234"/>
      <c r="E93" s="234"/>
      <c r="F93" s="234"/>
      <c r="G93" s="235"/>
      <c r="H93" s="235"/>
    </row>
    <row r="94" spans="1:8" thickBot="1">
      <c r="A94" s="236" t="s">
        <v>770</v>
      </c>
      <c r="B94" s="236" t="s">
        <v>625</v>
      </c>
      <c r="C94" s="236" t="s">
        <v>20</v>
      </c>
      <c r="D94" s="236">
        <v>2</v>
      </c>
      <c r="E94" s="237">
        <v>928</v>
      </c>
      <c r="F94" s="237">
        <f t="shared" ref="F94:F128" si="3">E94*D94</f>
        <v>1856</v>
      </c>
      <c r="G94" s="235"/>
      <c r="H94" s="235"/>
    </row>
    <row r="95" spans="1:8" thickBot="1">
      <c r="A95" s="236" t="s">
        <v>626</v>
      </c>
      <c r="B95" s="236" t="s">
        <v>549</v>
      </c>
      <c r="C95" s="236" t="s">
        <v>262</v>
      </c>
      <c r="D95" s="238">
        <v>50</v>
      </c>
      <c r="E95" s="237">
        <v>75.27</v>
      </c>
      <c r="F95" s="237">
        <f t="shared" si="3"/>
        <v>3763.5</v>
      </c>
      <c r="G95" s="235"/>
      <c r="H95" s="235"/>
    </row>
    <row r="96" spans="1:8" thickBot="1">
      <c r="A96" s="236" t="s">
        <v>627</v>
      </c>
      <c r="B96" s="236" t="s">
        <v>549</v>
      </c>
      <c r="C96" s="236" t="s">
        <v>262</v>
      </c>
      <c r="D96" s="236">
        <v>120</v>
      </c>
      <c r="E96" s="237">
        <v>72</v>
      </c>
      <c r="F96" s="237">
        <f t="shared" si="3"/>
        <v>8640</v>
      </c>
      <c r="G96" s="235"/>
      <c r="H96" s="235"/>
    </row>
    <row r="97" spans="1:8" thickBot="1">
      <c r="A97" s="236" t="s">
        <v>628</v>
      </c>
      <c r="B97" s="236" t="s">
        <v>549</v>
      </c>
      <c r="C97" s="236" t="s">
        <v>262</v>
      </c>
      <c r="D97" s="238">
        <v>83</v>
      </c>
      <c r="E97" s="237">
        <v>57</v>
      </c>
      <c r="F97" s="237">
        <f t="shared" si="3"/>
        <v>4731</v>
      </c>
      <c r="G97" s="235"/>
      <c r="H97" s="235"/>
    </row>
    <row r="98" spans="1:8" thickBot="1">
      <c r="A98" s="236" t="s">
        <v>771</v>
      </c>
      <c r="B98" s="236" t="s">
        <v>629</v>
      </c>
      <c r="C98" s="236" t="s">
        <v>295</v>
      </c>
      <c r="D98" s="236">
        <v>100</v>
      </c>
      <c r="E98" s="237">
        <v>20</v>
      </c>
      <c r="F98" s="237">
        <f t="shared" si="3"/>
        <v>2000</v>
      </c>
      <c r="G98" s="235"/>
      <c r="H98" s="235"/>
    </row>
    <row r="99" spans="1:8" thickBot="1">
      <c r="A99" s="236" t="s">
        <v>772</v>
      </c>
      <c r="B99" s="236" t="s">
        <v>631</v>
      </c>
      <c r="C99" s="236" t="s">
        <v>20</v>
      </c>
      <c r="D99" s="236">
        <v>2</v>
      </c>
      <c r="E99" s="237">
        <v>131</v>
      </c>
      <c r="F99" s="237">
        <f t="shared" si="3"/>
        <v>262</v>
      </c>
      <c r="G99" s="235"/>
      <c r="H99" s="235"/>
    </row>
    <row r="100" spans="1:8" thickBot="1">
      <c r="A100" s="236" t="s">
        <v>773</v>
      </c>
      <c r="B100" s="236" t="s">
        <v>631</v>
      </c>
      <c r="C100" s="236" t="s">
        <v>20</v>
      </c>
      <c r="D100" s="238">
        <v>6</v>
      </c>
      <c r="E100" s="237">
        <v>142.5</v>
      </c>
      <c r="F100" s="237">
        <f t="shared" si="3"/>
        <v>855</v>
      </c>
      <c r="G100" s="235"/>
      <c r="H100" s="235"/>
    </row>
    <row r="101" spans="1:8" thickBot="1">
      <c r="A101" s="236" t="s">
        <v>774</v>
      </c>
      <c r="B101" s="236" t="s">
        <v>631</v>
      </c>
      <c r="C101" s="236" t="s">
        <v>20</v>
      </c>
      <c r="D101" s="236">
        <v>2</v>
      </c>
      <c r="E101" s="237">
        <v>137.65</v>
      </c>
      <c r="F101" s="237">
        <f t="shared" si="3"/>
        <v>275.3</v>
      </c>
      <c r="G101" s="235"/>
      <c r="H101" s="235"/>
    </row>
    <row r="102" spans="1:8" thickBot="1">
      <c r="A102" s="236" t="s">
        <v>775</v>
      </c>
      <c r="B102" s="236" t="s">
        <v>552</v>
      </c>
      <c r="C102" s="236" t="s">
        <v>20</v>
      </c>
      <c r="D102" s="236">
        <v>2</v>
      </c>
      <c r="E102" s="237">
        <v>96</v>
      </c>
      <c r="F102" s="237">
        <f t="shared" si="3"/>
        <v>192</v>
      </c>
      <c r="G102" s="235"/>
      <c r="H102" s="235"/>
    </row>
    <row r="103" spans="1:8" thickBot="1">
      <c r="A103" s="236" t="s">
        <v>776</v>
      </c>
      <c r="B103" s="236" t="s">
        <v>632</v>
      </c>
      <c r="C103" s="236" t="s">
        <v>20</v>
      </c>
      <c r="D103" s="236">
        <v>6</v>
      </c>
      <c r="E103" s="237">
        <v>107</v>
      </c>
      <c r="F103" s="237">
        <f t="shared" si="3"/>
        <v>642</v>
      </c>
      <c r="G103" s="235"/>
      <c r="H103" s="235"/>
    </row>
    <row r="104" spans="1:8" thickBot="1">
      <c r="A104" s="236" t="s">
        <v>491</v>
      </c>
      <c r="B104" s="236" t="s">
        <v>553</v>
      </c>
      <c r="C104" s="236" t="s">
        <v>20</v>
      </c>
      <c r="D104" s="238">
        <v>15</v>
      </c>
      <c r="E104" s="237">
        <v>9.23</v>
      </c>
      <c r="F104" s="237">
        <f t="shared" si="3"/>
        <v>138.45000000000002</v>
      </c>
      <c r="G104" s="235"/>
      <c r="H104" s="235"/>
    </row>
    <row r="105" spans="1:8" thickBot="1">
      <c r="A105" s="236" t="s">
        <v>492</v>
      </c>
      <c r="B105" s="236" t="s">
        <v>553</v>
      </c>
      <c r="C105" s="236" t="s">
        <v>20</v>
      </c>
      <c r="D105" s="236">
        <v>14</v>
      </c>
      <c r="E105" s="237">
        <v>12.36</v>
      </c>
      <c r="F105" s="237">
        <f t="shared" si="3"/>
        <v>173.04</v>
      </c>
      <c r="G105" s="235"/>
      <c r="H105" s="235"/>
    </row>
    <row r="106" spans="1:8" thickBot="1">
      <c r="A106" s="236" t="s">
        <v>493</v>
      </c>
      <c r="B106" s="236" t="s">
        <v>553</v>
      </c>
      <c r="C106" s="236" t="s">
        <v>20</v>
      </c>
      <c r="D106" s="238">
        <v>6</v>
      </c>
      <c r="E106" s="237">
        <v>15.8</v>
      </c>
      <c r="F106" s="237">
        <f t="shared" si="3"/>
        <v>94.800000000000011</v>
      </c>
      <c r="G106" s="235"/>
      <c r="H106" s="235"/>
    </row>
    <row r="107" spans="1:8" thickBot="1">
      <c r="A107" s="236" t="s">
        <v>777</v>
      </c>
      <c r="B107" s="236" t="s">
        <v>632</v>
      </c>
      <c r="C107" s="236" t="s">
        <v>20</v>
      </c>
      <c r="D107" s="238">
        <v>26</v>
      </c>
      <c r="E107" s="237">
        <v>99</v>
      </c>
      <c r="F107" s="237">
        <f t="shared" si="3"/>
        <v>2574</v>
      </c>
      <c r="G107" s="235"/>
      <c r="H107" s="235"/>
    </row>
    <row r="108" spans="1:8" thickBot="1">
      <c r="A108" s="236" t="s">
        <v>778</v>
      </c>
      <c r="B108" s="236" t="s">
        <v>633</v>
      </c>
      <c r="C108" s="236" t="s">
        <v>20</v>
      </c>
      <c r="D108" s="236">
        <v>3</v>
      </c>
      <c r="E108" s="237">
        <v>125</v>
      </c>
      <c r="F108" s="237">
        <f t="shared" si="3"/>
        <v>375</v>
      </c>
      <c r="G108" s="235"/>
      <c r="H108" s="235"/>
    </row>
    <row r="109" spans="1:8" thickBot="1">
      <c r="A109" s="236" t="s">
        <v>779</v>
      </c>
      <c r="B109" s="236" t="s">
        <v>554</v>
      </c>
      <c r="C109" s="236" t="s">
        <v>20</v>
      </c>
      <c r="D109" s="236">
        <v>3</v>
      </c>
      <c r="E109" s="237">
        <v>69.38</v>
      </c>
      <c r="F109" s="237">
        <f t="shared" si="3"/>
        <v>208.14</v>
      </c>
      <c r="G109" s="235"/>
      <c r="H109" s="235"/>
    </row>
    <row r="110" spans="1:8" thickBot="1">
      <c r="A110" s="236" t="s">
        <v>780</v>
      </c>
      <c r="B110" s="236" t="s">
        <v>551</v>
      </c>
      <c r="C110" s="236" t="s">
        <v>20</v>
      </c>
      <c r="D110" s="236">
        <v>4</v>
      </c>
      <c r="E110" s="237">
        <v>199</v>
      </c>
      <c r="F110" s="237">
        <f t="shared" si="3"/>
        <v>796</v>
      </c>
      <c r="G110" s="235"/>
      <c r="H110" s="235"/>
    </row>
    <row r="111" spans="1:8" thickBot="1">
      <c r="A111" s="236" t="s">
        <v>781</v>
      </c>
      <c r="B111" s="236" t="s">
        <v>551</v>
      </c>
      <c r="C111" s="236" t="s">
        <v>20</v>
      </c>
      <c r="D111" s="236">
        <v>4</v>
      </c>
      <c r="E111" s="237">
        <v>681</v>
      </c>
      <c r="F111" s="237">
        <f t="shared" si="3"/>
        <v>2724</v>
      </c>
      <c r="G111" s="235"/>
      <c r="H111" s="235"/>
    </row>
    <row r="112" spans="1:8" thickBot="1">
      <c r="A112" s="236" t="s">
        <v>782</v>
      </c>
      <c r="B112" s="236" t="s">
        <v>551</v>
      </c>
      <c r="C112" s="236" t="s">
        <v>20</v>
      </c>
      <c r="D112" s="236">
        <v>4</v>
      </c>
      <c r="E112" s="237">
        <v>623</v>
      </c>
      <c r="F112" s="237">
        <f t="shared" si="3"/>
        <v>2492</v>
      </c>
      <c r="G112" s="235"/>
      <c r="H112" s="235"/>
    </row>
    <row r="113" spans="1:8" thickBot="1">
      <c r="A113" s="236" t="s">
        <v>494</v>
      </c>
      <c r="B113" s="236" t="s">
        <v>551</v>
      </c>
      <c r="C113" s="236" t="s">
        <v>20</v>
      </c>
      <c r="D113" s="236">
        <v>1</v>
      </c>
      <c r="E113" s="237">
        <v>326</v>
      </c>
      <c r="F113" s="237">
        <f t="shared" si="3"/>
        <v>326</v>
      </c>
      <c r="G113" s="235"/>
      <c r="H113" s="235"/>
    </row>
    <row r="114" spans="1:8" thickBot="1">
      <c r="A114" s="236" t="s">
        <v>783</v>
      </c>
      <c r="B114" s="236" t="s">
        <v>551</v>
      </c>
      <c r="C114" s="236" t="s">
        <v>20</v>
      </c>
      <c r="D114" s="236">
        <v>1</v>
      </c>
      <c r="E114" s="237">
        <v>675</v>
      </c>
      <c r="F114" s="237">
        <f t="shared" si="3"/>
        <v>675</v>
      </c>
      <c r="G114" s="235"/>
      <c r="H114" s="235"/>
    </row>
    <row r="115" spans="1:8" thickBot="1">
      <c r="A115" s="236" t="s">
        <v>784</v>
      </c>
      <c r="B115" s="236" t="s">
        <v>551</v>
      </c>
      <c r="C115" s="236" t="s">
        <v>20</v>
      </c>
      <c r="D115" s="236">
        <v>1</v>
      </c>
      <c r="E115" s="237">
        <v>547</v>
      </c>
      <c r="F115" s="237">
        <f t="shared" si="3"/>
        <v>547</v>
      </c>
      <c r="G115" s="235"/>
      <c r="H115" s="235"/>
    </row>
    <row r="116" spans="1:8" thickBot="1">
      <c r="A116" s="236" t="s">
        <v>785</v>
      </c>
      <c r="B116" s="236" t="s">
        <v>577</v>
      </c>
      <c r="C116" s="236" t="s">
        <v>20</v>
      </c>
      <c r="D116" s="238">
        <v>3</v>
      </c>
      <c r="E116" s="237">
        <v>211</v>
      </c>
      <c r="F116" s="237">
        <f t="shared" si="3"/>
        <v>633</v>
      </c>
      <c r="G116" s="235"/>
      <c r="H116" s="235"/>
    </row>
    <row r="117" spans="1:8" thickBot="1">
      <c r="A117" s="236" t="s">
        <v>786</v>
      </c>
      <c r="B117" s="236" t="s">
        <v>578</v>
      </c>
      <c r="C117" s="236" t="s">
        <v>20</v>
      </c>
      <c r="D117" s="238">
        <v>3</v>
      </c>
      <c r="E117" s="237">
        <v>65</v>
      </c>
      <c r="F117" s="237">
        <f t="shared" si="3"/>
        <v>195</v>
      </c>
      <c r="G117" s="235"/>
      <c r="H117" s="235"/>
    </row>
    <row r="118" spans="1:8" thickBot="1">
      <c r="A118" s="236" t="s">
        <v>787</v>
      </c>
      <c r="B118" s="236" t="s">
        <v>577</v>
      </c>
      <c r="C118" s="236" t="s">
        <v>20</v>
      </c>
      <c r="D118" s="236">
        <v>4</v>
      </c>
      <c r="E118" s="237">
        <v>136</v>
      </c>
      <c r="F118" s="237">
        <f t="shared" si="3"/>
        <v>544</v>
      </c>
      <c r="G118" s="235"/>
      <c r="H118" s="235"/>
    </row>
    <row r="119" spans="1:8" thickBot="1">
      <c r="A119" s="236" t="s">
        <v>788</v>
      </c>
      <c r="B119" s="236" t="s">
        <v>550</v>
      </c>
      <c r="C119" s="236" t="s">
        <v>20</v>
      </c>
      <c r="D119" s="236">
        <v>5</v>
      </c>
      <c r="E119" s="237">
        <v>204</v>
      </c>
      <c r="F119" s="237">
        <f t="shared" si="3"/>
        <v>1020</v>
      </c>
      <c r="G119" s="235"/>
      <c r="H119" s="235"/>
    </row>
    <row r="120" spans="1:8" thickBot="1">
      <c r="A120" s="236" t="s">
        <v>789</v>
      </c>
      <c r="B120" s="236" t="s">
        <v>550</v>
      </c>
      <c r="C120" s="236" t="s">
        <v>20</v>
      </c>
      <c r="D120" s="238">
        <v>4</v>
      </c>
      <c r="E120" s="237">
        <v>187</v>
      </c>
      <c r="F120" s="237">
        <f t="shared" si="3"/>
        <v>748</v>
      </c>
      <c r="G120" s="235"/>
      <c r="H120" s="235"/>
    </row>
    <row r="121" spans="1:8" thickBot="1">
      <c r="A121" s="236" t="s">
        <v>790</v>
      </c>
      <c r="B121" s="236" t="s">
        <v>550</v>
      </c>
      <c r="C121" s="236" t="s">
        <v>20</v>
      </c>
      <c r="D121" s="238">
        <v>7</v>
      </c>
      <c r="E121" s="237">
        <v>203</v>
      </c>
      <c r="F121" s="237">
        <f t="shared" si="3"/>
        <v>1421</v>
      </c>
      <c r="G121" s="235"/>
      <c r="H121" s="235"/>
    </row>
    <row r="122" spans="1:8" thickBot="1">
      <c r="A122" s="236" t="s">
        <v>791</v>
      </c>
      <c r="B122" s="236" t="s">
        <v>634</v>
      </c>
      <c r="C122" s="236" t="s">
        <v>20</v>
      </c>
      <c r="D122" s="236">
        <v>1</v>
      </c>
      <c r="E122" s="237">
        <v>2560</v>
      </c>
      <c r="F122" s="237">
        <f t="shared" si="3"/>
        <v>2560</v>
      </c>
      <c r="G122" s="235"/>
      <c r="H122" s="235"/>
    </row>
    <row r="123" spans="1:8" thickBot="1">
      <c r="A123" s="236" t="s">
        <v>792</v>
      </c>
      <c r="B123" s="236" t="s">
        <v>563</v>
      </c>
      <c r="C123" s="236" t="s">
        <v>20</v>
      </c>
      <c r="D123" s="236">
        <v>2</v>
      </c>
      <c r="E123" s="237">
        <v>560</v>
      </c>
      <c r="F123" s="237">
        <f t="shared" si="3"/>
        <v>1120</v>
      </c>
      <c r="G123" s="235"/>
      <c r="H123" s="235"/>
    </row>
    <row r="124" spans="1:8" thickBot="1">
      <c r="A124" s="236" t="s">
        <v>635</v>
      </c>
      <c r="B124" s="236" t="s">
        <v>636</v>
      </c>
      <c r="C124" s="236" t="s">
        <v>20</v>
      </c>
      <c r="D124" s="236">
        <v>1</v>
      </c>
      <c r="E124" s="237">
        <v>104</v>
      </c>
      <c r="F124" s="237">
        <f t="shared" si="3"/>
        <v>104</v>
      </c>
      <c r="G124" s="235"/>
      <c r="H124" s="235"/>
    </row>
    <row r="125" spans="1:8" thickBot="1">
      <c r="A125" s="236" t="s">
        <v>793</v>
      </c>
      <c r="B125" s="236" t="s">
        <v>637</v>
      </c>
      <c r="C125" s="236" t="s">
        <v>20</v>
      </c>
      <c r="D125" s="236">
        <v>3</v>
      </c>
      <c r="E125" s="237">
        <v>220.32</v>
      </c>
      <c r="F125" s="237">
        <f t="shared" si="3"/>
        <v>660.96</v>
      </c>
      <c r="G125" s="235"/>
      <c r="H125" s="235"/>
    </row>
    <row r="126" spans="1:8" thickBot="1">
      <c r="A126" s="236" t="s">
        <v>579</v>
      </c>
      <c r="B126" s="236" t="s">
        <v>579</v>
      </c>
      <c r="C126" s="236" t="s">
        <v>20</v>
      </c>
      <c r="D126" s="236">
        <v>2</v>
      </c>
      <c r="E126" s="237">
        <v>25</v>
      </c>
      <c r="F126" s="237">
        <f t="shared" si="3"/>
        <v>50</v>
      </c>
      <c r="G126" s="235"/>
      <c r="H126" s="235"/>
    </row>
    <row r="127" spans="1:8" thickBot="1">
      <c r="A127" s="236" t="s">
        <v>794</v>
      </c>
      <c r="B127" s="236" t="s">
        <v>794</v>
      </c>
      <c r="C127" s="236" t="s">
        <v>20</v>
      </c>
      <c r="D127" s="236">
        <v>1</v>
      </c>
      <c r="E127" s="237">
        <v>2760</v>
      </c>
      <c r="F127" s="237">
        <f t="shared" si="3"/>
        <v>2760</v>
      </c>
      <c r="G127" s="235"/>
      <c r="H127" s="235"/>
    </row>
    <row r="128" spans="1:8" thickBot="1">
      <c r="A128" s="236" t="s">
        <v>795</v>
      </c>
      <c r="B128" s="236" t="s">
        <v>638</v>
      </c>
      <c r="C128" s="236" t="s">
        <v>20</v>
      </c>
      <c r="D128" s="236">
        <v>7</v>
      </c>
      <c r="E128" s="237">
        <v>2500</v>
      </c>
      <c r="F128" s="237">
        <f t="shared" si="3"/>
        <v>17500</v>
      </c>
      <c r="G128" s="235"/>
      <c r="H128" s="235"/>
    </row>
    <row r="129" spans="1:8" ht="19.5">
      <c r="A129" s="246" t="s">
        <v>741</v>
      </c>
      <c r="B129" s="246"/>
      <c r="C129" s="246"/>
      <c r="D129" s="246"/>
      <c r="E129" s="246"/>
      <c r="F129" s="242">
        <f>SUM(F94:F128)</f>
        <v>63656.189999999995</v>
      </c>
      <c r="G129" s="235"/>
      <c r="H129" s="235"/>
    </row>
    <row r="130" spans="1:8" ht="20.25" thickBot="1">
      <c r="A130" s="233" t="s">
        <v>330</v>
      </c>
      <c r="B130" s="233"/>
      <c r="C130" s="234"/>
      <c r="D130" s="234"/>
      <c r="E130" s="234"/>
      <c r="F130" s="234"/>
      <c r="G130" s="235"/>
      <c r="H130" s="235"/>
    </row>
    <row r="131" spans="1:8" thickBot="1">
      <c r="A131" s="236" t="s">
        <v>796</v>
      </c>
      <c r="B131" s="236" t="s">
        <v>573</v>
      </c>
      <c r="C131" s="236" t="s">
        <v>20</v>
      </c>
      <c r="D131" s="236">
        <v>1</v>
      </c>
      <c r="E131" s="237">
        <v>115</v>
      </c>
      <c r="F131" s="237">
        <f t="shared" ref="F131:F166" si="4">E131*D131</f>
        <v>115</v>
      </c>
      <c r="G131" s="235"/>
      <c r="H131" s="235"/>
    </row>
    <row r="132" spans="1:8" thickBot="1">
      <c r="A132" s="236" t="s">
        <v>797</v>
      </c>
      <c r="B132" s="236" t="s">
        <v>573</v>
      </c>
      <c r="C132" s="236" t="s">
        <v>20</v>
      </c>
      <c r="D132" s="236">
        <v>1</v>
      </c>
      <c r="E132" s="237">
        <v>201</v>
      </c>
      <c r="F132" s="237">
        <f t="shared" si="4"/>
        <v>201</v>
      </c>
      <c r="G132" s="235"/>
      <c r="H132" s="235"/>
    </row>
    <row r="133" spans="1:8" thickBot="1">
      <c r="A133" s="236" t="s">
        <v>798</v>
      </c>
      <c r="B133" s="236" t="s">
        <v>573</v>
      </c>
      <c r="C133" s="236" t="s">
        <v>20</v>
      </c>
      <c r="D133" s="236">
        <v>1</v>
      </c>
      <c r="E133" s="237">
        <v>305</v>
      </c>
      <c r="F133" s="237">
        <f t="shared" si="4"/>
        <v>305</v>
      </c>
      <c r="G133" s="235"/>
      <c r="H133" s="235"/>
    </row>
    <row r="134" spans="1:8" thickBot="1">
      <c r="A134" s="236" t="s">
        <v>799</v>
      </c>
      <c r="B134" s="236" t="s">
        <v>573</v>
      </c>
      <c r="C134" s="236" t="s">
        <v>20</v>
      </c>
      <c r="D134" s="236">
        <v>1</v>
      </c>
      <c r="E134" s="237">
        <v>622</v>
      </c>
      <c r="F134" s="237">
        <f t="shared" si="4"/>
        <v>622</v>
      </c>
      <c r="G134" s="235"/>
      <c r="H134" s="235"/>
    </row>
    <row r="135" spans="1:8" thickBot="1">
      <c r="A135" s="236" t="s">
        <v>800</v>
      </c>
      <c r="B135" s="236" t="s">
        <v>667</v>
      </c>
      <c r="C135" s="236" t="s">
        <v>20</v>
      </c>
      <c r="D135" s="238">
        <v>6</v>
      </c>
      <c r="E135" s="237">
        <v>260</v>
      </c>
      <c r="F135" s="237">
        <f t="shared" si="4"/>
        <v>1560</v>
      </c>
      <c r="G135" s="235"/>
      <c r="H135" s="235"/>
    </row>
    <row r="136" spans="1:8" thickBot="1">
      <c r="A136" s="236" t="s">
        <v>801</v>
      </c>
      <c r="B136" s="236" t="s">
        <v>667</v>
      </c>
      <c r="C136" s="236" t="s">
        <v>20</v>
      </c>
      <c r="D136" s="238">
        <v>2</v>
      </c>
      <c r="E136" s="237">
        <v>98</v>
      </c>
      <c r="F136" s="237">
        <f t="shared" si="4"/>
        <v>196</v>
      </c>
      <c r="G136" s="235"/>
      <c r="H136" s="235"/>
    </row>
    <row r="137" spans="1:8" thickBot="1">
      <c r="A137" s="236" t="s">
        <v>802</v>
      </c>
      <c r="B137" s="236" t="s">
        <v>555</v>
      </c>
      <c r="C137" s="236" t="s">
        <v>20</v>
      </c>
      <c r="D137" s="236">
        <v>1</v>
      </c>
      <c r="E137" s="237">
        <v>87</v>
      </c>
      <c r="F137" s="237">
        <f t="shared" si="4"/>
        <v>87</v>
      </c>
      <c r="G137" s="235"/>
      <c r="H137" s="235"/>
    </row>
    <row r="138" spans="1:8" thickBot="1">
      <c r="A138" s="236" t="s">
        <v>803</v>
      </c>
      <c r="B138" s="236" t="s">
        <v>555</v>
      </c>
      <c r="C138" s="236" t="s">
        <v>20</v>
      </c>
      <c r="D138" s="236">
        <v>1</v>
      </c>
      <c r="E138" s="237">
        <v>129</v>
      </c>
      <c r="F138" s="237">
        <f t="shared" si="4"/>
        <v>129</v>
      </c>
      <c r="G138" s="235"/>
      <c r="H138" s="235"/>
    </row>
    <row r="139" spans="1:8" thickBot="1">
      <c r="A139" s="236" t="s">
        <v>804</v>
      </c>
      <c r="B139" s="236" t="s">
        <v>557</v>
      </c>
      <c r="C139" s="236" t="s">
        <v>20</v>
      </c>
      <c r="D139" s="236">
        <v>1</v>
      </c>
      <c r="E139" s="237">
        <v>268</v>
      </c>
      <c r="F139" s="237">
        <f t="shared" si="4"/>
        <v>268</v>
      </c>
      <c r="G139" s="235"/>
      <c r="H139" s="235"/>
    </row>
    <row r="140" spans="1:8" thickBot="1">
      <c r="A140" s="236" t="s">
        <v>805</v>
      </c>
      <c r="B140" s="236" t="s">
        <v>557</v>
      </c>
      <c r="C140" s="236" t="s">
        <v>20</v>
      </c>
      <c r="D140" s="236">
        <v>1</v>
      </c>
      <c r="E140" s="237">
        <v>87</v>
      </c>
      <c r="F140" s="237">
        <f t="shared" si="4"/>
        <v>87</v>
      </c>
      <c r="G140" s="235"/>
      <c r="H140" s="235"/>
    </row>
    <row r="141" spans="1:8" thickBot="1">
      <c r="A141" s="236" t="s">
        <v>806</v>
      </c>
      <c r="B141" s="236" t="s">
        <v>807</v>
      </c>
      <c r="C141" s="236" t="s">
        <v>20</v>
      </c>
      <c r="D141" s="236">
        <v>1</v>
      </c>
      <c r="E141" s="237">
        <v>125</v>
      </c>
      <c r="F141" s="237">
        <f t="shared" si="4"/>
        <v>125</v>
      </c>
      <c r="G141" s="235"/>
      <c r="H141" s="235"/>
    </row>
    <row r="142" spans="1:8" thickBot="1">
      <c r="A142" s="236" t="s">
        <v>808</v>
      </c>
      <c r="B142" s="236" t="s">
        <v>809</v>
      </c>
      <c r="C142" s="236" t="s">
        <v>20</v>
      </c>
      <c r="D142" s="236">
        <v>1</v>
      </c>
      <c r="E142" s="237">
        <v>176.4</v>
      </c>
      <c r="F142" s="237">
        <f t="shared" si="4"/>
        <v>176.4</v>
      </c>
      <c r="G142" s="235"/>
      <c r="H142" s="235"/>
    </row>
    <row r="143" spans="1:8" thickBot="1">
      <c r="A143" s="236" t="s">
        <v>810</v>
      </c>
      <c r="B143" s="236" t="s">
        <v>576</v>
      </c>
      <c r="C143" s="236" t="s">
        <v>20</v>
      </c>
      <c r="D143" s="236">
        <v>1</v>
      </c>
      <c r="E143" s="237">
        <v>267</v>
      </c>
      <c r="F143" s="237">
        <f t="shared" si="4"/>
        <v>267</v>
      </c>
      <c r="G143" s="235"/>
      <c r="H143" s="235"/>
    </row>
    <row r="144" spans="1:8" thickBot="1">
      <c r="A144" s="236" t="s">
        <v>811</v>
      </c>
      <c r="B144" s="236" t="s">
        <v>576</v>
      </c>
      <c r="C144" s="236" t="s">
        <v>20</v>
      </c>
      <c r="D144" s="236">
        <v>1</v>
      </c>
      <c r="E144" s="237">
        <v>723</v>
      </c>
      <c r="F144" s="237">
        <f t="shared" si="4"/>
        <v>723</v>
      </c>
      <c r="G144" s="235"/>
      <c r="H144" s="235"/>
    </row>
    <row r="145" spans="1:8" thickBot="1">
      <c r="A145" s="236" t="s">
        <v>812</v>
      </c>
      <c r="B145" s="236" t="s">
        <v>558</v>
      </c>
      <c r="C145" s="236" t="s">
        <v>20</v>
      </c>
      <c r="D145" s="238">
        <v>5</v>
      </c>
      <c r="E145" s="237">
        <v>117</v>
      </c>
      <c r="F145" s="237">
        <f t="shared" si="4"/>
        <v>585</v>
      </c>
      <c r="G145" s="235"/>
      <c r="H145" s="235"/>
    </row>
    <row r="146" spans="1:8" thickBot="1">
      <c r="A146" s="236" t="s">
        <v>813</v>
      </c>
      <c r="B146" s="236" t="s">
        <v>558</v>
      </c>
      <c r="C146" s="236" t="s">
        <v>20</v>
      </c>
      <c r="D146" s="238">
        <v>6</v>
      </c>
      <c r="E146" s="237">
        <v>77</v>
      </c>
      <c r="F146" s="237">
        <f t="shared" si="4"/>
        <v>462</v>
      </c>
      <c r="G146" s="235"/>
      <c r="H146" s="235"/>
    </row>
    <row r="147" spans="1:8" thickBot="1">
      <c r="A147" s="236" t="s">
        <v>814</v>
      </c>
      <c r="B147" s="236" t="s">
        <v>556</v>
      </c>
      <c r="C147" s="236" t="s">
        <v>295</v>
      </c>
      <c r="D147" s="238">
        <v>30</v>
      </c>
      <c r="E147" s="237">
        <v>87</v>
      </c>
      <c r="F147" s="237">
        <f t="shared" si="4"/>
        <v>2610</v>
      </c>
      <c r="G147" s="235"/>
      <c r="H147" s="235"/>
    </row>
    <row r="148" spans="1:8" thickBot="1">
      <c r="A148" s="236" t="s">
        <v>815</v>
      </c>
      <c r="B148" s="236" t="s">
        <v>565</v>
      </c>
      <c r="C148" s="236" t="s">
        <v>20</v>
      </c>
      <c r="D148" s="238">
        <v>15</v>
      </c>
      <c r="E148" s="237">
        <v>68</v>
      </c>
      <c r="F148" s="237">
        <f t="shared" si="4"/>
        <v>1020</v>
      </c>
      <c r="G148" s="235"/>
      <c r="H148" s="235"/>
    </row>
    <row r="149" spans="1:8" thickBot="1">
      <c r="A149" s="236" t="s">
        <v>816</v>
      </c>
      <c r="B149" s="236" t="s">
        <v>654</v>
      </c>
      <c r="C149" s="236" t="s">
        <v>20</v>
      </c>
      <c r="D149" s="236">
        <v>2</v>
      </c>
      <c r="E149" s="237">
        <v>77</v>
      </c>
      <c r="F149" s="237">
        <f t="shared" si="4"/>
        <v>154</v>
      </c>
      <c r="G149" s="235"/>
      <c r="H149" s="235"/>
    </row>
    <row r="150" spans="1:8" thickBot="1">
      <c r="A150" s="236" t="s">
        <v>817</v>
      </c>
      <c r="B150" s="236" t="s">
        <v>557</v>
      </c>
      <c r="C150" s="236" t="s">
        <v>20</v>
      </c>
      <c r="D150" s="236">
        <v>1</v>
      </c>
      <c r="E150" s="237">
        <v>73.400000000000006</v>
      </c>
      <c r="F150" s="237">
        <f t="shared" si="4"/>
        <v>73.400000000000006</v>
      </c>
      <c r="G150" s="235"/>
      <c r="H150" s="235"/>
    </row>
    <row r="151" spans="1:8" thickBot="1">
      <c r="A151" s="236" t="s">
        <v>818</v>
      </c>
      <c r="B151" s="236" t="s">
        <v>557</v>
      </c>
      <c r="C151" s="236" t="s">
        <v>20</v>
      </c>
      <c r="D151" s="236">
        <v>1</v>
      </c>
      <c r="E151" s="237">
        <v>36</v>
      </c>
      <c r="F151" s="237">
        <f t="shared" si="4"/>
        <v>36</v>
      </c>
      <c r="G151" s="235"/>
      <c r="H151" s="235"/>
    </row>
    <row r="152" spans="1:8" thickBot="1">
      <c r="A152" s="236" t="s">
        <v>819</v>
      </c>
      <c r="B152" s="236" t="s">
        <v>555</v>
      </c>
      <c r="C152" s="236" t="s">
        <v>20</v>
      </c>
      <c r="D152" s="238">
        <v>15</v>
      </c>
      <c r="E152" s="237">
        <v>67</v>
      </c>
      <c r="F152" s="237">
        <f t="shared" si="4"/>
        <v>1005</v>
      </c>
      <c r="G152" s="235"/>
      <c r="H152" s="235"/>
    </row>
    <row r="153" spans="1:8" thickBot="1">
      <c r="A153" s="236" t="s">
        <v>820</v>
      </c>
      <c r="B153" s="236" t="s">
        <v>559</v>
      </c>
      <c r="C153" s="236" t="s">
        <v>20</v>
      </c>
      <c r="D153" s="238">
        <v>10</v>
      </c>
      <c r="E153" s="237">
        <v>324</v>
      </c>
      <c r="F153" s="237">
        <f t="shared" si="4"/>
        <v>3240</v>
      </c>
      <c r="G153" s="235"/>
      <c r="H153" s="235"/>
    </row>
    <row r="154" spans="1:8" thickBot="1">
      <c r="A154" s="236" t="s">
        <v>821</v>
      </c>
      <c r="B154" s="236" t="s">
        <v>561</v>
      </c>
      <c r="C154" s="236" t="s">
        <v>20</v>
      </c>
      <c r="D154" s="236">
        <v>3</v>
      </c>
      <c r="E154" s="237">
        <v>116.4</v>
      </c>
      <c r="F154" s="237">
        <f t="shared" si="4"/>
        <v>349.20000000000005</v>
      </c>
      <c r="G154" s="235"/>
      <c r="H154" s="235"/>
    </row>
    <row r="155" spans="1:8" thickBot="1">
      <c r="A155" s="236" t="s">
        <v>658</v>
      </c>
      <c r="B155" s="236" t="s">
        <v>555</v>
      </c>
      <c r="C155" s="236" t="s">
        <v>20</v>
      </c>
      <c r="D155" s="236">
        <v>1</v>
      </c>
      <c r="E155" s="237">
        <v>111</v>
      </c>
      <c r="F155" s="237">
        <f t="shared" si="4"/>
        <v>111</v>
      </c>
      <c r="G155" s="235"/>
      <c r="H155" s="235"/>
    </row>
    <row r="156" spans="1:8" thickBot="1">
      <c r="A156" s="236" t="s">
        <v>659</v>
      </c>
      <c r="B156" s="236" t="s">
        <v>651</v>
      </c>
      <c r="C156" s="236" t="s">
        <v>20</v>
      </c>
      <c r="D156" s="236">
        <v>1</v>
      </c>
      <c r="E156" s="237">
        <v>196.6</v>
      </c>
      <c r="F156" s="237">
        <f t="shared" si="4"/>
        <v>196.6</v>
      </c>
      <c r="G156" s="235"/>
      <c r="H156" s="235"/>
    </row>
    <row r="157" spans="1:8" thickBot="1">
      <c r="A157" s="236" t="s">
        <v>822</v>
      </c>
      <c r="B157" s="236" t="s">
        <v>669</v>
      </c>
      <c r="C157" s="236" t="s">
        <v>20</v>
      </c>
      <c r="D157" s="238">
        <v>6</v>
      </c>
      <c r="E157" s="237">
        <v>129.80000000000001</v>
      </c>
      <c r="F157" s="237">
        <f t="shared" si="4"/>
        <v>778.80000000000007</v>
      </c>
      <c r="G157" s="235"/>
      <c r="H157" s="235"/>
    </row>
    <row r="158" spans="1:8" thickBot="1">
      <c r="A158" s="236" t="s">
        <v>823</v>
      </c>
      <c r="B158" s="236" t="s">
        <v>556</v>
      </c>
      <c r="C158" s="236" t="s">
        <v>295</v>
      </c>
      <c r="D158" s="238">
        <v>75</v>
      </c>
      <c r="E158" s="237">
        <v>29</v>
      </c>
      <c r="F158" s="237">
        <f t="shared" si="4"/>
        <v>2175</v>
      </c>
      <c r="G158" s="235"/>
      <c r="H158" s="235"/>
    </row>
    <row r="159" spans="1:8" thickBot="1">
      <c r="A159" s="236" t="s">
        <v>660</v>
      </c>
      <c r="B159" s="236" t="s">
        <v>657</v>
      </c>
      <c r="C159" s="236" t="s">
        <v>20</v>
      </c>
      <c r="D159" s="238">
        <v>30</v>
      </c>
      <c r="E159" s="237">
        <v>66</v>
      </c>
      <c r="F159" s="237">
        <f t="shared" si="4"/>
        <v>1980</v>
      </c>
      <c r="G159" s="235"/>
      <c r="H159" s="235"/>
    </row>
    <row r="160" spans="1:8" thickBot="1">
      <c r="A160" s="236" t="s">
        <v>824</v>
      </c>
      <c r="B160" s="236" t="s">
        <v>661</v>
      </c>
      <c r="C160" s="236" t="s">
        <v>20</v>
      </c>
      <c r="D160" s="236">
        <v>1</v>
      </c>
      <c r="E160" s="237">
        <v>208</v>
      </c>
      <c r="F160" s="237">
        <f t="shared" si="4"/>
        <v>208</v>
      </c>
      <c r="G160" s="235"/>
      <c r="H160" s="235"/>
    </row>
    <row r="161" spans="1:8" thickBot="1">
      <c r="A161" s="236" t="s">
        <v>652</v>
      </c>
      <c r="B161" s="236" t="s">
        <v>652</v>
      </c>
      <c r="C161" s="236" t="s">
        <v>20</v>
      </c>
      <c r="D161" s="236">
        <v>1</v>
      </c>
      <c r="E161" s="237">
        <v>6700</v>
      </c>
      <c r="F161" s="237">
        <f t="shared" si="4"/>
        <v>6700</v>
      </c>
      <c r="G161" s="235"/>
      <c r="H161" s="235"/>
    </row>
    <row r="162" spans="1:8" thickBot="1">
      <c r="A162" s="236" t="s">
        <v>825</v>
      </c>
      <c r="B162" s="236" t="s">
        <v>648</v>
      </c>
      <c r="C162" s="236" t="s">
        <v>20</v>
      </c>
      <c r="D162" s="236">
        <v>1</v>
      </c>
      <c r="E162" s="237">
        <v>9200</v>
      </c>
      <c r="F162" s="237">
        <f t="shared" si="4"/>
        <v>9200</v>
      </c>
      <c r="G162" s="235"/>
      <c r="H162" s="235"/>
    </row>
    <row r="163" spans="1:8" thickBot="1">
      <c r="A163" s="236" t="s">
        <v>826</v>
      </c>
      <c r="B163" s="236" t="s">
        <v>656</v>
      </c>
      <c r="C163" s="236" t="s">
        <v>20</v>
      </c>
      <c r="D163" s="236">
        <v>1</v>
      </c>
      <c r="E163" s="237">
        <v>1200</v>
      </c>
      <c r="F163" s="237">
        <f t="shared" si="4"/>
        <v>1200</v>
      </c>
      <c r="G163" s="235"/>
      <c r="H163" s="235"/>
    </row>
    <row r="164" spans="1:8" thickBot="1">
      <c r="A164" s="236" t="s">
        <v>827</v>
      </c>
      <c r="B164" s="236" t="s">
        <v>574</v>
      </c>
      <c r="C164" s="236" t="s">
        <v>20</v>
      </c>
      <c r="D164" s="236">
        <v>1</v>
      </c>
      <c r="E164" s="237">
        <v>4230</v>
      </c>
      <c r="F164" s="237">
        <f t="shared" si="4"/>
        <v>4230</v>
      </c>
      <c r="G164" s="235"/>
      <c r="H164" s="235"/>
    </row>
    <row r="165" spans="1:8" thickBot="1">
      <c r="A165" s="236" t="s">
        <v>828</v>
      </c>
      <c r="B165" s="236" t="s">
        <v>648</v>
      </c>
      <c r="C165" s="236" t="s">
        <v>20</v>
      </c>
      <c r="D165" s="236">
        <v>1</v>
      </c>
      <c r="E165" s="237">
        <v>5600</v>
      </c>
      <c r="F165" s="237">
        <f t="shared" si="4"/>
        <v>5600</v>
      </c>
      <c r="G165" s="235"/>
      <c r="H165" s="235"/>
    </row>
    <row r="166" spans="1:8" thickBot="1">
      <c r="A166" s="236" t="s">
        <v>829</v>
      </c>
      <c r="B166" s="236" t="s">
        <v>558</v>
      </c>
      <c r="C166" s="236" t="s">
        <v>20</v>
      </c>
      <c r="D166" s="236">
        <v>1</v>
      </c>
      <c r="E166" s="237">
        <v>66</v>
      </c>
      <c r="F166" s="237">
        <f t="shared" si="4"/>
        <v>66</v>
      </c>
      <c r="G166" s="235"/>
      <c r="H166" s="235"/>
    </row>
    <row r="167" spans="1:8" ht="19.5">
      <c r="A167" s="246" t="s">
        <v>741</v>
      </c>
      <c r="B167" s="246"/>
      <c r="C167" s="246"/>
      <c r="D167" s="246"/>
      <c r="E167" s="246"/>
      <c r="F167" s="242">
        <f>SUM(F131:F166)</f>
        <v>46841.4</v>
      </c>
      <c r="G167" s="235"/>
      <c r="H167" s="235"/>
    </row>
    <row r="168" spans="1:8" ht="20.45" customHeight="1" thickBot="1">
      <c r="A168" s="233" t="s">
        <v>425</v>
      </c>
      <c r="B168" s="233"/>
      <c r="C168" s="234"/>
      <c r="D168" s="234"/>
      <c r="E168" s="234"/>
      <c r="F168" s="234"/>
      <c r="G168" s="235"/>
      <c r="H168" s="235"/>
    </row>
    <row r="169" spans="1:8" thickBot="1">
      <c r="A169" s="236" t="s">
        <v>830</v>
      </c>
      <c r="B169" s="236" t="s">
        <v>670</v>
      </c>
      <c r="C169" s="236" t="s">
        <v>20</v>
      </c>
      <c r="D169" s="236">
        <v>2</v>
      </c>
      <c r="E169" s="237">
        <v>560</v>
      </c>
      <c r="F169" s="237">
        <f t="shared" ref="F169:F188" si="5">E169*D169</f>
        <v>1120</v>
      </c>
      <c r="G169" s="235"/>
      <c r="H169" s="235"/>
    </row>
    <row r="170" spans="1:8" thickBot="1">
      <c r="A170" s="236" t="s">
        <v>671</v>
      </c>
      <c r="B170" s="236" t="s">
        <v>671</v>
      </c>
      <c r="C170" s="236" t="s">
        <v>20</v>
      </c>
      <c r="D170" s="236">
        <v>1</v>
      </c>
      <c r="E170" s="237">
        <v>460</v>
      </c>
      <c r="F170" s="237">
        <f t="shared" si="5"/>
        <v>460</v>
      </c>
      <c r="G170" s="235"/>
      <c r="H170" s="235"/>
    </row>
    <row r="171" spans="1:8" thickBot="1">
      <c r="A171" s="236" t="s">
        <v>831</v>
      </c>
      <c r="B171" s="236" t="s">
        <v>672</v>
      </c>
      <c r="C171" s="236" t="s">
        <v>20</v>
      </c>
      <c r="D171" s="236">
        <v>1</v>
      </c>
      <c r="E171" s="237">
        <v>500</v>
      </c>
      <c r="F171" s="237">
        <f t="shared" si="5"/>
        <v>500</v>
      </c>
      <c r="G171" s="235"/>
      <c r="H171" s="235"/>
    </row>
    <row r="172" spans="1:8" thickBot="1">
      <c r="A172" s="236" t="s">
        <v>832</v>
      </c>
      <c r="B172" s="236" t="s">
        <v>639</v>
      </c>
      <c r="C172" s="236" t="s">
        <v>20</v>
      </c>
      <c r="D172" s="236">
        <v>1</v>
      </c>
      <c r="E172" s="237">
        <v>17000</v>
      </c>
      <c r="F172" s="237">
        <f t="shared" si="5"/>
        <v>17000</v>
      </c>
      <c r="G172" s="235"/>
      <c r="H172" s="235"/>
    </row>
    <row r="173" spans="1:8" thickBot="1">
      <c r="A173" s="236" t="s">
        <v>833</v>
      </c>
      <c r="B173" s="236" t="s">
        <v>673</v>
      </c>
      <c r="C173" s="236" t="s">
        <v>20</v>
      </c>
      <c r="D173" s="236">
        <v>8</v>
      </c>
      <c r="E173" s="237">
        <v>1500</v>
      </c>
      <c r="F173" s="237">
        <f t="shared" si="5"/>
        <v>12000</v>
      </c>
      <c r="G173" s="235"/>
      <c r="H173" s="235"/>
    </row>
    <row r="174" spans="1:8" thickBot="1">
      <c r="A174" s="236" t="s">
        <v>655</v>
      </c>
      <c r="B174" s="236" t="s">
        <v>655</v>
      </c>
      <c r="C174" s="236" t="s">
        <v>20</v>
      </c>
      <c r="D174" s="236">
        <v>4</v>
      </c>
      <c r="E174" s="237">
        <v>340</v>
      </c>
      <c r="F174" s="237">
        <f t="shared" si="5"/>
        <v>1360</v>
      </c>
      <c r="G174" s="235"/>
      <c r="H174" s="235"/>
    </row>
    <row r="175" spans="1:8" thickBot="1">
      <c r="A175" s="236" t="s">
        <v>834</v>
      </c>
      <c r="B175" s="236" t="s">
        <v>674</v>
      </c>
      <c r="C175" s="236" t="s">
        <v>20</v>
      </c>
      <c r="D175" s="236">
        <v>1</v>
      </c>
      <c r="E175" s="237">
        <v>587</v>
      </c>
      <c r="F175" s="237">
        <f t="shared" si="5"/>
        <v>587</v>
      </c>
      <c r="G175" s="235"/>
      <c r="H175" s="235"/>
    </row>
    <row r="176" spans="1:8" thickBot="1">
      <c r="A176" s="236" t="s">
        <v>835</v>
      </c>
      <c r="B176" s="236" t="s">
        <v>674</v>
      </c>
      <c r="C176" s="236" t="s">
        <v>20</v>
      </c>
      <c r="D176" s="236">
        <v>1</v>
      </c>
      <c r="E176" s="237">
        <v>360</v>
      </c>
      <c r="F176" s="237">
        <f t="shared" si="5"/>
        <v>360</v>
      </c>
      <c r="G176" s="235"/>
      <c r="H176" s="235"/>
    </row>
    <row r="177" spans="1:10" thickBot="1">
      <c r="A177" s="236" t="s">
        <v>836</v>
      </c>
      <c r="B177" s="236" t="s">
        <v>675</v>
      </c>
      <c r="C177" s="236" t="s">
        <v>20</v>
      </c>
      <c r="D177" s="236">
        <v>1</v>
      </c>
      <c r="E177" s="237">
        <v>3460</v>
      </c>
      <c r="F177" s="237">
        <f t="shared" si="5"/>
        <v>3460</v>
      </c>
      <c r="G177" s="235"/>
      <c r="H177" s="235"/>
    </row>
    <row r="178" spans="1:10" thickBot="1">
      <c r="A178" s="236" t="s">
        <v>837</v>
      </c>
      <c r="B178" s="236" t="s">
        <v>676</v>
      </c>
      <c r="C178" s="236" t="s">
        <v>20</v>
      </c>
      <c r="D178" s="236">
        <v>1</v>
      </c>
      <c r="E178" s="237">
        <v>6700</v>
      </c>
      <c r="F178" s="237">
        <f t="shared" si="5"/>
        <v>6700</v>
      </c>
      <c r="G178" s="235"/>
      <c r="H178" s="235"/>
    </row>
    <row r="179" spans="1:10" thickBot="1">
      <c r="A179" s="236" t="s">
        <v>838</v>
      </c>
      <c r="B179" s="236" t="s">
        <v>677</v>
      </c>
      <c r="C179" s="236" t="s">
        <v>20</v>
      </c>
      <c r="D179" s="236">
        <v>1</v>
      </c>
      <c r="E179" s="237">
        <v>1500</v>
      </c>
      <c r="F179" s="237">
        <f t="shared" si="5"/>
        <v>1500</v>
      </c>
      <c r="G179" s="235"/>
      <c r="H179" s="235"/>
    </row>
    <row r="180" spans="1:10" thickBot="1">
      <c r="A180" s="236" t="s">
        <v>839</v>
      </c>
      <c r="B180" s="236" t="s">
        <v>678</v>
      </c>
      <c r="C180" s="236" t="s">
        <v>20</v>
      </c>
      <c r="D180" s="236">
        <v>1</v>
      </c>
      <c r="E180" s="237">
        <v>7800</v>
      </c>
      <c r="F180" s="237">
        <f t="shared" si="5"/>
        <v>7800</v>
      </c>
      <c r="G180" s="235"/>
      <c r="H180" s="235"/>
    </row>
    <row r="181" spans="1:10" thickBot="1">
      <c r="A181" s="236" t="s">
        <v>679</v>
      </c>
      <c r="B181" s="236" t="s">
        <v>575</v>
      </c>
      <c r="C181" s="236" t="s">
        <v>20</v>
      </c>
      <c r="D181" s="236">
        <v>1</v>
      </c>
      <c r="E181" s="237">
        <v>1260</v>
      </c>
      <c r="F181" s="237">
        <f t="shared" si="5"/>
        <v>1260</v>
      </c>
      <c r="G181" s="235"/>
      <c r="H181" s="235"/>
    </row>
    <row r="182" spans="1:10" thickBot="1">
      <c r="A182" s="236" t="s">
        <v>840</v>
      </c>
      <c r="B182" s="236" t="s">
        <v>562</v>
      </c>
      <c r="C182" s="236" t="s">
        <v>20</v>
      </c>
      <c r="D182" s="236">
        <v>1</v>
      </c>
      <c r="E182" s="237">
        <v>11200</v>
      </c>
      <c r="F182" s="237">
        <f t="shared" si="5"/>
        <v>11200</v>
      </c>
      <c r="G182" s="235"/>
      <c r="H182" s="235"/>
    </row>
    <row r="183" spans="1:10" thickBot="1">
      <c r="A183" s="236" t="s">
        <v>841</v>
      </c>
      <c r="B183" s="236" t="s">
        <v>681</v>
      </c>
      <c r="C183" s="236" t="s">
        <v>20</v>
      </c>
      <c r="D183" s="236">
        <v>1</v>
      </c>
      <c r="E183" s="237">
        <v>1600</v>
      </c>
      <c r="F183" s="237">
        <f t="shared" si="5"/>
        <v>1600</v>
      </c>
      <c r="G183" s="235"/>
      <c r="H183" s="235"/>
    </row>
    <row r="184" spans="1:10" thickBot="1">
      <c r="A184" s="236" t="s">
        <v>842</v>
      </c>
      <c r="B184" s="236" t="s">
        <v>674</v>
      </c>
      <c r="C184" s="236" t="s">
        <v>20</v>
      </c>
      <c r="D184" s="236">
        <v>1</v>
      </c>
      <c r="E184" s="237">
        <v>350</v>
      </c>
      <c r="F184" s="237">
        <f t="shared" si="5"/>
        <v>350</v>
      </c>
      <c r="G184" s="235"/>
      <c r="H184" s="254"/>
    </row>
    <row r="185" spans="1:10" thickBot="1">
      <c r="A185" s="236" t="s">
        <v>843</v>
      </c>
      <c r="B185" s="236" t="s">
        <v>683</v>
      </c>
      <c r="C185" s="236" t="s">
        <v>20</v>
      </c>
      <c r="D185" s="236">
        <v>1</v>
      </c>
      <c r="E185" s="237">
        <v>55000</v>
      </c>
      <c r="F185" s="237">
        <f t="shared" si="5"/>
        <v>55000</v>
      </c>
      <c r="G185" s="235"/>
      <c r="H185" s="235"/>
    </row>
    <row r="186" spans="1:10" thickBot="1">
      <c r="A186" s="236" t="s">
        <v>844</v>
      </c>
      <c r="B186" s="236" t="s">
        <v>607</v>
      </c>
      <c r="C186" s="236" t="s">
        <v>20</v>
      </c>
      <c r="D186" s="236">
        <v>1</v>
      </c>
      <c r="E186" s="237">
        <v>6400</v>
      </c>
      <c r="F186" s="237">
        <f t="shared" si="5"/>
        <v>6400</v>
      </c>
      <c r="G186" s="235"/>
      <c r="H186" s="235"/>
    </row>
    <row r="187" spans="1:10" thickBot="1">
      <c r="A187" s="236" t="s">
        <v>845</v>
      </c>
      <c r="B187" s="236" t="s">
        <v>649</v>
      </c>
      <c r="C187" s="236" t="s">
        <v>20</v>
      </c>
      <c r="D187" s="236">
        <v>1</v>
      </c>
      <c r="E187" s="237">
        <v>7830</v>
      </c>
      <c r="F187" s="237">
        <f t="shared" si="5"/>
        <v>7830</v>
      </c>
      <c r="G187" s="235"/>
      <c r="H187" s="235"/>
    </row>
    <row r="188" spans="1:10" thickBot="1">
      <c r="A188" s="236" t="s">
        <v>846</v>
      </c>
      <c r="B188" s="236" t="s">
        <v>847</v>
      </c>
      <c r="C188" s="236" t="s">
        <v>20</v>
      </c>
      <c r="D188" s="236">
        <v>1</v>
      </c>
      <c r="E188" s="237">
        <v>12000</v>
      </c>
      <c r="F188" s="237">
        <f t="shared" si="5"/>
        <v>12000</v>
      </c>
      <c r="G188" s="235"/>
      <c r="H188" s="235"/>
    </row>
    <row r="189" spans="1:10" ht="19.5">
      <c r="A189" s="246" t="s">
        <v>741</v>
      </c>
      <c r="B189" s="246"/>
      <c r="C189" s="246"/>
      <c r="D189" s="246"/>
      <c r="E189" s="246"/>
      <c r="F189" s="242">
        <f>SUM(F169:F188)</f>
        <v>148487</v>
      </c>
      <c r="G189" s="255"/>
      <c r="H189" s="255">
        <v>30</v>
      </c>
      <c r="I189" s="256"/>
      <c r="J189" s="256"/>
    </row>
    <row r="190" spans="1:10" ht="15.6" customHeight="1">
      <c r="A190" s="257" t="s">
        <v>848</v>
      </c>
      <c r="B190" s="258"/>
      <c r="C190" s="259"/>
      <c r="D190" s="259"/>
      <c r="E190" s="260"/>
      <c r="F190" s="229">
        <f>F189+F167+F129+F92+F84+F70+F47</f>
        <v>1007520.9349999999</v>
      </c>
      <c r="G190" s="261"/>
      <c r="H190" s="261" t="s">
        <v>849</v>
      </c>
      <c r="I190" s="256"/>
      <c r="J190" s="256" t="s">
        <v>850</v>
      </c>
    </row>
    <row r="191" spans="1:10">
      <c r="A191" s="262"/>
      <c r="B191" s="262"/>
      <c r="C191" s="263"/>
      <c r="D191" s="228"/>
      <c r="E191" s="229" t="s">
        <v>503</v>
      </c>
      <c r="F191" s="264" t="e">
        <f>#REF!+F190</f>
        <v>#REF!</v>
      </c>
      <c r="G191" s="265"/>
      <c r="H191" s="261" t="e">
        <f>F191/H189</f>
        <v>#REF!</v>
      </c>
      <c r="I191" s="264"/>
      <c r="J191" s="261" t="e">
        <f>H191/44</f>
        <v>#REF!</v>
      </c>
    </row>
    <row r="192" spans="1:10">
      <c r="A192" s="262"/>
      <c r="B192" s="262"/>
      <c r="C192" s="263"/>
      <c r="D192" s="228"/>
      <c r="E192" s="266" t="s">
        <v>504</v>
      </c>
      <c r="F192" s="264">
        <f>F193*0.03</f>
        <v>52668</v>
      </c>
      <c r="G192" s="265"/>
      <c r="H192" s="261"/>
      <c r="I192" s="261"/>
      <c r="J192" s="261"/>
    </row>
    <row r="193" spans="1:10">
      <c r="A193" s="262"/>
      <c r="B193" s="262"/>
      <c r="C193" s="263"/>
      <c r="D193" s="228"/>
      <c r="E193" s="266" t="s">
        <v>505</v>
      </c>
      <c r="F193" s="267">
        <f>39900*44</f>
        <v>1755600</v>
      </c>
      <c r="G193" s="265"/>
      <c r="H193" s="261">
        <f>F193/H189</f>
        <v>58520</v>
      </c>
      <c r="I193" s="264"/>
      <c r="J193" s="261">
        <f>H193/44</f>
        <v>1330</v>
      </c>
    </row>
    <row r="194" spans="1:10" ht="16.5" thickBot="1">
      <c r="E194" s="266" t="s">
        <v>851</v>
      </c>
      <c r="F194" s="270" t="e">
        <f>F193-F191-F192</f>
        <v>#REF!</v>
      </c>
      <c r="G194" s="271"/>
    </row>
    <row r="195" spans="1:10">
      <c r="E195" s="266" t="s">
        <v>507</v>
      </c>
      <c r="F195" s="264" t="e">
        <f>F193/F191-1</f>
        <v>#REF!</v>
      </c>
    </row>
    <row r="196" spans="1:10">
      <c r="E196" s="266" t="s">
        <v>852</v>
      </c>
      <c r="F196" s="273">
        <v>7</v>
      </c>
    </row>
    <row r="197" spans="1:10">
      <c r="E197" s="266" t="s">
        <v>853</v>
      </c>
      <c r="F197" s="270" t="e">
        <f>F194*F196</f>
        <v>#REF!</v>
      </c>
    </row>
    <row r="198" spans="1:10">
      <c r="A198" s="274"/>
      <c r="B198" s="274"/>
    </row>
    <row r="199" spans="1:10" ht="20.45" hidden="1" customHeight="1" thickBot="1">
      <c r="A199" s="277" t="s">
        <v>854</v>
      </c>
      <c r="B199" s="278"/>
      <c r="C199" s="279"/>
      <c r="D199" s="279"/>
      <c r="E199" s="279"/>
      <c r="F199" s="280"/>
    </row>
    <row r="200" spans="1:10" ht="31.9" hidden="1" customHeight="1" thickBot="1">
      <c r="A200" s="281" t="s">
        <v>855</v>
      </c>
      <c r="B200" s="281"/>
      <c r="C200" s="281" t="s">
        <v>2</v>
      </c>
      <c r="D200" s="281" t="s">
        <v>705</v>
      </c>
      <c r="E200" s="282" t="s">
        <v>856</v>
      </c>
      <c r="F200" s="282" t="s">
        <v>857</v>
      </c>
    </row>
    <row r="201" spans="1:10" ht="15.6" hidden="1" customHeight="1" thickBot="1">
      <c r="A201" s="283" t="s">
        <v>858</v>
      </c>
      <c r="B201" s="283"/>
      <c r="C201" s="284"/>
      <c r="D201" s="284"/>
      <c r="E201" s="285"/>
      <c r="F201" s="285"/>
    </row>
    <row r="202" spans="1:10" ht="15.6" hidden="1" customHeight="1" thickBot="1">
      <c r="A202" s="286" t="s">
        <v>859</v>
      </c>
      <c r="B202" s="286" t="s">
        <v>535</v>
      </c>
      <c r="C202" s="286" t="s">
        <v>517</v>
      </c>
      <c r="D202" s="286">
        <v>0.29799999999999999</v>
      </c>
      <c r="E202" s="237">
        <v>32216.880000000001</v>
      </c>
      <c r="F202" s="237">
        <v>9600.6299999999992</v>
      </c>
    </row>
    <row r="203" spans="1:10" ht="15.6" hidden="1" customHeight="1" thickBot="1">
      <c r="A203" s="286" t="s">
        <v>860</v>
      </c>
      <c r="B203" s="286" t="s">
        <v>535</v>
      </c>
      <c r="C203" s="286" t="s">
        <v>517</v>
      </c>
      <c r="D203" s="286">
        <v>6.9000000000000006E-2</v>
      </c>
      <c r="E203" s="237">
        <v>26457.54</v>
      </c>
      <c r="F203" s="237">
        <v>1825.57</v>
      </c>
      <c r="G203" s="287"/>
      <c r="H203" s="287"/>
    </row>
    <row r="204" spans="1:10" ht="15.6" hidden="1" customHeight="1" thickBot="1">
      <c r="A204" s="286" t="s">
        <v>861</v>
      </c>
      <c r="B204" s="286" t="s">
        <v>535</v>
      </c>
      <c r="C204" s="286" t="s">
        <v>517</v>
      </c>
      <c r="D204" s="286">
        <v>3.0000000000000001E-3</v>
      </c>
      <c r="E204" s="237">
        <v>33206.67</v>
      </c>
      <c r="F204" s="237">
        <v>99.62</v>
      </c>
      <c r="G204" s="287"/>
      <c r="H204" s="287"/>
    </row>
    <row r="205" spans="1:10" ht="15.6" hidden="1" customHeight="1" thickBot="1">
      <c r="A205" s="286" t="s">
        <v>862</v>
      </c>
      <c r="B205" s="286" t="s">
        <v>535</v>
      </c>
      <c r="C205" s="286" t="s">
        <v>517</v>
      </c>
      <c r="D205" s="286">
        <v>5.0000000000000001E-3</v>
      </c>
      <c r="E205" s="237">
        <v>39222</v>
      </c>
      <c r="F205" s="237">
        <v>196.11</v>
      </c>
      <c r="G205" s="287"/>
      <c r="H205" s="287"/>
    </row>
    <row r="206" spans="1:10" ht="15.6" hidden="1" customHeight="1" thickBot="1">
      <c r="A206" s="286" t="s">
        <v>863</v>
      </c>
      <c r="B206" s="286" t="s">
        <v>594</v>
      </c>
      <c r="C206" s="286" t="s">
        <v>517</v>
      </c>
      <c r="D206" s="286">
        <v>4.2999999999999997E-2</v>
      </c>
      <c r="E206" s="237">
        <v>42893.95</v>
      </c>
      <c r="F206" s="237">
        <v>1844.44</v>
      </c>
      <c r="G206" s="287"/>
      <c r="H206" s="287"/>
    </row>
    <row r="207" spans="1:10" ht="15.6" hidden="1" customHeight="1" thickBot="1">
      <c r="A207" s="286" t="s">
        <v>864</v>
      </c>
      <c r="B207" s="286" t="s">
        <v>594</v>
      </c>
      <c r="C207" s="286" t="s">
        <v>517</v>
      </c>
      <c r="D207" s="286">
        <v>4.2999999999999997E-2</v>
      </c>
      <c r="E207" s="237">
        <v>29542.79</v>
      </c>
      <c r="F207" s="237">
        <v>1270.3399999999999</v>
      </c>
      <c r="G207" s="287"/>
      <c r="H207" s="287"/>
    </row>
    <row r="208" spans="1:10" ht="15.6" hidden="1" customHeight="1" thickBot="1">
      <c r="A208" s="286" t="s">
        <v>865</v>
      </c>
      <c r="B208" s="286" t="s">
        <v>594</v>
      </c>
      <c r="C208" s="286" t="s">
        <v>517</v>
      </c>
      <c r="D208" s="286">
        <v>2.7E-2</v>
      </c>
      <c r="E208" s="237">
        <v>29423.33</v>
      </c>
      <c r="F208" s="237">
        <v>794.43</v>
      </c>
      <c r="G208" s="287"/>
      <c r="H208" s="287"/>
    </row>
    <row r="209" spans="1:8" ht="15.6" hidden="1" customHeight="1" thickBot="1">
      <c r="A209" s="286" t="s">
        <v>866</v>
      </c>
      <c r="B209" s="286" t="s">
        <v>590</v>
      </c>
      <c r="C209" s="286" t="s">
        <v>517</v>
      </c>
      <c r="D209" s="286">
        <v>0.183</v>
      </c>
      <c r="E209" s="237">
        <v>30433.88</v>
      </c>
      <c r="F209" s="237">
        <v>5569.4</v>
      </c>
      <c r="G209" s="287"/>
      <c r="H209" s="287"/>
    </row>
    <row r="210" spans="1:8" ht="15.6" hidden="1" customHeight="1" thickBot="1">
      <c r="A210" s="286" t="s">
        <v>867</v>
      </c>
      <c r="B210" s="286" t="s">
        <v>590</v>
      </c>
      <c r="C210" s="286" t="s">
        <v>517</v>
      </c>
      <c r="D210" s="286">
        <v>0.153</v>
      </c>
      <c r="E210" s="237">
        <v>30164.71</v>
      </c>
      <c r="F210" s="237">
        <v>4615.2</v>
      </c>
      <c r="G210" s="287"/>
      <c r="H210" s="287"/>
    </row>
    <row r="211" spans="1:8" ht="15.6" hidden="1" customHeight="1" thickBot="1">
      <c r="A211" s="286" t="s">
        <v>868</v>
      </c>
      <c r="B211" s="286" t="s">
        <v>590</v>
      </c>
      <c r="C211" s="286" t="s">
        <v>517</v>
      </c>
      <c r="D211" s="286">
        <v>4.5999999999999999E-2</v>
      </c>
      <c r="E211" s="237">
        <v>28937.61</v>
      </c>
      <c r="F211" s="237">
        <v>1331.13</v>
      </c>
      <c r="G211" s="287"/>
      <c r="H211" s="287"/>
    </row>
    <row r="212" spans="1:8" ht="15.6" hidden="1" customHeight="1" thickBot="1">
      <c r="A212" s="286" t="s">
        <v>869</v>
      </c>
      <c r="B212" s="286" t="s">
        <v>590</v>
      </c>
      <c r="C212" s="286" t="s">
        <v>517</v>
      </c>
      <c r="D212" s="286">
        <v>2.5999999999999999E-2</v>
      </c>
      <c r="E212" s="237">
        <v>28937.31</v>
      </c>
      <c r="F212" s="237">
        <v>752.37</v>
      </c>
      <c r="G212" s="287"/>
      <c r="H212" s="287"/>
    </row>
    <row r="213" spans="1:8" ht="15.6" hidden="1" customHeight="1" thickBot="1">
      <c r="A213" s="286" t="s">
        <v>870</v>
      </c>
      <c r="B213" s="286" t="s">
        <v>871</v>
      </c>
      <c r="C213" s="286" t="s">
        <v>517</v>
      </c>
      <c r="D213" s="286">
        <v>3.5000000000000003E-2</v>
      </c>
      <c r="E213" s="237">
        <v>27740.86</v>
      </c>
      <c r="F213" s="237">
        <v>970.93</v>
      </c>
      <c r="G213" s="287"/>
      <c r="H213" s="287"/>
    </row>
    <row r="214" spans="1:8" ht="15.6" hidden="1" customHeight="1" thickBot="1">
      <c r="A214" s="283" t="s">
        <v>872</v>
      </c>
      <c r="B214" s="283"/>
      <c r="C214" s="284"/>
      <c r="D214" s="284"/>
      <c r="E214" s="285"/>
      <c r="F214" s="285"/>
      <c r="G214" s="287"/>
      <c r="H214" s="287"/>
    </row>
    <row r="215" spans="1:8" ht="15.6" hidden="1" customHeight="1" thickBot="1">
      <c r="A215" s="286" t="s">
        <v>873</v>
      </c>
      <c r="B215" s="286" t="s">
        <v>874</v>
      </c>
      <c r="C215" s="286" t="s">
        <v>20</v>
      </c>
      <c r="D215" s="286">
        <v>1</v>
      </c>
      <c r="E215" s="237">
        <v>2224.17</v>
      </c>
      <c r="F215" s="237">
        <v>2224.17</v>
      </c>
      <c r="G215" s="287"/>
      <c r="H215" s="287"/>
    </row>
    <row r="216" spans="1:8" ht="15.6" hidden="1" customHeight="1" thickBot="1">
      <c r="A216" s="286" t="s">
        <v>875</v>
      </c>
      <c r="B216" s="286" t="s">
        <v>876</v>
      </c>
      <c r="C216" s="286" t="s">
        <v>20</v>
      </c>
      <c r="D216" s="286">
        <v>20</v>
      </c>
      <c r="E216" s="237">
        <v>145.83000000000001</v>
      </c>
      <c r="F216" s="237">
        <v>2916.6</v>
      </c>
      <c r="G216" s="287"/>
      <c r="H216" s="287"/>
    </row>
    <row r="217" spans="1:8" ht="15.6" hidden="1" customHeight="1" thickBot="1">
      <c r="A217" s="286" t="s">
        <v>877</v>
      </c>
      <c r="B217" s="286" t="s">
        <v>878</v>
      </c>
      <c r="C217" s="286" t="s">
        <v>20</v>
      </c>
      <c r="D217" s="286">
        <v>6</v>
      </c>
      <c r="E217" s="237">
        <v>169</v>
      </c>
      <c r="F217" s="237">
        <v>1014</v>
      </c>
      <c r="G217" s="287"/>
      <c r="H217" s="287"/>
    </row>
    <row r="218" spans="1:8" ht="15.6" hidden="1" customHeight="1" thickBot="1">
      <c r="A218" s="286" t="s">
        <v>879</v>
      </c>
      <c r="B218" s="286" t="s">
        <v>880</v>
      </c>
      <c r="C218" s="286" t="s">
        <v>20</v>
      </c>
      <c r="D218" s="286">
        <v>2</v>
      </c>
      <c r="E218" s="237">
        <v>1408.33</v>
      </c>
      <c r="F218" s="237">
        <v>2816.66</v>
      </c>
      <c r="G218" s="287"/>
      <c r="H218" s="287"/>
    </row>
    <row r="219" spans="1:8" ht="15.6" hidden="1" customHeight="1" thickBot="1">
      <c r="A219" s="283" t="s">
        <v>881</v>
      </c>
      <c r="B219" s="283"/>
      <c r="C219" s="284"/>
      <c r="D219" s="284"/>
      <c r="E219" s="285"/>
      <c r="F219" s="285"/>
      <c r="G219" s="287"/>
      <c r="H219" s="287"/>
    </row>
    <row r="220" spans="1:8" ht="15.6" hidden="1" customHeight="1" thickBot="1">
      <c r="A220" s="286" t="s">
        <v>882</v>
      </c>
      <c r="B220" s="286" t="s">
        <v>577</v>
      </c>
      <c r="C220" s="286" t="s">
        <v>20</v>
      </c>
      <c r="D220" s="286">
        <v>8</v>
      </c>
      <c r="E220" s="237">
        <v>433.68</v>
      </c>
      <c r="F220" s="237">
        <v>3469.44</v>
      </c>
      <c r="G220" s="287"/>
      <c r="H220" s="287"/>
    </row>
    <row r="221" spans="1:8" ht="15.6" hidden="1" customHeight="1" thickBot="1">
      <c r="A221" s="286" t="s">
        <v>883</v>
      </c>
      <c r="B221" s="286" t="s">
        <v>630</v>
      </c>
      <c r="C221" s="286" t="s">
        <v>20</v>
      </c>
      <c r="D221" s="286">
        <v>2</v>
      </c>
      <c r="E221" s="237">
        <v>708.83</v>
      </c>
      <c r="F221" s="237">
        <v>1417.66</v>
      </c>
      <c r="G221" s="287"/>
      <c r="H221" s="287"/>
    </row>
    <row r="222" spans="1:8" ht="15.6" hidden="1" customHeight="1" thickBot="1">
      <c r="A222" s="286" t="s">
        <v>884</v>
      </c>
      <c r="B222" s="286" t="s">
        <v>577</v>
      </c>
      <c r="C222" s="286" t="s">
        <v>20</v>
      </c>
      <c r="D222" s="286">
        <v>1</v>
      </c>
      <c r="E222" s="237">
        <v>431.42</v>
      </c>
      <c r="F222" s="237">
        <v>431.42</v>
      </c>
      <c r="G222" s="287"/>
      <c r="H222" s="287"/>
    </row>
    <row r="223" spans="1:8" ht="15.6" hidden="1" customHeight="1" thickBot="1">
      <c r="A223" s="286" t="s">
        <v>885</v>
      </c>
      <c r="B223" s="286" t="s">
        <v>549</v>
      </c>
      <c r="C223" s="286" t="s">
        <v>886</v>
      </c>
      <c r="D223" s="286">
        <v>8.9999999999999993E-3</v>
      </c>
      <c r="E223" s="237">
        <v>40802.22</v>
      </c>
      <c r="F223" s="237">
        <v>367.22</v>
      </c>
      <c r="G223" s="287"/>
      <c r="H223" s="287"/>
    </row>
    <row r="224" spans="1:8" ht="15.6" hidden="1" customHeight="1" thickBot="1">
      <c r="A224" s="286" t="s">
        <v>887</v>
      </c>
      <c r="B224" s="286" t="s">
        <v>550</v>
      </c>
      <c r="C224" s="286" t="s">
        <v>20</v>
      </c>
      <c r="D224" s="286">
        <v>4</v>
      </c>
      <c r="E224" s="237">
        <v>186.48</v>
      </c>
      <c r="F224" s="237">
        <v>745.92</v>
      </c>
      <c r="G224" s="287"/>
      <c r="H224" s="287"/>
    </row>
    <row r="225" spans="1:8" ht="15.6" hidden="1" customHeight="1" thickBot="1">
      <c r="A225" s="286" t="s">
        <v>888</v>
      </c>
      <c r="B225" s="286" t="s">
        <v>550</v>
      </c>
      <c r="C225" s="286" t="s">
        <v>20</v>
      </c>
      <c r="D225" s="286">
        <v>6</v>
      </c>
      <c r="E225" s="237">
        <v>96.18</v>
      </c>
      <c r="F225" s="237">
        <v>577.08000000000004</v>
      </c>
      <c r="G225" s="287"/>
      <c r="H225" s="287"/>
    </row>
    <row r="226" spans="1:8" ht="15.6" hidden="1" customHeight="1" thickBot="1">
      <c r="A226" s="286" t="s">
        <v>889</v>
      </c>
      <c r="B226" s="286" t="s">
        <v>554</v>
      </c>
      <c r="C226" s="286" t="s">
        <v>20</v>
      </c>
      <c r="D226" s="286">
        <v>2</v>
      </c>
      <c r="E226" s="237" t="s">
        <v>890</v>
      </c>
      <c r="F226" s="237">
        <v>90.53</v>
      </c>
      <c r="G226" s="287"/>
      <c r="H226" s="287"/>
    </row>
    <row r="227" spans="1:8" ht="15.6" hidden="1" customHeight="1" thickBot="1">
      <c r="A227" s="283" t="s">
        <v>891</v>
      </c>
      <c r="B227" s="283"/>
      <c r="C227" s="284"/>
      <c r="D227" s="284"/>
      <c r="E227" s="285"/>
      <c r="F227" s="285"/>
      <c r="G227" s="287"/>
      <c r="H227" s="287"/>
    </row>
    <row r="228" spans="1:8" ht="15.6" hidden="1" customHeight="1" thickBot="1">
      <c r="A228" s="286" t="s">
        <v>892</v>
      </c>
      <c r="B228" s="286" t="s">
        <v>656</v>
      </c>
      <c r="C228" s="286" t="s">
        <v>20</v>
      </c>
      <c r="D228" s="286">
        <v>1</v>
      </c>
      <c r="E228" s="237">
        <v>1754.6</v>
      </c>
      <c r="F228" s="237">
        <v>1754.6</v>
      </c>
      <c r="G228" s="287"/>
      <c r="H228" s="287"/>
    </row>
    <row r="229" spans="1:8" ht="15.6" hidden="1" customHeight="1" thickBot="1">
      <c r="A229" s="286" t="s">
        <v>893</v>
      </c>
      <c r="B229" s="286" t="s">
        <v>560</v>
      </c>
      <c r="C229" s="286" t="s">
        <v>20</v>
      </c>
      <c r="D229" s="286">
        <v>5</v>
      </c>
      <c r="E229" s="237" t="s">
        <v>894</v>
      </c>
      <c r="F229" s="237">
        <v>274</v>
      </c>
      <c r="G229" s="287"/>
      <c r="H229" s="287"/>
    </row>
    <row r="230" spans="1:8" ht="15.6" hidden="1" customHeight="1" thickBot="1">
      <c r="A230" s="286" t="s">
        <v>895</v>
      </c>
      <c r="B230" s="286" t="s">
        <v>653</v>
      </c>
      <c r="C230" s="286" t="s">
        <v>20</v>
      </c>
      <c r="D230" s="286">
        <v>8</v>
      </c>
      <c r="E230" s="237">
        <v>53</v>
      </c>
      <c r="F230" s="237">
        <v>424</v>
      </c>
      <c r="G230" s="287"/>
      <c r="H230" s="287"/>
    </row>
    <row r="231" spans="1:8" ht="15.6" hidden="1" customHeight="1" thickBot="1">
      <c r="A231" s="286" t="s">
        <v>896</v>
      </c>
      <c r="B231" s="286" t="s">
        <v>650</v>
      </c>
      <c r="C231" s="286" t="s">
        <v>20</v>
      </c>
      <c r="D231" s="286">
        <v>1</v>
      </c>
      <c r="E231" s="237">
        <v>190.25</v>
      </c>
      <c r="F231" s="237">
        <v>190.25</v>
      </c>
      <c r="G231" s="287"/>
      <c r="H231" s="287"/>
    </row>
    <row r="232" spans="1:8" ht="15.6" hidden="1" customHeight="1" thickBot="1">
      <c r="A232" s="286" t="s">
        <v>897</v>
      </c>
      <c r="B232" s="286" t="s">
        <v>555</v>
      </c>
      <c r="C232" s="286" t="s">
        <v>20</v>
      </c>
      <c r="D232" s="286">
        <v>2</v>
      </c>
      <c r="E232" s="237">
        <v>43.3</v>
      </c>
      <c r="F232" s="237">
        <v>86.6</v>
      </c>
      <c r="G232" s="287"/>
      <c r="H232" s="287"/>
    </row>
    <row r="233" spans="1:8" ht="15.6" hidden="1" customHeight="1" thickBot="1">
      <c r="A233" s="286" t="s">
        <v>898</v>
      </c>
      <c r="B233" s="286" t="s">
        <v>899</v>
      </c>
      <c r="C233" s="286" t="s">
        <v>20</v>
      </c>
      <c r="D233" s="286">
        <v>4</v>
      </c>
      <c r="E233" s="237" t="s">
        <v>900</v>
      </c>
      <c r="F233" s="237">
        <v>120</v>
      </c>
      <c r="G233" s="287"/>
      <c r="H233" s="287"/>
    </row>
    <row r="234" spans="1:8" ht="15.6" hidden="1" customHeight="1" thickBot="1">
      <c r="A234" s="286" t="s">
        <v>901</v>
      </c>
      <c r="B234" s="286" t="s">
        <v>647</v>
      </c>
      <c r="C234" s="286" t="s">
        <v>20</v>
      </c>
      <c r="D234" s="286">
        <v>5</v>
      </c>
      <c r="E234" s="237" t="s">
        <v>902</v>
      </c>
      <c r="F234" s="237">
        <v>644.79</v>
      </c>
      <c r="G234" s="287"/>
      <c r="H234" s="287"/>
    </row>
    <row r="235" spans="1:8" ht="15.6" hidden="1" customHeight="1" thickBot="1">
      <c r="A235" s="286" t="s">
        <v>903</v>
      </c>
      <c r="B235" s="286" t="s">
        <v>565</v>
      </c>
      <c r="C235" s="286" t="s">
        <v>20</v>
      </c>
      <c r="D235" s="286">
        <v>4</v>
      </c>
      <c r="E235" s="237" t="s">
        <v>904</v>
      </c>
      <c r="F235" s="237">
        <v>422</v>
      </c>
      <c r="G235" s="287"/>
      <c r="H235" s="287"/>
    </row>
    <row r="236" spans="1:8" ht="15.6" hidden="1" customHeight="1" thickBot="1">
      <c r="A236" s="283" t="s">
        <v>905</v>
      </c>
      <c r="B236" s="283"/>
      <c r="C236" s="284"/>
      <c r="D236" s="284"/>
      <c r="E236" s="285"/>
      <c r="F236" s="285"/>
      <c r="G236" s="287"/>
      <c r="H236" s="287"/>
    </row>
    <row r="237" spans="1:8" ht="15.6" hidden="1" customHeight="1" thickBot="1">
      <c r="A237" s="286" t="s">
        <v>906</v>
      </c>
      <c r="B237" s="286" t="s">
        <v>605</v>
      </c>
      <c r="C237" s="286" t="s">
        <v>20</v>
      </c>
      <c r="D237" s="286">
        <v>2</v>
      </c>
      <c r="E237" s="237" t="s">
        <v>907</v>
      </c>
      <c r="F237" s="237">
        <v>3734.05</v>
      </c>
      <c r="G237" s="287"/>
      <c r="H237" s="287"/>
    </row>
    <row r="238" spans="1:8" ht="28.15" hidden="1" customHeight="1" thickBot="1">
      <c r="A238" s="286" t="s">
        <v>908</v>
      </c>
      <c r="B238" s="286" t="s">
        <v>567</v>
      </c>
      <c r="C238" s="286" t="s">
        <v>20</v>
      </c>
      <c r="D238" s="286">
        <v>2</v>
      </c>
      <c r="E238" s="237">
        <v>798.5</v>
      </c>
      <c r="F238" s="237">
        <v>1597</v>
      </c>
      <c r="G238" s="287"/>
      <c r="H238" s="287"/>
    </row>
    <row r="239" spans="1:8" ht="15.6" hidden="1" customHeight="1" thickBot="1">
      <c r="A239" s="286" t="s">
        <v>909</v>
      </c>
      <c r="B239" s="286" t="s">
        <v>567</v>
      </c>
      <c r="C239" s="286" t="s">
        <v>910</v>
      </c>
      <c r="D239" s="286">
        <v>2</v>
      </c>
      <c r="E239" s="237">
        <v>798.5</v>
      </c>
      <c r="F239" s="237">
        <v>1597</v>
      </c>
      <c r="G239" s="287"/>
      <c r="H239" s="287"/>
    </row>
    <row r="240" spans="1:8" ht="15.6" hidden="1" customHeight="1" thickBot="1">
      <c r="A240" s="286" t="s">
        <v>911</v>
      </c>
      <c r="B240" s="286" t="s">
        <v>606</v>
      </c>
      <c r="C240" s="286" t="s">
        <v>912</v>
      </c>
      <c r="D240" s="286">
        <v>1</v>
      </c>
      <c r="E240" s="237">
        <v>1331.93</v>
      </c>
      <c r="F240" s="237">
        <v>1331.93</v>
      </c>
      <c r="G240" s="287"/>
      <c r="H240" s="287"/>
    </row>
    <row r="241" spans="1:8" ht="15.6" hidden="1" customHeight="1" thickBot="1">
      <c r="A241" s="286" t="s">
        <v>913</v>
      </c>
      <c r="B241" s="286" t="s">
        <v>914</v>
      </c>
      <c r="C241" s="286" t="s">
        <v>20</v>
      </c>
      <c r="D241" s="286">
        <v>0.183</v>
      </c>
      <c r="E241" s="237">
        <v>2803.01</v>
      </c>
      <c r="F241" s="237">
        <v>512.95000000000005</v>
      </c>
      <c r="G241" s="287"/>
      <c r="H241" s="287"/>
    </row>
    <row r="242" spans="1:8" ht="15.6" hidden="1" customHeight="1" thickBot="1">
      <c r="A242" s="286" t="s">
        <v>915</v>
      </c>
      <c r="B242" s="286" t="s">
        <v>916</v>
      </c>
      <c r="C242" s="286" t="s">
        <v>20</v>
      </c>
      <c r="D242" s="286">
        <v>1</v>
      </c>
      <c r="E242" s="237">
        <v>550</v>
      </c>
      <c r="F242" s="237">
        <v>550</v>
      </c>
      <c r="G242" s="287"/>
      <c r="H242" s="287"/>
    </row>
    <row r="243" spans="1:8" ht="15.6" hidden="1" customHeight="1" thickBot="1">
      <c r="A243" s="286" t="s">
        <v>917</v>
      </c>
      <c r="B243" s="286" t="s">
        <v>918</v>
      </c>
      <c r="C243" s="286" t="s">
        <v>20</v>
      </c>
      <c r="D243" s="286">
        <v>1</v>
      </c>
      <c r="E243" s="237">
        <v>191.7</v>
      </c>
      <c r="F243" s="237">
        <v>191.7</v>
      </c>
      <c r="G243" s="287"/>
      <c r="H243" s="287"/>
    </row>
    <row r="244" spans="1:8" ht="15.6" hidden="1" customHeight="1" thickBot="1">
      <c r="A244" s="286" t="s">
        <v>919</v>
      </c>
      <c r="B244" s="286" t="s">
        <v>603</v>
      </c>
      <c r="C244" s="286" t="s">
        <v>20</v>
      </c>
      <c r="D244" s="286">
        <v>1</v>
      </c>
      <c r="E244" s="237">
        <v>13</v>
      </c>
      <c r="F244" s="237">
        <v>13</v>
      </c>
      <c r="G244" s="287"/>
      <c r="H244" s="287"/>
    </row>
    <row r="245" spans="1:8" ht="15.6" hidden="1" customHeight="1" thickBot="1">
      <c r="A245" s="286" t="s">
        <v>920</v>
      </c>
      <c r="B245" s="286" t="s">
        <v>921</v>
      </c>
      <c r="C245" s="286" t="s">
        <v>20</v>
      </c>
      <c r="D245" s="286">
        <v>365</v>
      </c>
      <c r="E245" s="237">
        <v>0.26</v>
      </c>
      <c r="F245" s="237">
        <v>94.9</v>
      </c>
      <c r="G245" s="287"/>
      <c r="H245" s="287"/>
    </row>
    <row r="246" spans="1:8" ht="15.6" hidden="1" customHeight="1" thickBot="1">
      <c r="A246" s="283" t="s">
        <v>922</v>
      </c>
      <c r="B246" s="283"/>
      <c r="C246" s="284"/>
      <c r="D246" s="284"/>
      <c r="E246" s="285"/>
      <c r="F246" s="285"/>
      <c r="G246" s="287"/>
      <c r="H246" s="287"/>
    </row>
    <row r="247" spans="1:8" ht="28.15" hidden="1" customHeight="1" thickBot="1">
      <c r="A247" s="286" t="s">
        <v>923</v>
      </c>
      <c r="B247" s="286" t="s">
        <v>682</v>
      </c>
      <c r="C247" s="286" t="s">
        <v>20</v>
      </c>
      <c r="D247" s="286">
        <v>2</v>
      </c>
      <c r="E247" s="237" t="s">
        <v>924</v>
      </c>
      <c r="F247" s="237">
        <v>5910</v>
      </c>
      <c r="G247" s="287"/>
      <c r="H247" s="287"/>
    </row>
    <row r="248" spans="1:8" ht="15.6" hidden="1" customHeight="1" thickBot="1">
      <c r="A248" s="286" t="s">
        <v>925</v>
      </c>
      <c r="B248" s="286" t="s">
        <v>562</v>
      </c>
      <c r="C248" s="286" t="s">
        <v>20</v>
      </c>
      <c r="D248" s="286">
        <v>1</v>
      </c>
      <c r="E248" s="237">
        <v>3463</v>
      </c>
      <c r="F248" s="237">
        <v>3463</v>
      </c>
      <c r="G248" s="287"/>
      <c r="H248" s="287"/>
    </row>
    <row r="249" spans="1:8" ht="15.6" hidden="1" customHeight="1" thickBot="1">
      <c r="A249" s="286" t="s">
        <v>926</v>
      </c>
      <c r="B249" s="286" t="s">
        <v>680</v>
      </c>
      <c r="C249" s="286" t="s">
        <v>20</v>
      </c>
      <c r="D249" s="286">
        <v>2</v>
      </c>
      <c r="E249" s="237">
        <v>1782.66</v>
      </c>
      <c r="F249" s="237">
        <v>3565.32</v>
      </c>
      <c r="G249" s="287"/>
      <c r="H249" s="287"/>
    </row>
    <row r="250" spans="1:8" ht="15.6" hidden="1" customHeight="1" thickBot="1">
      <c r="A250" s="283" t="s">
        <v>927</v>
      </c>
      <c r="B250" s="283"/>
      <c r="C250" s="284"/>
      <c r="D250" s="284"/>
      <c r="E250" s="285"/>
      <c r="F250" s="285"/>
      <c r="G250" s="287"/>
      <c r="H250" s="287"/>
    </row>
    <row r="251" spans="1:8" ht="15.6" hidden="1" customHeight="1" thickBot="1">
      <c r="A251" s="286" t="s">
        <v>928</v>
      </c>
      <c r="B251" s="286" t="s">
        <v>929</v>
      </c>
      <c r="C251" s="286" t="s">
        <v>20</v>
      </c>
      <c r="D251" s="286">
        <v>7</v>
      </c>
      <c r="E251" s="237" t="s">
        <v>930</v>
      </c>
      <c r="F251" s="237">
        <v>1193.3399999999999</v>
      </c>
      <c r="G251" s="287"/>
      <c r="H251" s="287"/>
    </row>
    <row r="252" spans="1:8" ht="15.6" hidden="1" customHeight="1" thickBot="1">
      <c r="A252" s="286" t="s">
        <v>931</v>
      </c>
      <c r="B252" s="286" t="s">
        <v>932</v>
      </c>
      <c r="C252" s="286" t="s">
        <v>20</v>
      </c>
      <c r="D252" s="286">
        <v>9</v>
      </c>
      <c r="E252" s="237" t="s">
        <v>933</v>
      </c>
      <c r="F252" s="237">
        <v>1350</v>
      </c>
      <c r="G252" s="287"/>
      <c r="H252" s="287"/>
    </row>
    <row r="253" spans="1:8" ht="15.6" hidden="1" customHeight="1" thickBot="1">
      <c r="A253" s="286" t="s">
        <v>934</v>
      </c>
      <c r="B253" s="286" t="s">
        <v>935</v>
      </c>
      <c r="C253" s="286" t="s">
        <v>20</v>
      </c>
      <c r="D253" s="286" t="s">
        <v>936</v>
      </c>
      <c r="E253" s="237" t="s">
        <v>933</v>
      </c>
      <c r="F253" s="237" t="s">
        <v>937</v>
      </c>
      <c r="G253" s="287"/>
      <c r="H253" s="287"/>
    </row>
    <row r="254" spans="1:8" ht="15.6" hidden="1" customHeight="1" thickBot="1">
      <c r="A254" s="286" t="s">
        <v>938</v>
      </c>
      <c r="B254" s="286" t="s">
        <v>929</v>
      </c>
      <c r="C254" s="286" t="s">
        <v>20</v>
      </c>
      <c r="D254" s="286">
        <v>5</v>
      </c>
      <c r="E254" s="237" t="s">
        <v>939</v>
      </c>
      <c r="F254" s="237">
        <v>352.51</v>
      </c>
      <c r="G254" s="287"/>
      <c r="H254" s="287"/>
    </row>
    <row r="255" spans="1:8" ht="15.6" hidden="1" customHeight="1" thickBot="1">
      <c r="A255" s="286" t="s">
        <v>940</v>
      </c>
      <c r="B255" s="286" t="s">
        <v>622</v>
      </c>
      <c r="C255" s="286" t="s">
        <v>20</v>
      </c>
      <c r="D255" s="286">
        <v>2</v>
      </c>
      <c r="E255" s="237" t="s">
        <v>941</v>
      </c>
      <c r="F255" s="237">
        <v>137.5</v>
      </c>
      <c r="G255" s="287"/>
      <c r="H255" s="287"/>
    </row>
    <row r="256" spans="1:8" ht="28.15" hidden="1" customHeight="1" thickBot="1">
      <c r="A256" s="281" t="s">
        <v>942</v>
      </c>
      <c r="B256" s="281"/>
      <c r="C256" s="286"/>
      <c r="D256" s="286"/>
      <c r="E256" s="237"/>
      <c r="F256" s="282" t="s">
        <v>943</v>
      </c>
      <c r="G256" s="287"/>
      <c r="H256" s="287"/>
    </row>
    <row r="257" spans="7:8" ht="15.6" hidden="1" customHeight="1">
      <c r="G257" s="287"/>
      <c r="H257" s="287"/>
    </row>
    <row r="258" spans="7:8" ht="15.6" hidden="1" customHeight="1">
      <c r="G258" s="287"/>
      <c r="H258" s="287"/>
    </row>
    <row r="259" spans="7:8" ht="15.6" hidden="1" customHeight="1">
      <c r="G259" s="287"/>
      <c r="H259" s="287"/>
    </row>
    <row r="260" spans="7:8" ht="15.6" hidden="1" customHeight="1">
      <c r="G260" s="287"/>
      <c r="H260" s="287"/>
    </row>
    <row r="261" spans="7:8" ht="15.6" hidden="1" customHeight="1">
      <c r="G261" s="287"/>
      <c r="H261" s="287"/>
    </row>
    <row r="262" spans="7:8" ht="15.6" hidden="1" customHeight="1">
      <c r="G262" s="287"/>
      <c r="H262" s="287"/>
    </row>
    <row r="263" spans="7:8" ht="15.6" hidden="1" customHeight="1">
      <c r="G263" s="287"/>
      <c r="H263" s="287"/>
    </row>
    <row r="264" spans="7:8" ht="15.6" hidden="1" customHeight="1">
      <c r="G264" s="287"/>
      <c r="H264" s="287"/>
    </row>
    <row r="265" spans="7:8" ht="15.6" hidden="1" customHeight="1">
      <c r="G265" s="287"/>
      <c r="H265" s="287"/>
    </row>
    <row r="266" spans="7:8" ht="15.6" hidden="1" customHeight="1">
      <c r="G266" s="287"/>
      <c r="H266" s="287"/>
    </row>
    <row r="267" spans="7:8" ht="15.6" hidden="1" customHeight="1">
      <c r="G267" s="287"/>
      <c r="H267" s="287"/>
    </row>
    <row r="268" spans="7:8" ht="15.6" hidden="1" customHeight="1">
      <c r="G268" s="287"/>
      <c r="H268" s="287"/>
    </row>
    <row r="269" spans="7:8" ht="15.6" hidden="1" customHeight="1">
      <c r="G269" s="287"/>
      <c r="H269" s="287"/>
    </row>
    <row r="270" spans="7:8" ht="15.6" hidden="1" customHeight="1">
      <c r="G270" s="287"/>
      <c r="H270" s="287"/>
    </row>
    <row r="271" spans="7:8" ht="15.6" hidden="1" customHeight="1">
      <c r="G271" s="287"/>
      <c r="H271" s="287"/>
    </row>
    <row r="272" spans="7:8" ht="15.6" hidden="1" customHeight="1">
      <c r="G272" s="287"/>
      <c r="H272" s="287"/>
    </row>
    <row r="273" spans="1:8" ht="15.6" hidden="1" customHeight="1">
      <c r="G273" s="287"/>
      <c r="H273" s="287"/>
    </row>
    <row r="274" spans="1:8" ht="15.6" hidden="1" customHeight="1">
      <c r="G274" s="287"/>
      <c r="H274" s="287"/>
    </row>
    <row r="275" spans="1:8" ht="15.6" hidden="1" customHeight="1">
      <c r="G275" s="287"/>
      <c r="H275" s="287"/>
    </row>
    <row r="276" spans="1:8" ht="15.6" hidden="1" customHeight="1">
      <c r="G276" s="287"/>
      <c r="H276" s="287"/>
    </row>
    <row r="277" spans="1:8" ht="15.6" hidden="1" customHeight="1">
      <c r="G277" s="287"/>
      <c r="H277" s="287"/>
    </row>
    <row r="278" spans="1:8" ht="15.6" hidden="1" customHeight="1">
      <c r="G278" s="287"/>
      <c r="H278" s="287"/>
    </row>
    <row r="279" spans="1:8" ht="15.6" hidden="1" customHeight="1">
      <c r="G279" s="287"/>
      <c r="H279" s="287"/>
    </row>
    <row r="280" spans="1:8" ht="15.6" hidden="1" customHeight="1">
      <c r="G280" s="287"/>
      <c r="H280" s="287"/>
    </row>
    <row r="281" spans="1:8" ht="15.6" hidden="1" customHeight="1">
      <c r="G281" s="287"/>
      <c r="H281" s="287"/>
    </row>
    <row r="282" spans="1:8" ht="15.6" hidden="1" customHeight="1">
      <c r="G282" s="287"/>
      <c r="H282" s="287"/>
    </row>
    <row r="283" spans="1:8" ht="15.6" hidden="1" customHeight="1">
      <c r="A283" s="288"/>
      <c r="B283" s="288"/>
      <c r="C283" s="289"/>
      <c r="D283" s="289"/>
      <c r="E283" s="290"/>
      <c r="F283" s="291"/>
      <c r="G283" s="292"/>
      <c r="H283" s="292"/>
    </row>
    <row r="284" spans="1:8" ht="15.6" hidden="1" customHeight="1">
      <c r="A284" s="288"/>
      <c r="B284" s="288"/>
      <c r="C284" s="289"/>
      <c r="D284" s="289"/>
      <c r="E284" s="290"/>
      <c r="F284" s="291"/>
      <c r="G284" s="292"/>
      <c r="H284" s="292"/>
    </row>
    <row r="285" spans="1:8" ht="15.6" hidden="1" customHeight="1"/>
    <row r="286" spans="1:8" ht="15.6" hidden="1" customHeight="1"/>
    <row r="287" spans="1:8" ht="15.6" hidden="1" customHeight="1"/>
    <row r="288" spans="1:8" ht="15.6" hidden="1" customHeight="1"/>
    <row r="289" ht="15.6" hidden="1" customHeight="1"/>
    <row r="290" ht="15.6" hidden="1" customHeight="1"/>
    <row r="291" ht="15.6" hidden="1" customHeight="1"/>
    <row r="292" ht="15.6" hidden="1" customHeight="1"/>
    <row r="293" ht="15.6" hidden="1" customHeight="1"/>
    <row r="294" ht="15.6" hidden="1" customHeight="1"/>
    <row r="295" ht="15.6" hidden="1" customHeight="1"/>
    <row r="296" ht="15.6" hidden="1" customHeight="1"/>
    <row r="297" ht="15.6" hidden="1" customHeight="1"/>
    <row r="298" ht="15.6" hidden="1" customHeight="1"/>
    <row r="299" ht="15.6" hidden="1" customHeight="1"/>
    <row r="300" ht="15.6" hidden="1" customHeight="1"/>
    <row r="301" ht="15.6" hidden="1" customHeight="1"/>
    <row r="302" ht="15.6" hidden="1" customHeight="1"/>
  </sheetData>
  <conditionalFormatting sqref="D1:D190">
    <cfRule type="cellIs" dxfId="1" priority="2" operator="equal">
      <formula>0</formula>
    </cfRule>
  </conditionalFormatting>
  <conditionalFormatting sqref="D19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5F8C-0A84-430A-BB4E-CD0DBD69A409}">
  <dimension ref="A1:H283"/>
  <sheetViews>
    <sheetView topLeftCell="A56" zoomScale="70" zoomScaleNormal="70" workbookViewId="0">
      <selection activeCell="A19" sqref="A19"/>
    </sheetView>
  </sheetViews>
  <sheetFormatPr defaultColWidth="8.85546875" defaultRowHeight="15"/>
  <cols>
    <col min="1" max="2" width="58.7109375" style="268" customWidth="1"/>
    <col min="3" max="3" width="10.28515625" style="269" customWidth="1"/>
    <col min="4" max="4" width="9.7109375" style="269" bestFit="1" customWidth="1"/>
    <col min="5" max="5" width="34.42578125" style="311" bestFit="1" customWidth="1"/>
    <col min="6" max="6" width="21" style="312" customWidth="1"/>
    <col min="7" max="7" width="13" style="272" hidden="1" customWidth="1"/>
    <col min="8" max="8" width="19" style="272" customWidth="1"/>
    <col min="9" max="16384" width="8.85546875" style="222"/>
  </cols>
  <sheetData>
    <row r="1" spans="1:8" ht="48" customHeight="1">
      <c r="A1" s="377"/>
      <c r="B1" s="377"/>
      <c r="C1" s="377"/>
      <c r="D1" s="377"/>
      <c r="E1" s="377"/>
      <c r="F1" s="377"/>
      <c r="G1" s="221"/>
      <c r="H1" s="221"/>
    </row>
    <row r="2" spans="1:8" ht="18.75">
      <c r="A2" s="378"/>
      <c r="B2" s="378"/>
      <c r="C2" s="378"/>
      <c r="D2" s="378"/>
      <c r="E2" s="378"/>
      <c r="F2" s="378"/>
      <c r="G2" s="225" t="e">
        <f>VLOOKUP(#REF!,[3]СВОД!$B$4:$D$4,3,0)</f>
        <v>#REF!</v>
      </c>
      <c r="H2" s="221"/>
    </row>
    <row r="3" spans="1:8" ht="45">
      <c r="A3" s="226" t="s">
        <v>704</v>
      </c>
      <c r="B3" s="226" t="s">
        <v>1027</v>
      </c>
      <c r="C3" s="226" t="s">
        <v>2</v>
      </c>
      <c r="D3" s="228" t="s">
        <v>705</v>
      </c>
      <c r="E3" s="263" t="s">
        <v>706</v>
      </c>
      <c r="F3" s="263" t="s">
        <v>707</v>
      </c>
      <c r="G3" s="230" t="s">
        <v>708</v>
      </c>
      <c r="H3" s="231"/>
    </row>
    <row r="4" spans="1:8">
      <c r="A4" s="226">
        <v>7</v>
      </c>
      <c r="B4" s="226"/>
      <c r="C4" s="226">
        <v>8</v>
      </c>
      <c r="D4" s="226">
        <v>9</v>
      </c>
      <c r="E4" s="263">
        <v>10</v>
      </c>
      <c r="F4" s="263">
        <v>11</v>
      </c>
      <c r="G4" s="232"/>
      <c r="H4" s="232"/>
    </row>
    <row r="5" spans="1:8" ht="20.25" thickBot="1">
      <c r="A5" s="370" t="s">
        <v>199</v>
      </c>
      <c r="B5" s="370"/>
      <c r="C5" s="371"/>
      <c r="D5" s="371"/>
      <c r="E5" s="371"/>
      <c r="F5" s="371"/>
      <c r="G5" s="235"/>
      <c r="H5" s="235"/>
    </row>
    <row r="6" spans="1:8" ht="15.75" thickBot="1">
      <c r="A6" s="293" t="s">
        <v>709</v>
      </c>
      <c r="B6" s="293" t="s">
        <v>535</v>
      </c>
      <c r="C6" s="293" t="s">
        <v>262</v>
      </c>
      <c r="D6" s="293">
        <v>50.2</v>
      </c>
      <c r="E6" s="293">
        <v>473</v>
      </c>
      <c r="F6" s="294">
        <f>E6*D6</f>
        <v>23744.600000000002</v>
      </c>
      <c r="G6" s="235"/>
      <c r="H6" s="235"/>
    </row>
    <row r="7" spans="1:8" ht="15.75" thickBot="1">
      <c r="A7" s="293" t="s">
        <v>710</v>
      </c>
      <c r="B7" s="293" t="s">
        <v>535</v>
      </c>
      <c r="C7" s="293" t="s">
        <v>518</v>
      </c>
      <c r="D7" s="293">
        <v>175.2</v>
      </c>
      <c r="E7" s="293">
        <v>157</v>
      </c>
      <c r="F7" s="294">
        <f t="shared" ref="F7:F46" si="0">E7*D7</f>
        <v>27506.399999999998</v>
      </c>
      <c r="G7" s="235"/>
      <c r="H7" s="235"/>
    </row>
    <row r="8" spans="1:8" ht="15.75" thickBot="1">
      <c r="A8" s="293" t="s">
        <v>711</v>
      </c>
      <c r="B8" s="293" t="s">
        <v>535</v>
      </c>
      <c r="C8" s="293" t="s">
        <v>262</v>
      </c>
      <c r="D8" s="293">
        <v>1.2</v>
      </c>
      <c r="E8" s="293">
        <v>151</v>
      </c>
      <c r="F8" s="294">
        <f t="shared" si="0"/>
        <v>181.2</v>
      </c>
      <c r="G8" s="235"/>
      <c r="H8" s="235"/>
    </row>
    <row r="9" spans="1:8" ht="15.75" thickBot="1">
      <c r="A9" s="293" t="s">
        <v>712</v>
      </c>
      <c r="B9" s="293" t="s">
        <v>535</v>
      </c>
      <c r="C9" s="293" t="s">
        <v>518</v>
      </c>
      <c r="D9" s="293">
        <v>1</v>
      </c>
      <c r="E9" s="293">
        <v>339</v>
      </c>
      <c r="F9" s="294">
        <f t="shared" si="0"/>
        <v>339</v>
      </c>
      <c r="G9" s="235"/>
      <c r="H9" s="235"/>
    </row>
    <row r="10" spans="1:8" ht="15.75" thickBot="1">
      <c r="A10" s="293" t="s">
        <v>486</v>
      </c>
      <c r="B10" s="293" t="s">
        <v>1028</v>
      </c>
      <c r="C10" s="293" t="s">
        <v>489</v>
      </c>
      <c r="D10" s="293">
        <v>0.68</v>
      </c>
      <c r="E10" s="293">
        <v>1207</v>
      </c>
      <c r="F10" s="294">
        <f t="shared" si="0"/>
        <v>820.7600000000001</v>
      </c>
      <c r="G10" s="235"/>
      <c r="H10" s="235"/>
    </row>
    <row r="11" spans="1:8" ht="15.75" thickBot="1">
      <c r="A11" s="293" t="s">
        <v>487</v>
      </c>
      <c r="B11" s="293" t="s">
        <v>1028</v>
      </c>
      <c r="C11" s="293" t="s">
        <v>489</v>
      </c>
      <c r="D11" s="293">
        <v>1.2150000000000001</v>
      </c>
      <c r="E11" s="294">
        <v>2487</v>
      </c>
      <c r="F11" s="294">
        <f t="shared" si="0"/>
        <v>3021.7050000000004</v>
      </c>
      <c r="G11" s="235"/>
      <c r="H11" s="235"/>
    </row>
    <row r="12" spans="1:8" ht="15.75" thickBot="1">
      <c r="A12" s="293" t="s">
        <v>488</v>
      </c>
      <c r="B12" s="293" t="s">
        <v>1028</v>
      </c>
      <c r="C12" s="293" t="s">
        <v>489</v>
      </c>
      <c r="D12" s="293">
        <v>0.12</v>
      </c>
      <c r="E12" s="294">
        <v>4976</v>
      </c>
      <c r="F12" s="294">
        <f t="shared" si="0"/>
        <v>597.12</v>
      </c>
      <c r="G12" s="235"/>
      <c r="H12" s="235"/>
    </row>
    <row r="13" spans="1:8" ht="15.75" thickBot="1">
      <c r="A13" s="293" t="s">
        <v>713</v>
      </c>
      <c r="B13" s="293" t="s">
        <v>537</v>
      </c>
      <c r="C13" s="293" t="s">
        <v>20</v>
      </c>
      <c r="D13" s="293">
        <v>6</v>
      </c>
      <c r="E13" s="293">
        <v>1740</v>
      </c>
      <c r="F13" s="294">
        <f t="shared" si="0"/>
        <v>10440</v>
      </c>
      <c r="G13" s="235"/>
      <c r="H13" s="235"/>
    </row>
    <row r="14" spans="1:8" ht="15.75" thickBot="1">
      <c r="A14" s="293" t="s">
        <v>714</v>
      </c>
      <c r="B14" s="293" t="s">
        <v>591</v>
      </c>
      <c r="C14" s="293" t="s">
        <v>20</v>
      </c>
      <c r="D14" s="293">
        <v>3</v>
      </c>
      <c r="E14" s="294">
        <v>3600</v>
      </c>
      <c r="F14" s="294">
        <f t="shared" si="0"/>
        <v>10800</v>
      </c>
      <c r="G14" s="235"/>
      <c r="H14" s="235"/>
    </row>
    <row r="15" spans="1:8" ht="15.75" thickBot="1">
      <c r="A15" s="293" t="s">
        <v>715</v>
      </c>
      <c r="B15" s="293" t="s">
        <v>537</v>
      </c>
      <c r="C15" s="293" t="s">
        <v>20</v>
      </c>
      <c r="D15" s="293">
        <v>14</v>
      </c>
      <c r="E15" s="293">
        <v>154</v>
      </c>
      <c r="F15" s="294">
        <f t="shared" si="0"/>
        <v>2156</v>
      </c>
      <c r="G15" s="235"/>
      <c r="H15" s="235"/>
    </row>
    <row r="16" spans="1:8" ht="15.75" thickBot="1">
      <c r="A16" s="293" t="s">
        <v>716</v>
      </c>
      <c r="B16" s="293" t="s">
        <v>536</v>
      </c>
      <c r="C16" s="293" t="s">
        <v>20</v>
      </c>
      <c r="D16" s="293">
        <v>4</v>
      </c>
      <c r="E16" s="293">
        <v>168</v>
      </c>
      <c r="F16" s="294">
        <f t="shared" si="0"/>
        <v>672</v>
      </c>
      <c r="G16" s="235"/>
      <c r="H16" s="235"/>
    </row>
    <row r="17" spans="1:8" ht="15.75" thickBot="1">
      <c r="A17" s="293" t="s">
        <v>592</v>
      </c>
      <c r="B17" s="293" t="s">
        <v>535</v>
      </c>
      <c r="C17" s="293" t="s">
        <v>518</v>
      </c>
      <c r="D17" s="293">
        <v>72</v>
      </c>
      <c r="E17" s="293">
        <v>165</v>
      </c>
      <c r="F17" s="294">
        <f t="shared" si="0"/>
        <v>11880</v>
      </c>
      <c r="G17" s="235"/>
      <c r="H17" s="235"/>
    </row>
    <row r="18" spans="1:8" ht="15.75" thickBot="1">
      <c r="A18" s="293" t="s">
        <v>593</v>
      </c>
      <c r="B18" s="293" t="s">
        <v>1029</v>
      </c>
      <c r="C18" s="293" t="s">
        <v>518</v>
      </c>
      <c r="D18" s="293">
        <v>10</v>
      </c>
      <c r="E18" s="293">
        <v>62</v>
      </c>
      <c r="F18" s="294">
        <f t="shared" si="0"/>
        <v>620</v>
      </c>
      <c r="G18" s="235"/>
      <c r="H18" s="235"/>
    </row>
    <row r="19" spans="1:8" ht="15.75" thickBot="1">
      <c r="A19" s="293" t="s">
        <v>595</v>
      </c>
      <c r="B19" s="293" t="s">
        <v>21</v>
      </c>
      <c r="C19" s="293" t="s">
        <v>596</v>
      </c>
      <c r="D19" s="293">
        <v>2</v>
      </c>
      <c r="E19" s="294">
        <v>1799.27</v>
      </c>
      <c r="F19" s="294">
        <f t="shared" si="0"/>
        <v>3598.54</v>
      </c>
      <c r="G19" s="235"/>
      <c r="H19" s="235"/>
    </row>
    <row r="20" spans="1:8" ht="15.75" thickBot="1">
      <c r="A20" s="293" t="s">
        <v>597</v>
      </c>
      <c r="B20" s="293" t="s">
        <v>535</v>
      </c>
      <c r="C20" s="293" t="s">
        <v>518</v>
      </c>
      <c r="D20" s="293">
        <v>2</v>
      </c>
      <c r="E20" s="293">
        <v>285</v>
      </c>
      <c r="F20" s="294">
        <f t="shared" si="0"/>
        <v>570</v>
      </c>
      <c r="G20" s="235"/>
      <c r="H20" s="235"/>
    </row>
    <row r="21" spans="1:8" ht="15.75" thickBot="1">
      <c r="A21" s="293" t="s">
        <v>598</v>
      </c>
      <c r="B21" s="293" t="s">
        <v>536</v>
      </c>
      <c r="C21" s="293" t="s">
        <v>20</v>
      </c>
      <c r="D21" s="293">
        <v>16</v>
      </c>
      <c r="E21" s="293">
        <v>30</v>
      </c>
      <c r="F21" s="294">
        <f t="shared" si="0"/>
        <v>480</v>
      </c>
      <c r="G21" s="235"/>
      <c r="H21" s="235"/>
    </row>
    <row r="22" spans="1:8" ht="15.75" thickBot="1">
      <c r="A22" s="293" t="s">
        <v>599</v>
      </c>
      <c r="B22" s="293" t="s">
        <v>536</v>
      </c>
      <c r="C22" s="293" t="s">
        <v>20</v>
      </c>
      <c r="D22" s="293">
        <v>18</v>
      </c>
      <c r="E22" s="293">
        <v>49</v>
      </c>
      <c r="F22" s="294">
        <f t="shared" si="0"/>
        <v>882</v>
      </c>
      <c r="G22" s="235"/>
      <c r="H22" s="235"/>
    </row>
    <row r="23" spans="1:8" ht="15.75" thickBot="1">
      <c r="A23" s="293" t="s">
        <v>717</v>
      </c>
      <c r="B23" s="293" t="s">
        <v>537</v>
      </c>
      <c r="C23" s="293" t="s">
        <v>20</v>
      </c>
      <c r="D23" s="293">
        <v>35</v>
      </c>
      <c r="E23" s="293">
        <v>7.73</v>
      </c>
      <c r="F23" s="294">
        <f t="shared" si="0"/>
        <v>270.55</v>
      </c>
      <c r="G23" s="235"/>
      <c r="H23" s="235"/>
    </row>
    <row r="24" spans="1:8" ht="15.75" thickBot="1">
      <c r="A24" s="293" t="s">
        <v>600</v>
      </c>
      <c r="B24" s="293" t="s">
        <v>538</v>
      </c>
      <c r="C24" s="293" t="s">
        <v>20</v>
      </c>
      <c r="D24" s="293">
        <v>46</v>
      </c>
      <c r="E24" s="293">
        <v>19.100000000000001</v>
      </c>
      <c r="F24" s="294">
        <f t="shared" si="0"/>
        <v>878.6</v>
      </c>
      <c r="G24" s="235"/>
      <c r="H24" s="235"/>
    </row>
    <row r="25" spans="1:8" ht="15.75" thickBot="1">
      <c r="A25" s="293" t="s">
        <v>601</v>
      </c>
      <c r="B25" s="293" t="s">
        <v>539</v>
      </c>
      <c r="C25" s="293" t="s">
        <v>20</v>
      </c>
      <c r="D25" s="293">
        <v>46</v>
      </c>
      <c r="E25" s="293">
        <v>1.6</v>
      </c>
      <c r="F25" s="294">
        <f t="shared" si="0"/>
        <v>73.600000000000009</v>
      </c>
      <c r="G25" s="235"/>
      <c r="H25" s="235"/>
    </row>
    <row r="26" spans="1:8" ht="15.75" thickBot="1">
      <c r="A26" s="293" t="s">
        <v>602</v>
      </c>
      <c r="B26" s="293" t="s">
        <v>603</v>
      </c>
      <c r="C26" s="293" t="s">
        <v>20</v>
      </c>
      <c r="D26" s="293">
        <v>16</v>
      </c>
      <c r="E26" s="293">
        <v>86</v>
      </c>
      <c r="F26" s="294">
        <f t="shared" si="0"/>
        <v>1376</v>
      </c>
      <c r="G26" s="235"/>
      <c r="H26" s="235"/>
    </row>
    <row r="27" spans="1:8" ht="15.75" thickBot="1">
      <c r="A27" s="293" t="s">
        <v>604</v>
      </c>
      <c r="B27" s="293" t="s">
        <v>605</v>
      </c>
      <c r="C27" s="293" t="s">
        <v>14</v>
      </c>
      <c r="D27" s="293">
        <v>23</v>
      </c>
      <c r="E27" s="293">
        <v>168</v>
      </c>
      <c r="F27" s="294">
        <f t="shared" si="0"/>
        <v>3864</v>
      </c>
      <c r="G27" s="235"/>
      <c r="H27" s="235"/>
    </row>
    <row r="28" spans="1:8" ht="15.75" thickBot="1">
      <c r="A28" s="293" t="s">
        <v>203</v>
      </c>
      <c r="B28" s="293" t="s">
        <v>203</v>
      </c>
      <c r="C28" s="293" t="s">
        <v>261</v>
      </c>
      <c r="D28" s="293">
        <v>4</v>
      </c>
      <c r="E28" s="293">
        <v>96</v>
      </c>
      <c r="F28" s="294">
        <f t="shared" si="0"/>
        <v>384</v>
      </c>
      <c r="G28" s="235"/>
      <c r="H28" s="235"/>
    </row>
    <row r="29" spans="1:8" ht="15.75" thickBot="1">
      <c r="A29" s="293" t="s">
        <v>718</v>
      </c>
      <c r="B29" s="293" t="s">
        <v>1030</v>
      </c>
      <c r="C29" s="293" t="s">
        <v>20</v>
      </c>
      <c r="D29" s="293">
        <v>40</v>
      </c>
      <c r="E29" s="293">
        <v>312</v>
      </c>
      <c r="F29" s="294">
        <f t="shared" si="0"/>
        <v>12480</v>
      </c>
      <c r="G29" s="235"/>
      <c r="H29" s="235"/>
    </row>
    <row r="30" spans="1:8" ht="15.75" thickBot="1">
      <c r="A30" s="293" t="s">
        <v>719</v>
      </c>
      <c r="B30" s="293" t="s">
        <v>720</v>
      </c>
      <c r="C30" s="293" t="s">
        <v>14</v>
      </c>
      <c r="D30" s="293">
        <v>8</v>
      </c>
      <c r="E30" s="293">
        <v>167</v>
      </c>
      <c r="F30" s="294">
        <f t="shared" si="0"/>
        <v>1336</v>
      </c>
      <c r="G30" s="235"/>
      <c r="H30" s="235"/>
    </row>
    <row r="31" spans="1:8" ht="15.75" thickBot="1">
      <c r="A31" s="293" t="s">
        <v>721</v>
      </c>
      <c r="B31" s="293" t="s">
        <v>722</v>
      </c>
      <c r="C31" s="293" t="s">
        <v>14</v>
      </c>
      <c r="D31" s="293">
        <v>10</v>
      </c>
      <c r="E31" s="293">
        <v>164</v>
      </c>
      <c r="F31" s="294">
        <f t="shared" si="0"/>
        <v>1640</v>
      </c>
      <c r="G31" s="235"/>
      <c r="H31" s="235"/>
    </row>
    <row r="32" spans="1:8" ht="15.75" thickBot="1">
      <c r="A32" s="293" t="s">
        <v>723</v>
      </c>
      <c r="B32" s="293" t="s">
        <v>724</v>
      </c>
      <c r="C32" s="293" t="s">
        <v>725</v>
      </c>
      <c r="D32" s="293">
        <v>0.5</v>
      </c>
      <c r="E32" s="294">
        <v>1276</v>
      </c>
      <c r="F32" s="294">
        <f t="shared" si="0"/>
        <v>638</v>
      </c>
      <c r="G32" s="235"/>
      <c r="H32" s="235"/>
    </row>
    <row r="33" spans="1:8" ht="15.75" thickBot="1">
      <c r="A33" s="293" t="s">
        <v>726</v>
      </c>
      <c r="B33" s="293" t="s">
        <v>727</v>
      </c>
      <c r="C33" s="293" t="s">
        <v>20</v>
      </c>
      <c r="D33" s="293">
        <v>5</v>
      </c>
      <c r="E33" s="293">
        <v>96</v>
      </c>
      <c r="F33" s="294">
        <f t="shared" si="0"/>
        <v>480</v>
      </c>
      <c r="G33" s="235"/>
      <c r="H33" s="235"/>
    </row>
    <row r="34" spans="1:8" ht="15.75" thickBot="1">
      <c r="A34" s="293" t="s">
        <v>728</v>
      </c>
      <c r="B34" s="293" t="s">
        <v>541</v>
      </c>
      <c r="C34" s="293" t="s">
        <v>262</v>
      </c>
      <c r="D34" s="293">
        <v>345</v>
      </c>
      <c r="E34" s="293">
        <v>67</v>
      </c>
      <c r="F34" s="294">
        <f t="shared" si="0"/>
        <v>23115</v>
      </c>
      <c r="G34" s="235"/>
      <c r="H34" s="235"/>
    </row>
    <row r="35" spans="1:8" ht="15.75" thickBot="1">
      <c r="A35" s="293" t="s">
        <v>613</v>
      </c>
      <c r="B35" s="293" t="s">
        <v>614</v>
      </c>
      <c r="C35" s="293" t="s">
        <v>14</v>
      </c>
      <c r="D35" s="293">
        <v>1.18</v>
      </c>
      <c r="E35" s="293">
        <v>186</v>
      </c>
      <c r="F35" s="294">
        <f t="shared" si="0"/>
        <v>219.48</v>
      </c>
      <c r="G35" s="235"/>
      <c r="H35" s="235"/>
    </row>
    <row r="36" spans="1:8" ht="15.75" thickBot="1">
      <c r="A36" s="293" t="s">
        <v>729</v>
      </c>
      <c r="B36" s="293" t="s">
        <v>542</v>
      </c>
      <c r="C36" s="293" t="s">
        <v>262</v>
      </c>
      <c r="D36" s="293">
        <v>40</v>
      </c>
      <c r="E36" s="293">
        <v>39</v>
      </c>
      <c r="F36" s="294">
        <f t="shared" si="0"/>
        <v>1560</v>
      </c>
      <c r="G36" s="235"/>
      <c r="H36" s="235"/>
    </row>
    <row r="37" spans="1:8" ht="15.75" thickBot="1">
      <c r="A37" s="293" t="s">
        <v>730</v>
      </c>
      <c r="B37" s="293" t="s">
        <v>730</v>
      </c>
      <c r="C37" s="293" t="s">
        <v>20</v>
      </c>
      <c r="D37" s="293">
        <v>1</v>
      </c>
      <c r="E37" s="293">
        <v>350</v>
      </c>
      <c r="F37" s="294">
        <f t="shared" si="0"/>
        <v>350</v>
      </c>
      <c r="G37" s="235"/>
      <c r="H37" s="235"/>
    </row>
    <row r="38" spans="1:8" ht="15.75" thickBot="1">
      <c r="A38" s="293" t="s">
        <v>732</v>
      </c>
      <c r="B38" s="293" t="s">
        <v>545</v>
      </c>
      <c r="C38" s="293" t="s">
        <v>20</v>
      </c>
      <c r="D38" s="293">
        <v>800</v>
      </c>
      <c r="E38" s="293">
        <v>1.1200000000000001</v>
      </c>
      <c r="F38" s="294">
        <f t="shared" si="0"/>
        <v>896.00000000000011</v>
      </c>
      <c r="G38" s="235"/>
      <c r="H38" s="235"/>
    </row>
    <row r="39" spans="1:8" ht="15.75" thickBot="1">
      <c r="A39" s="293" t="s">
        <v>733</v>
      </c>
      <c r="B39" s="293" t="s">
        <v>545</v>
      </c>
      <c r="C39" s="293" t="s">
        <v>20</v>
      </c>
      <c r="D39" s="293">
        <v>680</v>
      </c>
      <c r="E39" s="293">
        <v>0.54</v>
      </c>
      <c r="F39" s="294">
        <f t="shared" si="0"/>
        <v>367.20000000000005</v>
      </c>
      <c r="G39" s="235"/>
      <c r="H39" s="235"/>
    </row>
    <row r="40" spans="1:8" ht="15.75" thickBot="1">
      <c r="A40" s="293" t="s">
        <v>734</v>
      </c>
      <c r="B40" s="293" t="s">
        <v>545</v>
      </c>
      <c r="C40" s="293" t="s">
        <v>20</v>
      </c>
      <c r="D40" s="293">
        <v>1400</v>
      </c>
      <c r="E40" s="293">
        <v>0.76</v>
      </c>
      <c r="F40" s="294">
        <f t="shared" si="0"/>
        <v>1064</v>
      </c>
      <c r="G40" s="235"/>
      <c r="H40" s="235"/>
    </row>
    <row r="41" spans="1:8" ht="15.75" thickBot="1">
      <c r="A41" s="293" t="s">
        <v>735</v>
      </c>
      <c r="B41" s="293" t="s">
        <v>545</v>
      </c>
      <c r="C41" s="293" t="s">
        <v>20</v>
      </c>
      <c r="D41" s="293">
        <v>860</v>
      </c>
      <c r="E41" s="293">
        <v>0.81</v>
      </c>
      <c r="F41" s="294">
        <f t="shared" si="0"/>
        <v>696.6</v>
      </c>
      <c r="G41" s="235"/>
      <c r="H41" s="235"/>
    </row>
    <row r="42" spans="1:8" ht="15.75" thickBot="1">
      <c r="A42" s="293" t="s">
        <v>944</v>
      </c>
      <c r="B42" s="293" t="s">
        <v>545</v>
      </c>
      <c r="C42" s="293" t="s">
        <v>20</v>
      </c>
      <c r="D42" s="293">
        <v>1227</v>
      </c>
      <c r="E42" s="293">
        <v>0.25</v>
      </c>
      <c r="F42" s="294">
        <f t="shared" si="0"/>
        <v>306.75</v>
      </c>
      <c r="G42" s="235"/>
      <c r="H42" s="235"/>
    </row>
    <row r="43" spans="1:8" ht="15.75" thickBot="1">
      <c r="A43" s="293" t="s">
        <v>737</v>
      </c>
      <c r="B43" s="293" t="s">
        <v>545</v>
      </c>
      <c r="C43" s="293" t="s">
        <v>20</v>
      </c>
      <c r="D43" s="293">
        <v>1742</v>
      </c>
      <c r="E43" s="293">
        <v>0.81</v>
      </c>
      <c r="F43" s="294">
        <f t="shared" si="0"/>
        <v>1411.02</v>
      </c>
      <c r="G43" s="235"/>
      <c r="H43" s="235"/>
    </row>
    <row r="44" spans="1:8" ht="15.75" thickBot="1">
      <c r="A44" s="293" t="s">
        <v>738</v>
      </c>
      <c r="B44" s="293" t="s">
        <v>612</v>
      </c>
      <c r="C44" s="293" t="s">
        <v>20</v>
      </c>
      <c r="D44" s="293">
        <v>227</v>
      </c>
      <c r="E44" s="293">
        <v>0.93</v>
      </c>
      <c r="F44" s="294">
        <f t="shared" si="0"/>
        <v>211.11</v>
      </c>
      <c r="G44" s="235"/>
      <c r="H44" s="235"/>
    </row>
    <row r="45" spans="1:8" ht="15.75" thickBot="1">
      <c r="A45" s="293" t="s">
        <v>739</v>
      </c>
      <c r="B45" s="293" t="s">
        <v>612</v>
      </c>
      <c r="C45" s="293" t="s">
        <v>20</v>
      </c>
      <c r="D45" s="293">
        <v>60</v>
      </c>
      <c r="E45" s="293">
        <v>0.32</v>
      </c>
      <c r="F45" s="294">
        <f t="shared" si="0"/>
        <v>19.2</v>
      </c>
      <c r="G45" s="235"/>
      <c r="H45" s="235"/>
    </row>
    <row r="46" spans="1:8" ht="15.75" thickBot="1">
      <c r="A46" s="293" t="s">
        <v>740</v>
      </c>
      <c r="B46" s="293" t="s">
        <v>545</v>
      </c>
      <c r="C46" s="293" t="s">
        <v>20</v>
      </c>
      <c r="D46" s="293">
        <v>135</v>
      </c>
      <c r="E46" s="293">
        <v>1.03</v>
      </c>
      <c r="F46" s="294">
        <f t="shared" si="0"/>
        <v>139.05000000000001</v>
      </c>
      <c r="G46" s="235"/>
      <c r="H46" s="235"/>
    </row>
    <row r="47" spans="1:8" ht="19.5">
      <c r="A47" s="372" t="s">
        <v>741</v>
      </c>
      <c r="B47" s="372"/>
      <c r="C47" s="372"/>
      <c r="D47" s="372"/>
      <c r="E47" s="372"/>
      <c r="F47" s="295">
        <f>SUM(F6:F46)</f>
        <v>152085.48500000002</v>
      </c>
      <c r="G47" s="235"/>
      <c r="H47" s="235"/>
    </row>
    <row r="48" spans="1:8" ht="20.25" thickBot="1">
      <c r="A48" s="370" t="s">
        <v>205</v>
      </c>
      <c r="B48" s="370"/>
      <c r="C48" s="371"/>
      <c r="D48" s="371"/>
      <c r="E48" s="371"/>
      <c r="F48" s="371"/>
      <c r="G48" s="235"/>
      <c r="H48" s="235"/>
    </row>
    <row r="49" spans="1:8" ht="15.75" thickBot="1">
      <c r="A49" s="293" t="s">
        <v>608</v>
      </c>
      <c r="B49" s="293" t="s">
        <v>608</v>
      </c>
      <c r="C49" s="293" t="s">
        <v>12</v>
      </c>
      <c r="D49" s="293">
        <v>42</v>
      </c>
      <c r="E49" s="293">
        <v>29</v>
      </c>
      <c r="F49" s="294">
        <f>E49*D49</f>
        <v>1218</v>
      </c>
      <c r="G49" s="235"/>
      <c r="H49" s="235"/>
    </row>
    <row r="50" spans="1:8" ht="15.75" thickBot="1">
      <c r="A50" s="293" t="s">
        <v>742</v>
      </c>
      <c r="B50" s="293" t="s">
        <v>1031</v>
      </c>
      <c r="C50" s="293" t="s">
        <v>12</v>
      </c>
      <c r="D50" s="293">
        <v>120</v>
      </c>
      <c r="E50" s="293">
        <v>13</v>
      </c>
      <c r="F50" s="294">
        <f t="shared" ref="F50:F69" si="1">E50*D50</f>
        <v>1560</v>
      </c>
      <c r="G50" s="235"/>
      <c r="H50" s="235"/>
    </row>
    <row r="51" spans="1:8" ht="15.75" thickBot="1">
      <c r="A51" s="293" t="s">
        <v>743</v>
      </c>
      <c r="B51" s="293" t="s">
        <v>606</v>
      </c>
      <c r="C51" s="293" t="s">
        <v>12</v>
      </c>
      <c r="D51" s="293">
        <v>44</v>
      </c>
      <c r="E51" s="293">
        <v>88</v>
      </c>
      <c r="F51" s="294">
        <f t="shared" si="1"/>
        <v>3872</v>
      </c>
      <c r="G51" s="235"/>
      <c r="H51" s="235"/>
    </row>
    <row r="52" spans="1:8" ht="15.75" thickBot="1">
      <c r="A52" s="293" t="s">
        <v>744</v>
      </c>
      <c r="B52" s="293" t="s">
        <v>1032</v>
      </c>
      <c r="C52" s="293" t="s">
        <v>12</v>
      </c>
      <c r="D52" s="293">
        <v>55</v>
      </c>
      <c r="E52" s="293">
        <v>176</v>
      </c>
      <c r="F52" s="294">
        <f t="shared" si="1"/>
        <v>9680</v>
      </c>
      <c r="G52" s="235"/>
      <c r="H52" s="235"/>
    </row>
    <row r="53" spans="1:8" ht="15.75" thickBot="1">
      <c r="A53" s="293" t="s">
        <v>745</v>
      </c>
      <c r="B53" s="293" t="s">
        <v>1032</v>
      </c>
      <c r="C53" s="293" t="s">
        <v>12</v>
      </c>
      <c r="D53" s="293">
        <v>171</v>
      </c>
      <c r="E53" s="293">
        <v>77</v>
      </c>
      <c r="F53" s="294">
        <f t="shared" si="1"/>
        <v>13167</v>
      </c>
      <c r="G53" s="235"/>
      <c r="H53" s="235"/>
    </row>
    <row r="54" spans="1:8" ht="15.75" thickBot="1">
      <c r="A54" s="293" t="s">
        <v>746</v>
      </c>
      <c r="B54" s="293" t="s">
        <v>609</v>
      </c>
      <c r="C54" s="293" t="s">
        <v>20</v>
      </c>
      <c r="D54" s="293">
        <v>5</v>
      </c>
      <c r="E54" s="294">
        <v>7700</v>
      </c>
      <c r="F54" s="294">
        <f t="shared" si="1"/>
        <v>38500</v>
      </c>
      <c r="G54" s="235"/>
      <c r="H54" s="235"/>
    </row>
    <row r="55" spans="1:8" ht="15.75" thickBot="1">
      <c r="A55" s="293" t="s">
        <v>747</v>
      </c>
      <c r="B55" s="293" t="s">
        <v>610</v>
      </c>
      <c r="C55" s="293" t="s">
        <v>12</v>
      </c>
      <c r="D55" s="293">
        <v>18</v>
      </c>
      <c r="E55" s="293">
        <v>515</v>
      </c>
      <c r="F55" s="294">
        <f t="shared" si="1"/>
        <v>9270</v>
      </c>
      <c r="G55" s="235"/>
      <c r="H55" s="235"/>
    </row>
    <row r="56" spans="1:8" ht="15.75" thickBot="1">
      <c r="A56" s="293" t="s">
        <v>748</v>
      </c>
      <c r="B56" s="293" t="s">
        <v>610</v>
      </c>
      <c r="C56" s="293" t="s">
        <v>12</v>
      </c>
      <c r="D56" s="293">
        <v>80.099999999999994</v>
      </c>
      <c r="E56" s="293">
        <v>429</v>
      </c>
      <c r="F56" s="294">
        <f t="shared" si="1"/>
        <v>34362.899999999994</v>
      </c>
      <c r="G56" s="235"/>
      <c r="H56" s="235"/>
    </row>
    <row r="57" spans="1:8" ht="15.75" thickBot="1">
      <c r="A57" s="293" t="s">
        <v>611</v>
      </c>
      <c r="B57" s="293" t="s">
        <v>611</v>
      </c>
      <c r="C57" s="293" t="s">
        <v>14</v>
      </c>
      <c r="D57" s="293">
        <v>26</v>
      </c>
      <c r="E57" s="293">
        <v>321.37</v>
      </c>
      <c r="F57" s="294">
        <f t="shared" si="1"/>
        <v>8355.6200000000008</v>
      </c>
      <c r="G57" s="235"/>
      <c r="H57" s="235"/>
    </row>
    <row r="58" spans="1:8" ht="15.75" thickBot="1">
      <c r="A58" s="293" t="s">
        <v>544</v>
      </c>
      <c r="B58" s="293" t="s">
        <v>544</v>
      </c>
      <c r="C58" s="293" t="s">
        <v>262</v>
      </c>
      <c r="D58" s="293">
        <v>35</v>
      </c>
      <c r="E58" s="293">
        <v>132.58000000000001</v>
      </c>
      <c r="F58" s="294">
        <f t="shared" si="1"/>
        <v>4640.3</v>
      </c>
      <c r="G58" s="235"/>
      <c r="H58" s="235"/>
    </row>
    <row r="59" spans="1:8" ht="15.75" thickBot="1">
      <c r="A59" s="293" t="s">
        <v>750</v>
      </c>
      <c r="B59" s="293" t="s">
        <v>621</v>
      </c>
      <c r="C59" s="293" t="s">
        <v>12</v>
      </c>
      <c r="D59" s="293">
        <v>18</v>
      </c>
      <c r="E59" s="293">
        <v>229</v>
      </c>
      <c r="F59" s="294">
        <f t="shared" si="1"/>
        <v>4122</v>
      </c>
      <c r="G59" s="235"/>
      <c r="H59" s="235"/>
    </row>
    <row r="60" spans="1:8" ht="15.75" thickBot="1">
      <c r="A60" s="293" t="s">
        <v>751</v>
      </c>
      <c r="B60" s="293" t="s">
        <v>1033</v>
      </c>
      <c r="C60" s="293" t="s">
        <v>262</v>
      </c>
      <c r="D60" s="293">
        <v>84</v>
      </c>
      <c r="E60" s="293">
        <v>75</v>
      </c>
      <c r="F60" s="294">
        <f t="shared" si="1"/>
        <v>6300</v>
      </c>
      <c r="G60" s="235"/>
      <c r="H60" s="235"/>
    </row>
    <row r="61" spans="1:8" ht="15.75" thickBot="1">
      <c r="A61" s="293" t="s">
        <v>752</v>
      </c>
      <c r="B61" s="293" t="s">
        <v>616</v>
      </c>
      <c r="C61" s="293" t="s">
        <v>20</v>
      </c>
      <c r="D61" s="293">
        <v>4</v>
      </c>
      <c r="E61" s="293">
        <v>227</v>
      </c>
      <c r="F61" s="294">
        <f t="shared" si="1"/>
        <v>908</v>
      </c>
      <c r="G61" s="235"/>
      <c r="H61" s="235"/>
    </row>
    <row r="62" spans="1:8" ht="15.75" thickBot="1">
      <c r="A62" s="293" t="s">
        <v>753</v>
      </c>
      <c r="B62" s="293" t="s">
        <v>615</v>
      </c>
      <c r="C62" s="293" t="s">
        <v>20</v>
      </c>
      <c r="D62" s="293">
        <v>25</v>
      </c>
      <c r="E62" s="293">
        <v>635</v>
      </c>
      <c r="F62" s="294">
        <f t="shared" si="1"/>
        <v>15875</v>
      </c>
      <c r="G62" s="235"/>
      <c r="H62" s="235"/>
    </row>
    <row r="63" spans="1:8" ht="15.75" thickBot="1">
      <c r="A63" s="293" t="s">
        <v>754</v>
      </c>
      <c r="B63" s="293" t="s">
        <v>1034</v>
      </c>
      <c r="C63" s="293" t="s">
        <v>14</v>
      </c>
      <c r="D63" s="293">
        <v>20</v>
      </c>
      <c r="E63" s="293">
        <v>226</v>
      </c>
      <c r="F63" s="294">
        <f t="shared" si="1"/>
        <v>4520</v>
      </c>
      <c r="G63" s="235"/>
      <c r="H63" s="235"/>
    </row>
    <row r="64" spans="1:8" ht="15.75" thickBot="1">
      <c r="A64" s="293" t="s">
        <v>755</v>
      </c>
      <c r="B64" s="293" t="s">
        <v>543</v>
      </c>
      <c r="C64" s="293" t="s">
        <v>20</v>
      </c>
      <c r="D64" s="293">
        <v>10</v>
      </c>
      <c r="E64" s="293">
        <v>217</v>
      </c>
      <c r="F64" s="294">
        <f t="shared" si="1"/>
        <v>2170</v>
      </c>
      <c r="G64" s="235"/>
      <c r="H64" s="235"/>
    </row>
    <row r="65" spans="1:8" ht="15.75" thickBot="1">
      <c r="A65" s="293" t="s">
        <v>617</v>
      </c>
      <c r="B65" s="293" t="s">
        <v>1035</v>
      </c>
      <c r="C65" s="293" t="s">
        <v>20</v>
      </c>
      <c r="D65" s="293">
        <v>4</v>
      </c>
      <c r="E65" s="293">
        <v>267</v>
      </c>
      <c r="F65" s="294">
        <f t="shared" si="1"/>
        <v>1068</v>
      </c>
      <c r="G65" s="235"/>
      <c r="H65" s="235"/>
    </row>
    <row r="66" spans="1:8" ht="15.75" thickBot="1">
      <c r="A66" s="293" t="s">
        <v>619</v>
      </c>
      <c r="B66" s="293" t="s">
        <v>619</v>
      </c>
      <c r="C66" s="293" t="s">
        <v>596</v>
      </c>
      <c r="D66" s="293">
        <v>1</v>
      </c>
      <c r="E66" s="294">
        <v>1670</v>
      </c>
      <c r="F66" s="294">
        <f t="shared" si="1"/>
        <v>1670</v>
      </c>
      <c r="G66" s="235"/>
      <c r="H66" s="235"/>
    </row>
    <row r="67" spans="1:8" ht="15.75" thickBot="1">
      <c r="A67" s="293" t="s">
        <v>756</v>
      </c>
      <c r="B67" s="293" t="s">
        <v>620</v>
      </c>
      <c r="C67" s="293" t="s">
        <v>20</v>
      </c>
      <c r="D67" s="293">
        <v>15</v>
      </c>
      <c r="E67" s="293">
        <v>56</v>
      </c>
      <c r="F67" s="294">
        <f t="shared" si="1"/>
        <v>840</v>
      </c>
      <c r="G67" s="235"/>
      <c r="H67" s="235"/>
    </row>
    <row r="68" spans="1:8" ht="15.75" thickBot="1">
      <c r="A68" s="293" t="s">
        <v>757</v>
      </c>
      <c r="B68" s="293" t="s">
        <v>620</v>
      </c>
      <c r="C68" s="293" t="s">
        <v>20</v>
      </c>
      <c r="D68" s="293">
        <v>6</v>
      </c>
      <c r="E68" s="293">
        <v>103</v>
      </c>
      <c r="F68" s="294">
        <f t="shared" si="1"/>
        <v>618</v>
      </c>
      <c r="G68" s="235"/>
      <c r="H68" s="235"/>
    </row>
    <row r="69" spans="1:8" ht="15.75" thickBot="1">
      <c r="A69" s="293" t="s">
        <v>572</v>
      </c>
      <c r="B69" s="293" t="s">
        <v>572</v>
      </c>
      <c r="C69" s="293" t="s">
        <v>20</v>
      </c>
      <c r="D69" s="293">
        <v>4</v>
      </c>
      <c r="E69" s="293">
        <v>293</v>
      </c>
      <c r="F69" s="294">
        <f t="shared" si="1"/>
        <v>1172</v>
      </c>
      <c r="G69" s="235"/>
      <c r="H69" s="235"/>
    </row>
    <row r="70" spans="1:8" ht="19.5">
      <c r="A70" s="372" t="s">
        <v>741</v>
      </c>
      <c r="B70" s="372"/>
      <c r="C70" s="372"/>
      <c r="D70" s="372"/>
      <c r="E70" s="372"/>
      <c r="F70" s="295">
        <f>SUM(F49:F69)</f>
        <v>163888.82</v>
      </c>
      <c r="G70" s="235"/>
      <c r="H70" s="235"/>
    </row>
    <row r="71" spans="1:8" ht="20.25" thickBot="1">
      <c r="A71" s="370" t="s">
        <v>273</v>
      </c>
      <c r="B71" s="370"/>
      <c r="C71" s="371"/>
      <c r="D71" s="371"/>
      <c r="E71" s="371"/>
      <c r="F71" s="371"/>
      <c r="G71" s="235"/>
      <c r="H71" s="235"/>
    </row>
    <row r="72" spans="1:8" ht="15.75" thickBot="1">
      <c r="A72" s="293" t="s">
        <v>758</v>
      </c>
      <c r="B72" s="293" t="s">
        <v>546</v>
      </c>
      <c r="C72" s="293" t="s">
        <v>12</v>
      </c>
      <c r="D72" s="293">
        <v>16.5</v>
      </c>
      <c r="E72" s="293">
        <v>286</v>
      </c>
      <c r="F72" s="294">
        <f>E72*D72</f>
        <v>4719</v>
      </c>
      <c r="G72" s="235"/>
      <c r="H72" s="235"/>
    </row>
    <row r="73" spans="1:8" ht="15.75" thickBot="1">
      <c r="A73" s="293" t="s">
        <v>759</v>
      </c>
      <c r="B73" s="293" t="s">
        <v>546</v>
      </c>
      <c r="C73" s="293" t="s">
        <v>12</v>
      </c>
      <c r="D73" s="293">
        <v>21</v>
      </c>
      <c r="E73" s="293">
        <v>289</v>
      </c>
      <c r="F73" s="294">
        <f t="shared" ref="F73:F83" si="2">E73*D73</f>
        <v>6069</v>
      </c>
      <c r="G73" s="235"/>
      <c r="H73" s="235"/>
    </row>
    <row r="74" spans="1:8" ht="15.75" thickBot="1">
      <c r="A74" s="293" t="s">
        <v>760</v>
      </c>
      <c r="B74" s="293" t="s">
        <v>546</v>
      </c>
      <c r="C74" s="293" t="s">
        <v>12</v>
      </c>
      <c r="D74" s="293">
        <v>105</v>
      </c>
      <c r="E74" s="293">
        <v>281</v>
      </c>
      <c r="F74" s="294">
        <f t="shared" si="2"/>
        <v>29505</v>
      </c>
      <c r="G74" s="235"/>
      <c r="H74" s="235"/>
    </row>
    <row r="75" spans="1:8" ht="15.75" thickBot="1">
      <c r="A75" s="293" t="s">
        <v>761</v>
      </c>
      <c r="B75" s="293" t="s">
        <v>570</v>
      </c>
      <c r="C75" s="293" t="s">
        <v>12</v>
      </c>
      <c r="D75" s="293">
        <v>23</v>
      </c>
      <c r="E75" s="293">
        <v>277</v>
      </c>
      <c r="F75" s="294">
        <f t="shared" si="2"/>
        <v>6371</v>
      </c>
      <c r="G75" s="235"/>
      <c r="H75" s="235"/>
    </row>
    <row r="76" spans="1:8" ht="15.75" thickBot="1">
      <c r="A76" s="293" t="s">
        <v>662</v>
      </c>
      <c r="B76" s="293" t="s">
        <v>662</v>
      </c>
      <c r="C76" s="293" t="s">
        <v>20</v>
      </c>
      <c r="D76" s="293">
        <v>3</v>
      </c>
      <c r="E76" s="293">
        <v>403</v>
      </c>
      <c r="F76" s="294">
        <f t="shared" si="2"/>
        <v>1209</v>
      </c>
      <c r="G76" s="235"/>
      <c r="H76" s="235"/>
    </row>
    <row r="77" spans="1:8" ht="15.75" thickBot="1">
      <c r="A77" s="293" t="s">
        <v>663</v>
      </c>
      <c r="B77" s="293" t="s">
        <v>1036</v>
      </c>
      <c r="C77" s="293" t="s">
        <v>20</v>
      </c>
      <c r="D77" s="293">
        <v>2</v>
      </c>
      <c r="E77" s="293">
        <v>442</v>
      </c>
      <c r="F77" s="294">
        <f t="shared" si="2"/>
        <v>884</v>
      </c>
      <c r="G77" s="235"/>
      <c r="H77" s="235"/>
    </row>
    <row r="78" spans="1:8" ht="15.75" thickBot="1">
      <c r="A78" s="293" t="s">
        <v>664</v>
      </c>
      <c r="B78" s="293" t="s">
        <v>664</v>
      </c>
      <c r="C78" s="293" t="s">
        <v>20</v>
      </c>
      <c r="D78" s="293">
        <v>2</v>
      </c>
      <c r="E78" s="293">
        <v>495</v>
      </c>
      <c r="F78" s="294">
        <f t="shared" si="2"/>
        <v>990</v>
      </c>
      <c r="G78" s="235"/>
      <c r="H78" s="235"/>
    </row>
    <row r="79" spans="1:8" ht="15.75" thickBot="1">
      <c r="A79" s="293" t="s">
        <v>666</v>
      </c>
      <c r="B79" s="293" t="s">
        <v>666</v>
      </c>
      <c r="C79" s="293" t="s">
        <v>20</v>
      </c>
      <c r="D79" s="293">
        <v>1</v>
      </c>
      <c r="E79" s="293">
        <v>495</v>
      </c>
      <c r="F79" s="294">
        <f t="shared" si="2"/>
        <v>495</v>
      </c>
      <c r="G79" s="235"/>
      <c r="H79" s="235"/>
    </row>
    <row r="80" spans="1:8" ht="15.75" thickBot="1">
      <c r="A80" s="293" t="s">
        <v>762</v>
      </c>
      <c r="B80" s="293" t="s">
        <v>667</v>
      </c>
      <c r="C80" s="293" t="s">
        <v>20</v>
      </c>
      <c r="D80" s="293">
        <v>2</v>
      </c>
      <c r="E80" s="293">
        <v>196</v>
      </c>
      <c r="F80" s="294">
        <f t="shared" si="2"/>
        <v>392</v>
      </c>
      <c r="G80" s="235"/>
      <c r="H80" s="235"/>
    </row>
    <row r="81" spans="1:8" ht="15.75" thickBot="1">
      <c r="A81" s="293" t="s">
        <v>763</v>
      </c>
      <c r="B81" s="293" t="s">
        <v>1037</v>
      </c>
      <c r="C81" s="293" t="s">
        <v>20</v>
      </c>
      <c r="D81" s="293">
        <v>8</v>
      </c>
      <c r="E81" s="293">
        <v>123</v>
      </c>
      <c r="F81" s="294">
        <f t="shared" si="2"/>
        <v>984</v>
      </c>
      <c r="G81" s="235"/>
      <c r="H81" s="235"/>
    </row>
    <row r="82" spans="1:8" ht="15.75" thickBot="1">
      <c r="A82" s="293" t="s">
        <v>668</v>
      </c>
      <c r="B82" s="293" t="s">
        <v>1038</v>
      </c>
      <c r="C82" s="293" t="s">
        <v>20</v>
      </c>
      <c r="D82" s="293">
        <v>4</v>
      </c>
      <c r="E82" s="293">
        <v>206</v>
      </c>
      <c r="F82" s="294">
        <f t="shared" si="2"/>
        <v>824</v>
      </c>
      <c r="G82" s="235"/>
      <c r="H82" s="235"/>
    </row>
    <row r="83" spans="1:8" ht="15.75" thickBot="1">
      <c r="A83" s="293" t="s">
        <v>764</v>
      </c>
      <c r="B83" s="293" t="s">
        <v>1039</v>
      </c>
      <c r="C83" s="293" t="s">
        <v>20</v>
      </c>
      <c r="D83" s="293">
        <v>2</v>
      </c>
      <c r="E83" s="293">
        <v>365</v>
      </c>
      <c r="F83" s="294">
        <f t="shared" si="2"/>
        <v>730</v>
      </c>
      <c r="G83" s="235"/>
      <c r="H83" s="235"/>
    </row>
    <row r="84" spans="1:8" ht="19.5">
      <c r="A84" s="372" t="s">
        <v>741</v>
      </c>
      <c r="B84" s="372"/>
      <c r="C84" s="372"/>
      <c r="D84" s="372"/>
      <c r="E84" s="372"/>
      <c r="F84" s="295">
        <f>SUM(F72:F83)</f>
        <v>53172</v>
      </c>
      <c r="G84" s="235"/>
      <c r="H84" s="235"/>
    </row>
    <row r="85" spans="1:8" ht="20.25" thickBot="1">
      <c r="A85" s="370" t="s">
        <v>281</v>
      </c>
      <c r="B85" s="370"/>
      <c r="C85" s="371"/>
      <c r="D85" s="371"/>
      <c r="E85" s="371"/>
      <c r="F85" s="371"/>
      <c r="G85" s="235"/>
      <c r="H85" s="235"/>
    </row>
    <row r="86" spans="1:8" ht="15.75" thickBot="1">
      <c r="A86" s="293" t="s">
        <v>765</v>
      </c>
      <c r="B86" s="293" t="s">
        <v>571</v>
      </c>
      <c r="C86" s="293" t="s">
        <v>20</v>
      </c>
      <c r="D86" s="293">
        <v>3</v>
      </c>
      <c r="E86" s="294">
        <v>10240</v>
      </c>
      <c r="F86" s="294">
        <f>E86*D86</f>
        <v>30720</v>
      </c>
      <c r="G86" s="235"/>
      <c r="H86" s="235"/>
    </row>
    <row r="87" spans="1:8" ht="15.75" thickBot="1">
      <c r="A87" s="293" t="s">
        <v>568</v>
      </c>
      <c r="B87" s="293" t="s">
        <v>568</v>
      </c>
      <c r="C87" s="293" t="s">
        <v>20</v>
      </c>
      <c r="D87" s="293">
        <v>1</v>
      </c>
      <c r="E87" s="294">
        <v>31000</v>
      </c>
      <c r="F87" s="294">
        <f t="shared" ref="F87:F90" si="3">E87*D87</f>
        <v>31000</v>
      </c>
      <c r="G87" s="235"/>
      <c r="H87" s="235"/>
    </row>
    <row r="88" spans="1:8" ht="15.75" thickBot="1">
      <c r="A88" s="293" t="s">
        <v>945</v>
      </c>
      <c r="B88" s="293" t="s">
        <v>569</v>
      </c>
      <c r="C88" s="293" t="s">
        <v>20</v>
      </c>
      <c r="D88" s="293">
        <v>3</v>
      </c>
      <c r="E88" s="294">
        <v>12823</v>
      </c>
      <c r="F88" s="294">
        <f t="shared" si="3"/>
        <v>38469</v>
      </c>
      <c r="G88" s="235"/>
      <c r="H88" s="235"/>
    </row>
    <row r="89" spans="1:8" ht="15.75" thickBot="1">
      <c r="A89" s="293" t="s">
        <v>767</v>
      </c>
      <c r="B89" s="293" t="s">
        <v>767</v>
      </c>
      <c r="C89" s="293" t="s">
        <v>20</v>
      </c>
      <c r="D89" s="293">
        <v>3</v>
      </c>
      <c r="E89" s="293">
        <v>573</v>
      </c>
      <c r="F89" s="294">
        <f t="shared" si="3"/>
        <v>1719</v>
      </c>
      <c r="G89" s="235"/>
      <c r="H89" s="235"/>
    </row>
    <row r="90" spans="1:8" ht="15.75" thickBot="1">
      <c r="A90" s="293" t="s">
        <v>769</v>
      </c>
      <c r="B90" s="293" t="s">
        <v>769</v>
      </c>
      <c r="C90" s="293" t="s">
        <v>725</v>
      </c>
      <c r="D90" s="293">
        <v>3</v>
      </c>
      <c r="E90" s="293">
        <v>297</v>
      </c>
      <c r="F90" s="294">
        <f t="shared" si="3"/>
        <v>891</v>
      </c>
      <c r="G90" s="235"/>
      <c r="H90" s="235"/>
    </row>
    <row r="91" spans="1:8" ht="19.5">
      <c r="A91" s="372" t="s">
        <v>741</v>
      </c>
      <c r="B91" s="372"/>
      <c r="C91" s="372"/>
      <c r="D91" s="372"/>
      <c r="E91" s="372"/>
      <c r="F91" s="295">
        <f>SUM(F86:F90)</f>
        <v>102799</v>
      </c>
      <c r="G91" s="235"/>
      <c r="H91" s="235"/>
    </row>
    <row r="92" spans="1:8" ht="20.25" thickBot="1">
      <c r="A92" s="370" t="s">
        <v>289</v>
      </c>
      <c r="B92" s="370"/>
      <c r="C92" s="371"/>
      <c r="D92" s="371"/>
      <c r="E92" s="371"/>
      <c r="F92" s="371"/>
      <c r="G92" s="235"/>
      <c r="H92" s="235"/>
    </row>
    <row r="93" spans="1:8" ht="15.75" thickBot="1">
      <c r="A93" s="293" t="s">
        <v>946</v>
      </c>
      <c r="B93" s="293" t="s">
        <v>625</v>
      </c>
      <c r="C93" s="293" t="s">
        <v>20</v>
      </c>
      <c r="D93" s="293">
        <v>1</v>
      </c>
      <c r="E93" s="293">
        <v>928.01</v>
      </c>
      <c r="F93" s="293">
        <f>E93*D93</f>
        <v>928.01</v>
      </c>
      <c r="G93" s="235"/>
      <c r="H93" s="235"/>
    </row>
    <row r="94" spans="1:8" ht="15.75" thickBot="1">
      <c r="A94" s="293" t="s">
        <v>626</v>
      </c>
      <c r="B94" s="293" t="s">
        <v>549</v>
      </c>
      <c r="C94" s="293" t="s">
        <v>262</v>
      </c>
      <c r="D94" s="293">
        <v>30</v>
      </c>
      <c r="E94" s="293">
        <v>75.27</v>
      </c>
      <c r="F94" s="293">
        <f t="shared" ref="F94:F127" si="4">E94*D94</f>
        <v>2258.1</v>
      </c>
      <c r="G94" s="235"/>
      <c r="H94" s="235"/>
    </row>
    <row r="95" spans="1:8" ht="15.75" thickBot="1">
      <c r="A95" s="293" t="s">
        <v>947</v>
      </c>
      <c r="B95" s="293" t="s">
        <v>549</v>
      </c>
      <c r="C95" s="293" t="s">
        <v>262</v>
      </c>
      <c r="D95" s="293">
        <v>60</v>
      </c>
      <c r="E95" s="293">
        <v>61</v>
      </c>
      <c r="F95" s="293">
        <f t="shared" si="4"/>
        <v>3660</v>
      </c>
      <c r="G95" s="235"/>
      <c r="H95" s="235"/>
    </row>
    <row r="96" spans="1:8" ht="15.75" thickBot="1">
      <c r="A96" s="293" t="s">
        <v>948</v>
      </c>
      <c r="B96" s="293" t="s">
        <v>549</v>
      </c>
      <c r="C96" s="293" t="s">
        <v>262</v>
      </c>
      <c r="D96" s="293">
        <v>50</v>
      </c>
      <c r="E96" s="293">
        <v>55</v>
      </c>
      <c r="F96" s="293">
        <f t="shared" si="4"/>
        <v>2750</v>
      </c>
      <c r="G96" s="235"/>
      <c r="H96" s="235"/>
    </row>
    <row r="97" spans="1:8" ht="15.75" thickBot="1">
      <c r="A97" s="293" t="s">
        <v>949</v>
      </c>
      <c r="B97" s="293" t="s">
        <v>1040</v>
      </c>
      <c r="C97" s="293" t="s">
        <v>295</v>
      </c>
      <c r="D97" s="293">
        <v>50</v>
      </c>
      <c r="E97" s="293">
        <v>20</v>
      </c>
      <c r="F97" s="293">
        <f t="shared" si="4"/>
        <v>1000</v>
      </c>
      <c r="G97" s="235"/>
      <c r="H97" s="235"/>
    </row>
    <row r="98" spans="1:8" ht="15.75" thickBot="1">
      <c r="A98" s="293" t="s">
        <v>950</v>
      </c>
      <c r="B98" s="293" t="s">
        <v>1041</v>
      </c>
      <c r="C98" s="293" t="s">
        <v>20</v>
      </c>
      <c r="D98" s="293">
        <v>1</v>
      </c>
      <c r="E98" s="293">
        <v>124</v>
      </c>
      <c r="F98" s="293">
        <f t="shared" si="4"/>
        <v>124</v>
      </c>
      <c r="G98" s="235"/>
      <c r="H98" s="235"/>
    </row>
    <row r="99" spans="1:8" ht="15.75" thickBot="1">
      <c r="A99" s="293" t="s">
        <v>951</v>
      </c>
      <c r="B99" s="293" t="s">
        <v>1041</v>
      </c>
      <c r="C99" s="293" t="s">
        <v>20</v>
      </c>
      <c r="D99" s="293">
        <v>3</v>
      </c>
      <c r="E99" s="293">
        <v>142.5</v>
      </c>
      <c r="F99" s="293">
        <f t="shared" si="4"/>
        <v>427.5</v>
      </c>
      <c r="G99" s="235"/>
      <c r="H99" s="235"/>
    </row>
    <row r="100" spans="1:8" ht="15.75" thickBot="1">
      <c r="A100" s="293" t="s">
        <v>952</v>
      </c>
      <c r="B100" s="293" t="s">
        <v>1041</v>
      </c>
      <c r="C100" s="293" t="s">
        <v>20</v>
      </c>
      <c r="D100" s="293">
        <v>1</v>
      </c>
      <c r="E100" s="293">
        <v>137.65</v>
      </c>
      <c r="F100" s="293">
        <f t="shared" si="4"/>
        <v>137.65</v>
      </c>
      <c r="G100" s="235"/>
      <c r="H100" s="235"/>
    </row>
    <row r="101" spans="1:8" ht="15.75" thickBot="1">
      <c r="A101" s="293" t="s">
        <v>775</v>
      </c>
      <c r="B101" s="293" t="s">
        <v>552</v>
      </c>
      <c r="C101" s="293" t="s">
        <v>20</v>
      </c>
      <c r="D101" s="293">
        <v>1</v>
      </c>
      <c r="E101" s="293">
        <v>96</v>
      </c>
      <c r="F101" s="293">
        <f t="shared" si="4"/>
        <v>96</v>
      </c>
      <c r="G101" s="235"/>
      <c r="H101" s="235"/>
    </row>
    <row r="102" spans="1:8" ht="15.75" thickBot="1">
      <c r="A102" s="293" t="s">
        <v>776</v>
      </c>
      <c r="B102" s="293" t="s">
        <v>632</v>
      </c>
      <c r="C102" s="293" t="s">
        <v>20</v>
      </c>
      <c r="D102" s="293">
        <v>3</v>
      </c>
      <c r="E102" s="293">
        <v>107</v>
      </c>
      <c r="F102" s="293">
        <f t="shared" si="4"/>
        <v>321</v>
      </c>
      <c r="G102" s="235"/>
      <c r="H102" s="235"/>
    </row>
    <row r="103" spans="1:8" ht="15.75" thickBot="1">
      <c r="A103" s="293" t="s">
        <v>953</v>
      </c>
      <c r="B103" s="293" t="s">
        <v>553</v>
      </c>
      <c r="C103" s="293" t="s">
        <v>20</v>
      </c>
      <c r="D103" s="293">
        <v>8</v>
      </c>
      <c r="E103" s="293">
        <v>9.23</v>
      </c>
      <c r="F103" s="293">
        <f t="shared" si="4"/>
        <v>73.84</v>
      </c>
      <c r="G103" s="235"/>
      <c r="H103" s="235"/>
    </row>
    <row r="104" spans="1:8" ht="15.75" thickBot="1">
      <c r="A104" s="293" t="s">
        <v>954</v>
      </c>
      <c r="B104" s="293" t="s">
        <v>553</v>
      </c>
      <c r="C104" s="293" t="s">
        <v>20</v>
      </c>
      <c r="D104" s="293">
        <v>7</v>
      </c>
      <c r="E104" s="293">
        <v>12.36</v>
      </c>
      <c r="F104" s="293">
        <f t="shared" si="4"/>
        <v>86.52</v>
      </c>
      <c r="G104" s="235"/>
      <c r="H104" s="235"/>
    </row>
    <row r="105" spans="1:8" ht="15.75" thickBot="1">
      <c r="A105" s="293" t="s">
        <v>955</v>
      </c>
      <c r="B105" s="293" t="s">
        <v>553</v>
      </c>
      <c r="C105" s="293" t="s">
        <v>20</v>
      </c>
      <c r="D105" s="293">
        <v>4</v>
      </c>
      <c r="E105" s="293">
        <v>15.8</v>
      </c>
      <c r="F105" s="293">
        <f t="shared" si="4"/>
        <v>63.2</v>
      </c>
      <c r="G105" s="235"/>
      <c r="H105" s="235"/>
    </row>
    <row r="106" spans="1:8" ht="15.75" thickBot="1">
      <c r="A106" s="293" t="s">
        <v>956</v>
      </c>
      <c r="B106" s="293" t="s">
        <v>632</v>
      </c>
      <c r="C106" s="293" t="s">
        <v>20</v>
      </c>
      <c r="D106" s="293">
        <v>14</v>
      </c>
      <c r="E106" s="293">
        <v>99</v>
      </c>
      <c r="F106" s="293">
        <f t="shared" si="4"/>
        <v>1386</v>
      </c>
      <c r="G106" s="235"/>
      <c r="H106" s="235"/>
    </row>
    <row r="107" spans="1:8" ht="15.75" thickBot="1">
      <c r="A107" s="293" t="s">
        <v>778</v>
      </c>
      <c r="B107" s="293" t="s">
        <v>633</v>
      </c>
      <c r="C107" s="293" t="s">
        <v>20</v>
      </c>
      <c r="D107" s="293">
        <v>2</v>
      </c>
      <c r="E107" s="293">
        <v>125</v>
      </c>
      <c r="F107" s="293">
        <f t="shared" si="4"/>
        <v>250</v>
      </c>
      <c r="G107" s="235"/>
      <c r="H107" s="235"/>
    </row>
    <row r="108" spans="1:8" ht="15.75" thickBot="1">
      <c r="A108" s="293" t="s">
        <v>779</v>
      </c>
      <c r="B108" s="293" t="s">
        <v>554</v>
      </c>
      <c r="C108" s="293" t="s">
        <v>20</v>
      </c>
      <c r="D108" s="293">
        <v>2</v>
      </c>
      <c r="E108" s="293">
        <v>69.38</v>
      </c>
      <c r="F108" s="293">
        <f t="shared" si="4"/>
        <v>138.76</v>
      </c>
      <c r="G108" s="235"/>
      <c r="H108" s="235"/>
    </row>
    <row r="109" spans="1:8" ht="15.75" thickBot="1">
      <c r="A109" s="293" t="s">
        <v>957</v>
      </c>
      <c r="B109" s="293" t="s">
        <v>551</v>
      </c>
      <c r="C109" s="293" t="s">
        <v>20</v>
      </c>
      <c r="D109" s="293">
        <v>3</v>
      </c>
      <c r="E109" s="293">
        <v>199</v>
      </c>
      <c r="F109" s="293">
        <f t="shared" si="4"/>
        <v>597</v>
      </c>
      <c r="G109" s="235"/>
      <c r="H109" s="235"/>
    </row>
    <row r="110" spans="1:8" ht="15.75" thickBot="1">
      <c r="A110" s="293" t="s">
        <v>781</v>
      </c>
      <c r="B110" s="293" t="s">
        <v>551</v>
      </c>
      <c r="C110" s="293" t="s">
        <v>20</v>
      </c>
      <c r="D110" s="293">
        <v>2</v>
      </c>
      <c r="E110" s="293">
        <v>681</v>
      </c>
      <c r="F110" s="293">
        <f t="shared" si="4"/>
        <v>1362</v>
      </c>
      <c r="G110" s="235"/>
      <c r="H110" s="235"/>
    </row>
    <row r="111" spans="1:8" ht="15.75" thickBot="1">
      <c r="A111" s="293" t="s">
        <v>958</v>
      </c>
      <c r="B111" s="293" t="s">
        <v>551</v>
      </c>
      <c r="C111" s="293" t="s">
        <v>20</v>
      </c>
      <c r="D111" s="293">
        <v>2</v>
      </c>
      <c r="E111" s="293">
        <v>623</v>
      </c>
      <c r="F111" s="293">
        <f t="shared" si="4"/>
        <v>1246</v>
      </c>
      <c r="G111" s="235"/>
      <c r="H111" s="235"/>
    </row>
    <row r="112" spans="1:8" ht="15.75" thickBot="1">
      <c r="A112" s="293" t="s">
        <v>959</v>
      </c>
      <c r="B112" s="293" t="s">
        <v>551</v>
      </c>
      <c r="C112" s="293" t="s">
        <v>20</v>
      </c>
      <c r="D112" s="293">
        <v>1</v>
      </c>
      <c r="E112" s="293">
        <v>326</v>
      </c>
      <c r="F112" s="293">
        <f t="shared" si="4"/>
        <v>326</v>
      </c>
      <c r="G112" s="235"/>
      <c r="H112" s="235"/>
    </row>
    <row r="113" spans="1:8" ht="15.75" thickBot="1">
      <c r="A113" s="293" t="s">
        <v>783</v>
      </c>
      <c r="B113" s="293" t="s">
        <v>551</v>
      </c>
      <c r="C113" s="293" t="s">
        <v>20</v>
      </c>
      <c r="D113" s="293">
        <v>1</v>
      </c>
      <c r="E113" s="293">
        <v>675</v>
      </c>
      <c r="F113" s="293">
        <f t="shared" si="4"/>
        <v>675</v>
      </c>
      <c r="G113" s="235"/>
      <c r="H113" s="235"/>
    </row>
    <row r="114" spans="1:8" ht="15.75" thickBot="1">
      <c r="A114" s="293" t="s">
        <v>784</v>
      </c>
      <c r="B114" s="293" t="s">
        <v>551</v>
      </c>
      <c r="C114" s="293" t="s">
        <v>20</v>
      </c>
      <c r="D114" s="293">
        <v>1</v>
      </c>
      <c r="E114" s="293">
        <v>547</v>
      </c>
      <c r="F114" s="293">
        <f t="shared" si="4"/>
        <v>547</v>
      </c>
      <c r="G114" s="235"/>
      <c r="H114" s="235"/>
    </row>
    <row r="115" spans="1:8" ht="15.75" thickBot="1">
      <c r="A115" s="293" t="s">
        <v>960</v>
      </c>
      <c r="B115" s="293" t="s">
        <v>577</v>
      </c>
      <c r="C115" s="293" t="s">
        <v>20</v>
      </c>
      <c r="D115" s="293">
        <v>3</v>
      </c>
      <c r="E115" s="293">
        <v>211</v>
      </c>
      <c r="F115" s="293">
        <f t="shared" si="4"/>
        <v>633</v>
      </c>
      <c r="G115" s="235"/>
      <c r="H115" s="235"/>
    </row>
    <row r="116" spans="1:8" ht="15.75" thickBot="1">
      <c r="A116" s="293" t="s">
        <v>961</v>
      </c>
      <c r="B116" s="293" t="s">
        <v>1042</v>
      </c>
      <c r="C116" s="293" t="s">
        <v>20</v>
      </c>
      <c r="D116" s="293">
        <v>3</v>
      </c>
      <c r="E116" s="293">
        <v>65</v>
      </c>
      <c r="F116" s="293">
        <f t="shared" si="4"/>
        <v>195</v>
      </c>
      <c r="G116" s="235"/>
      <c r="H116" s="235"/>
    </row>
    <row r="117" spans="1:8" ht="15.75" thickBot="1">
      <c r="A117" s="293" t="s">
        <v>787</v>
      </c>
      <c r="B117" s="293" t="s">
        <v>577</v>
      </c>
      <c r="C117" s="293" t="s">
        <v>20</v>
      </c>
      <c r="D117" s="293">
        <v>2</v>
      </c>
      <c r="E117" s="293">
        <v>136</v>
      </c>
      <c r="F117" s="293">
        <f t="shared" si="4"/>
        <v>272</v>
      </c>
      <c r="G117" s="235"/>
      <c r="H117" s="235"/>
    </row>
    <row r="118" spans="1:8" ht="15.75" thickBot="1">
      <c r="A118" s="293" t="s">
        <v>962</v>
      </c>
      <c r="B118" s="293" t="s">
        <v>550</v>
      </c>
      <c r="C118" s="293" t="s">
        <v>20</v>
      </c>
      <c r="D118" s="293">
        <v>3</v>
      </c>
      <c r="E118" s="293">
        <v>204</v>
      </c>
      <c r="F118" s="293">
        <f t="shared" si="4"/>
        <v>612</v>
      </c>
      <c r="G118" s="235"/>
      <c r="H118" s="235"/>
    </row>
    <row r="119" spans="1:8" ht="15.75" thickBot="1">
      <c r="A119" s="293" t="s">
        <v>963</v>
      </c>
      <c r="B119" s="293" t="s">
        <v>550</v>
      </c>
      <c r="C119" s="293" t="s">
        <v>20</v>
      </c>
      <c r="D119" s="293">
        <v>3</v>
      </c>
      <c r="E119" s="293">
        <v>187</v>
      </c>
      <c r="F119" s="293">
        <f t="shared" si="4"/>
        <v>561</v>
      </c>
      <c r="G119" s="235"/>
      <c r="H119" s="235"/>
    </row>
    <row r="120" spans="1:8" ht="15.75" thickBot="1">
      <c r="A120" s="293" t="s">
        <v>964</v>
      </c>
      <c r="B120" s="293" t="s">
        <v>550</v>
      </c>
      <c r="C120" s="293" t="s">
        <v>20</v>
      </c>
      <c r="D120" s="293">
        <v>4</v>
      </c>
      <c r="E120" s="293">
        <v>203</v>
      </c>
      <c r="F120" s="293">
        <f t="shared" si="4"/>
        <v>812</v>
      </c>
      <c r="G120" s="235"/>
      <c r="H120" s="235"/>
    </row>
    <row r="121" spans="1:8" ht="15.75" thickBot="1">
      <c r="A121" s="293" t="s">
        <v>791</v>
      </c>
      <c r="B121" s="293" t="s">
        <v>634</v>
      </c>
      <c r="C121" s="293" t="s">
        <v>20</v>
      </c>
      <c r="D121" s="293">
        <v>1</v>
      </c>
      <c r="E121" s="294">
        <v>2560</v>
      </c>
      <c r="F121" s="293">
        <f t="shared" si="4"/>
        <v>2560</v>
      </c>
      <c r="G121" s="235"/>
      <c r="H121" s="235"/>
    </row>
    <row r="122" spans="1:8" ht="15.75" thickBot="1">
      <c r="A122" s="293" t="s">
        <v>792</v>
      </c>
      <c r="B122" s="293" t="s">
        <v>563</v>
      </c>
      <c r="C122" s="293" t="s">
        <v>20</v>
      </c>
      <c r="D122" s="293">
        <v>2</v>
      </c>
      <c r="E122" s="293">
        <v>560</v>
      </c>
      <c r="F122" s="293">
        <f t="shared" si="4"/>
        <v>1120</v>
      </c>
      <c r="G122" s="235"/>
      <c r="H122" s="235"/>
    </row>
    <row r="123" spans="1:8" ht="15.75" thickBot="1">
      <c r="A123" s="293" t="s">
        <v>635</v>
      </c>
      <c r="B123" s="293" t="s">
        <v>636</v>
      </c>
      <c r="C123" s="293" t="s">
        <v>20</v>
      </c>
      <c r="D123" s="293">
        <v>1</v>
      </c>
      <c r="E123" s="293">
        <v>257.81</v>
      </c>
      <c r="F123" s="293">
        <f t="shared" si="4"/>
        <v>257.81</v>
      </c>
      <c r="G123" s="235"/>
      <c r="H123" s="235"/>
    </row>
    <row r="124" spans="1:8" ht="15.75" thickBot="1">
      <c r="A124" s="293" t="s">
        <v>965</v>
      </c>
      <c r="B124" s="293" t="s">
        <v>637</v>
      </c>
      <c r="C124" s="293" t="s">
        <v>20</v>
      </c>
      <c r="D124" s="293">
        <v>3</v>
      </c>
      <c r="E124" s="293">
        <v>220.32</v>
      </c>
      <c r="F124" s="293">
        <f t="shared" si="4"/>
        <v>660.96</v>
      </c>
      <c r="G124" s="235"/>
      <c r="H124" s="235"/>
    </row>
    <row r="125" spans="1:8" ht="15.75" thickBot="1">
      <c r="A125" s="293" t="s">
        <v>579</v>
      </c>
      <c r="B125" s="293" t="s">
        <v>579</v>
      </c>
      <c r="C125" s="293" t="s">
        <v>20</v>
      </c>
      <c r="D125" s="293">
        <v>2</v>
      </c>
      <c r="E125" s="293">
        <v>25</v>
      </c>
      <c r="F125" s="293">
        <f t="shared" si="4"/>
        <v>50</v>
      </c>
      <c r="G125" s="235"/>
      <c r="H125" s="235"/>
    </row>
    <row r="126" spans="1:8" ht="15.75" thickBot="1">
      <c r="A126" s="293" t="s">
        <v>794</v>
      </c>
      <c r="B126" s="293" t="s">
        <v>794</v>
      </c>
      <c r="C126" s="293" t="s">
        <v>20</v>
      </c>
      <c r="D126" s="293">
        <v>1</v>
      </c>
      <c r="E126" s="294">
        <v>2760</v>
      </c>
      <c r="F126" s="293">
        <f t="shared" si="4"/>
        <v>2760</v>
      </c>
      <c r="G126" s="235"/>
      <c r="H126" s="235"/>
    </row>
    <row r="127" spans="1:8" ht="15.75" thickBot="1">
      <c r="A127" s="293" t="s">
        <v>795</v>
      </c>
      <c r="B127" s="293" t="s">
        <v>638</v>
      </c>
      <c r="C127" s="293" t="s">
        <v>20</v>
      </c>
      <c r="D127" s="293">
        <v>4</v>
      </c>
      <c r="E127" s="294">
        <v>2500</v>
      </c>
      <c r="F127" s="293">
        <f t="shared" si="4"/>
        <v>10000</v>
      </c>
      <c r="G127" s="235"/>
      <c r="H127" s="235"/>
    </row>
    <row r="128" spans="1:8" ht="19.5">
      <c r="A128" s="372" t="s">
        <v>741</v>
      </c>
      <c r="B128" s="372"/>
      <c r="C128" s="372"/>
      <c r="D128" s="372"/>
      <c r="E128" s="372"/>
      <c r="F128" s="295">
        <f>SUM(F93:F127)</f>
        <v>38947.350000000006</v>
      </c>
      <c r="G128" s="235"/>
      <c r="H128" s="235"/>
    </row>
    <row r="129" spans="1:8" ht="20.25" thickBot="1">
      <c r="A129" s="370" t="s">
        <v>330</v>
      </c>
      <c r="B129" s="370"/>
      <c r="C129" s="371"/>
      <c r="D129" s="371"/>
      <c r="E129" s="371"/>
      <c r="F129" s="371"/>
      <c r="G129" s="235"/>
      <c r="H129" s="235"/>
    </row>
    <row r="130" spans="1:8" ht="15.75" thickBot="1">
      <c r="A130" s="293" t="s">
        <v>796</v>
      </c>
      <c r="B130" s="293" t="s">
        <v>573</v>
      </c>
      <c r="C130" s="293" t="s">
        <v>20</v>
      </c>
      <c r="D130" s="293">
        <v>1</v>
      </c>
      <c r="E130" s="293">
        <v>115</v>
      </c>
      <c r="F130" s="293">
        <f>E130*D130</f>
        <v>115</v>
      </c>
      <c r="G130" s="235"/>
      <c r="H130" s="235"/>
    </row>
    <row r="131" spans="1:8" ht="15.75" thickBot="1">
      <c r="A131" s="293" t="s">
        <v>797</v>
      </c>
      <c r="B131" s="293" t="s">
        <v>573</v>
      </c>
      <c r="C131" s="293" t="s">
        <v>20</v>
      </c>
      <c r="D131" s="293">
        <v>1</v>
      </c>
      <c r="E131" s="293">
        <v>201</v>
      </c>
      <c r="F131" s="293">
        <f t="shared" ref="F131:F165" si="5">E131*D131</f>
        <v>201</v>
      </c>
      <c r="G131" s="235"/>
      <c r="H131" s="235"/>
    </row>
    <row r="132" spans="1:8" ht="15.75" thickBot="1">
      <c r="A132" s="293" t="s">
        <v>798</v>
      </c>
      <c r="B132" s="293" t="s">
        <v>573</v>
      </c>
      <c r="C132" s="293" t="s">
        <v>20</v>
      </c>
      <c r="D132" s="293">
        <v>1</v>
      </c>
      <c r="E132" s="293">
        <v>305</v>
      </c>
      <c r="F132" s="293">
        <f t="shared" si="5"/>
        <v>305</v>
      </c>
      <c r="G132" s="235"/>
      <c r="H132" s="235"/>
    </row>
    <row r="133" spans="1:8" ht="15.75" thickBot="1">
      <c r="A133" s="293" t="s">
        <v>799</v>
      </c>
      <c r="B133" s="293" t="s">
        <v>573</v>
      </c>
      <c r="C133" s="293" t="s">
        <v>20</v>
      </c>
      <c r="D133" s="293">
        <v>1</v>
      </c>
      <c r="E133" s="293">
        <v>622</v>
      </c>
      <c r="F133" s="293">
        <f t="shared" si="5"/>
        <v>622</v>
      </c>
      <c r="G133" s="235"/>
      <c r="H133" s="235"/>
    </row>
    <row r="134" spans="1:8" ht="15.75" thickBot="1">
      <c r="A134" s="293" t="s">
        <v>800</v>
      </c>
      <c r="B134" s="293" t="s">
        <v>1043</v>
      </c>
      <c r="C134" s="293" t="s">
        <v>20</v>
      </c>
      <c r="D134" s="293">
        <v>3</v>
      </c>
      <c r="E134" s="293">
        <v>260</v>
      </c>
      <c r="F134" s="293">
        <f t="shared" si="5"/>
        <v>780</v>
      </c>
      <c r="G134" s="235"/>
      <c r="H134" s="235"/>
    </row>
    <row r="135" spans="1:8" ht="15.75" thickBot="1">
      <c r="A135" s="293" t="s">
        <v>801</v>
      </c>
      <c r="B135" s="293" t="s">
        <v>1043</v>
      </c>
      <c r="C135" s="293" t="s">
        <v>20</v>
      </c>
      <c r="D135" s="293">
        <v>2</v>
      </c>
      <c r="E135" s="293">
        <v>98</v>
      </c>
      <c r="F135" s="293">
        <f t="shared" si="5"/>
        <v>196</v>
      </c>
      <c r="G135" s="235"/>
      <c r="H135" s="235"/>
    </row>
    <row r="136" spans="1:8" ht="15.75" thickBot="1">
      <c r="A136" s="293" t="s">
        <v>802</v>
      </c>
      <c r="B136" s="293" t="s">
        <v>1044</v>
      </c>
      <c r="C136" s="293" t="s">
        <v>20</v>
      </c>
      <c r="D136" s="293">
        <v>1</v>
      </c>
      <c r="E136" s="293">
        <v>87</v>
      </c>
      <c r="F136" s="293">
        <f t="shared" si="5"/>
        <v>87</v>
      </c>
      <c r="G136" s="235"/>
      <c r="H136" s="235"/>
    </row>
    <row r="137" spans="1:8" ht="15.75" thickBot="1">
      <c r="A137" s="293" t="s">
        <v>803</v>
      </c>
      <c r="B137" s="293" t="s">
        <v>555</v>
      </c>
      <c r="C137" s="293" t="s">
        <v>20</v>
      </c>
      <c r="D137" s="293">
        <v>1</v>
      </c>
      <c r="E137" s="293">
        <v>129</v>
      </c>
      <c r="F137" s="293">
        <f t="shared" si="5"/>
        <v>129</v>
      </c>
      <c r="G137" s="235"/>
      <c r="H137" s="235"/>
    </row>
    <row r="138" spans="1:8" ht="15.75" thickBot="1">
      <c r="A138" s="293" t="s">
        <v>804</v>
      </c>
      <c r="B138" s="293" t="s">
        <v>557</v>
      </c>
      <c r="C138" s="293" t="s">
        <v>20</v>
      </c>
      <c r="D138" s="293">
        <v>1</v>
      </c>
      <c r="E138" s="293">
        <v>268</v>
      </c>
      <c r="F138" s="293">
        <f t="shared" si="5"/>
        <v>268</v>
      </c>
      <c r="G138" s="235"/>
      <c r="H138" s="235"/>
    </row>
    <row r="139" spans="1:8" ht="15.75" thickBot="1">
      <c r="A139" s="293" t="s">
        <v>805</v>
      </c>
      <c r="B139" s="293" t="s">
        <v>557</v>
      </c>
      <c r="C139" s="293" t="s">
        <v>20</v>
      </c>
      <c r="D139" s="293">
        <v>1</v>
      </c>
      <c r="E139" s="293">
        <v>87</v>
      </c>
      <c r="F139" s="293">
        <f t="shared" si="5"/>
        <v>87</v>
      </c>
      <c r="G139" s="235"/>
      <c r="H139" s="235"/>
    </row>
    <row r="140" spans="1:8" ht="15.75" thickBot="1">
      <c r="A140" s="293" t="s">
        <v>806</v>
      </c>
      <c r="B140" s="293" t="s">
        <v>807</v>
      </c>
      <c r="C140" s="293" t="s">
        <v>20</v>
      </c>
      <c r="D140" s="293">
        <v>1</v>
      </c>
      <c r="E140" s="293">
        <v>125</v>
      </c>
      <c r="F140" s="293">
        <f t="shared" si="5"/>
        <v>125</v>
      </c>
      <c r="G140" s="235"/>
      <c r="H140" s="235"/>
    </row>
    <row r="141" spans="1:8" ht="15.75" thickBot="1">
      <c r="A141" s="293" t="s">
        <v>808</v>
      </c>
      <c r="B141" s="293" t="s">
        <v>809</v>
      </c>
      <c r="C141" s="293" t="s">
        <v>20</v>
      </c>
      <c r="D141" s="293">
        <v>1</v>
      </c>
      <c r="E141" s="293">
        <v>176.4</v>
      </c>
      <c r="F141" s="293">
        <f t="shared" si="5"/>
        <v>176.4</v>
      </c>
      <c r="G141" s="235"/>
      <c r="H141" s="235"/>
    </row>
    <row r="142" spans="1:8" ht="15.75" thickBot="1">
      <c r="A142" s="293" t="s">
        <v>810</v>
      </c>
      <c r="B142" s="293" t="s">
        <v>576</v>
      </c>
      <c r="C142" s="293" t="s">
        <v>20</v>
      </c>
      <c r="D142" s="293">
        <v>1</v>
      </c>
      <c r="E142" s="293">
        <v>267</v>
      </c>
      <c r="F142" s="293">
        <f t="shared" si="5"/>
        <v>267</v>
      </c>
      <c r="G142" s="235"/>
      <c r="H142" s="235"/>
    </row>
    <row r="143" spans="1:8" ht="15.75" thickBot="1">
      <c r="A143" s="293" t="s">
        <v>811</v>
      </c>
      <c r="B143" s="293" t="s">
        <v>576</v>
      </c>
      <c r="C143" s="293" t="s">
        <v>20</v>
      </c>
      <c r="D143" s="293">
        <v>1</v>
      </c>
      <c r="E143" s="293">
        <v>723</v>
      </c>
      <c r="F143" s="293">
        <f t="shared" si="5"/>
        <v>723</v>
      </c>
      <c r="G143" s="235"/>
      <c r="H143" s="235"/>
    </row>
    <row r="144" spans="1:8" ht="15.75" thickBot="1">
      <c r="A144" s="293" t="s">
        <v>812</v>
      </c>
      <c r="B144" s="293" t="s">
        <v>558</v>
      </c>
      <c r="C144" s="293" t="s">
        <v>20</v>
      </c>
      <c r="D144" s="293">
        <v>3</v>
      </c>
      <c r="E144" s="293">
        <v>117</v>
      </c>
      <c r="F144" s="293">
        <f t="shared" si="5"/>
        <v>351</v>
      </c>
      <c r="G144" s="235"/>
      <c r="H144" s="235"/>
    </row>
    <row r="145" spans="1:8" ht="15.75" thickBot="1">
      <c r="A145" s="293" t="s">
        <v>813</v>
      </c>
      <c r="B145" s="293" t="s">
        <v>558</v>
      </c>
      <c r="C145" s="293" t="s">
        <v>20</v>
      </c>
      <c r="D145" s="293">
        <v>5</v>
      </c>
      <c r="E145" s="293">
        <v>77</v>
      </c>
      <c r="F145" s="293">
        <f t="shared" si="5"/>
        <v>385</v>
      </c>
      <c r="G145" s="235"/>
      <c r="H145" s="235"/>
    </row>
    <row r="146" spans="1:8" ht="15.75" thickBot="1">
      <c r="A146" s="293" t="s">
        <v>814</v>
      </c>
      <c r="B146" s="293" t="s">
        <v>1045</v>
      </c>
      <c r="C146" s="293" t="s">
        <v>295</v>
      </c>
      <c r="D146" s="293">
        <v>14</v>
      </c>
      <c r="E146" s="293">
        <v>87</v>
      </c>
      <c r="F146" s="293">
        <f t="shared" si="5"/>
        <v>1218</v>
      </c>
      <c r="G146" s="235"/>
      <c r="H146" s="235"/>
    </row>
    <row r="147" spans="1:8" ht="15.75" thickBot="1">
      <c r="A147" s="293" t="s">
        <v>815</v>
      </c>
      <c r="B147" s="293" t="s">
        <v>1046</v>
      </c>
      <c r="C147" s="293" t="s">
        <v>20</v>
      </c>
      <c r="D147" s="293">
        <v>7</v>
      </c>
      <c r="E147" s="293">
        <v>68</v>
      </c>
      <c r="F147" s="293">
        <f t="shared" si="5"/>
        <v>476</v>
      </c>
      <c r="G147" s="235"/>
      <c r="H147" s="235"/>
    </row>
    <row r="148" spans="1:8" ht="15.75" thickBot="1">
      <c r="A148" s="293" t="s">
        <v>816</v>
      </c>
      <c r="B148" s="293" t="s">
        <v>1047</v>
      </c>
      <c r="C148" s="293" t="s">
        <v>20</v>
      </c>
      <c r="D148" s="293">
        <v>2</v>
      </c>
      <c r="E148" s="293">
        <v>77</v>
      </c>
      <c r="F148" s="293">
        <f t="shared" si="5"/>
        <v>154</v>
      </c>
      <c r="G148" s="235"/>
      <c r="H148" s="235"/>
    </row>
    <row r="149" spans="1:8" ht="15.75" thickBot="1">
      <c r="A149" s="293" t="s">
        <v>817</v>
      </c>
      <c r="B149" s="293" t="s">
        <v>1048</v>
      </c>
      <c r="C149" s="293" t="s">
        <v>20</v>
      </c>
      <c r="D149" s="293">
        <v>1</v>
      </c>
      <c r="E149" s="293">
        <v>73.400000000000006</v>
      </c>
      <c r="F149" s="293">
        <f t="shared" si="5"/>
        <v>73.400000000000006</v>
      </c>
      <c r="G149" s="235"/>
      <c r="H149" s="235"/>
    </row>
    <row r="150" spans="1:8" ht="15.75" thickBot="1">
      <c r="A150" s="293" t="s">
        <v>818</v>
      </c>
      <c r="B150" s="293" t="s">
        <v>1048</v>
      </c>
      <c r="C150" s="293" t="s">
        <v>20</v>
      </c>
      <c r="D150" s="293">
        <v>1</v>
      </c>
      <c r="E150" s="293">
        <v>73.400000000000006</v>
      </c>
      <c r="F150" s="293">
        <f t="shared" si="5"/>
        <v>73.400000000000006</v>
      </c>
      <c r="G150" s="235"/>
      <c r="H150" s="235"/>
    </row>
    <row r="151" spans="1:8" ht="15.75" thickBot="1">
      <c r="A151" s="293" t="s">
        <v>819</v>
      </c>
      <c r="B151" s="293" t="s">
        <v>1049</v>
      </c>
      <c r="C151" s="293" t="s">
        <v>20</v>
      </c>
      <c r="D151" s="293">
        <v>7</v>
      </c>
      <c r="E151" s="293">
        <v>67</v>
      </c>
      <c r="F151" s="293">
        <f t="shared" si="5"/>
        <v>469</v>
      </c>
      <c r="G151" s="235"/>
      <c r="H151" s="235"/>
    </row>
    <row r="152" spans="1:8" ht="15.75" thickBot="1">
      <c r="A152" s="293" t="s">
        <v>820</v>
      </c>
      <c r="B152" s="293" t="s">
        <v>559</v>
      </c>
      <c r="C152" s="293" t="s">
        <v>20</v>
      </c>
      <c r="D152" s="293">
        <v>6</v>
      </c>
      <c r="E152" s="293">
        <v>324</v>
      </c>
      <c r="F152" s="293">
        <f t="shared" si="5"/>
        <v>1944</v>
      </c>
      <c r="G152" s="235"/>
      <c r="H152" s="235"/>
    </row>
    <row r="153" spans="1:8" ht="15.75" thickBot="1">
      <c r="A153" s="293" t="s">
        <v>821</v>
      </c>
      <c r="B153" s="293" t="s">
        <v>1050</v>
      </c>
      <c r="C153" s="293" t="s">
        <v>20</v>
      </c>
      <c r="D153" s="293">
        <v>3</v>
      </c>
      <c r="E153" s="293">
        <v>116.4</v>
      </c>
      <c r="F153" s="293">
        <f t="shared" si="5"/>
        <v>349.20000000000005</v>
      </c>
      <c r="G153" s="235"/>
      <c r="H153" s="235"/>
    </row>
    <row r="154" spans="1:8" ht="15.75" thickBot="1">
      <c r="A154" s="293" t="s">
        <v>658</v>
      </c>
      <c r="B154" s="293" t="s">
        <v>1051</v>
      </c>
      <c r="C154" s="293" t="s">
        <v>20</v>
      </c>
      <c r="D154" s="293">
        <v>1</v>
      </c>
      <c r="E154" s="293">
        <v>111</v>
      </c>
      <c r="F154" s="293">
        <f t="shared" si="5"/>
        <v>111</v>
      </c>
      <c r="G154" s="235"/>
      <c r="H154" s="235"/>
    </row>
    <row r="155" spans="1:8" ht="15.75" thickBot="1">
      <c r="A155" s="293" t="s">
        <v>659</v>
      </c>
      <c r="B155" s="293" t="s">
        <v>651</v>
      </c>
      <c r="C155" s="293" t="s">
        <v>20</v>
      </c>
      <c r="D155" s="293">
        <v>1</v>
      </c>
      <c r="E155" s="293">
        <v>196.6</v>
      </c>
      <c r="F155" s="293">
        <f t="shared" si="5"/>
        <v>196.6</v>
      </c>
      <c r="G155" s="235"/>
      <c r="H155" s="235"/>
    </row>
    <row r="156" spans="1:8" ht="15.75" thickBot="1">
      <c r="A156" s="293" t="s">
        <v>966</v>
      </c>
      <c r="B156" s="293" t="s">
        <v>1052</v>
      </c>
      <c r="C156" s="293" t="s">
        <v>20</v>
      </c>
      <c r="D156" s="293">
        <v>3</v>
      </c>
      <c r="E156" s="293">
        <v>129.80000000000001</v>
      </c>
      <c r="F156" s="293">
        <f t="shared" si="5"/>
        <v>389.40000000000003</v>
      </c>
      <c r="G156" s="235"/>
      <c r="H156" s="235"/>
    </row>
    <row r="157" spans="1:8" ht="15.75" thickBot="1">
      <c r="A157" s="293" t="s">
        <v>823</v>
      </c>
      <c r="B157" s="293" t="s">
        <v>1053</v>
      </c>
      <c r="C157" s="293" t="s">
        <v>295</v>
      </c>
      <c r="D157" s="293">
        <v>50</v>
      </c>
      <c r="E157" s="293">
        <v>29</v>
      </c>
      <c r="F157" s="293">
        <f t="shared" si="5"/>
        <v>1450</v>
      </c>
      <c r="G157" s="235"/>
      <c r="H157" s="235"/>
    </row>
    <row r="158" spans="1:8" ht="15.75" thickBot="1">
      <c r="A158" s="293" t="s">
        <v>660</v>
      </c>
      <c r="B158" s="293" t="s">
        <v>657</v>
      </c>
      <c r="C158" s="293" t="s">
        <v>20</v>
      </c>
      <c r="D158" s="293">
        <v>14</v>
      </c>
      <c r="E158" s="293">
        <v>66</v>
      </c>
      <c r="F158" s="293">
        <f t="shared" si="5"/>
        <v>924</v>
      </c>
      <c r="G158" s="235"/>
      <c r="H158" s="235"/>
    </row>
    <row r="159" spans="1:8" ht="15.75" thickBot="1">
      <c r="A159" s="293" t="s">
        <v>967</v>
      </c>
      <c r="B159" s="293" t="s">
        <v>661</v>
      </c>
      <c r="C159" s="293" t="s">
        <v>20</v>
      </c>
      <c r="D159" s="293">
        <v>1</v>
      </c>
      <c r="E159" s="293">
        <v>208</v>
      </c>
      <c r="F159" s="293">
        <f t="shared" si="5"/>
        <v>208</v>
      </c>
      <c r="G159" s="235"/>
      <c r="H159" s="235"/>
    </row>
    <row r="160" spans="1:8" ht="15.75" thickBot="1">
      <c r="A160" s="293" t="s">
        <v>652</v>
      </c>
      <c r="B160" s="293" t="s">
        <v>652</v>
      </c>
      <c r="C160" s="293" t="s">
        <v>20</v>
      </c>
      <c r="D160" s="293">
        <v>1</v>
      </c>
      <c r="E160" s="294">
        <v>6700</v>
      </c>
      <c r="F160" s="293">
        <f t="shared" si="5"/>
        <v>6700</v>
      </c>
      <c r="G160" s="235"/>
      <c r="H160" s="235"/>
    </row>
    <row r="161" spans="1:8" ht="15.75" thickBot="1">
      <c r="A161" s="293" t="s">
        <v>825</v>
      </c>
      <c r="B161" s="293" t="s">
        <v>1054</v>
      </c>
      <c r="C161" s="293" t="s">
        <v>20</v>
      </c>
      <c r="D161" s="293">
        <v>1</v>
      </c>
      <c r="E161" s="294">
        <v>9200</v>
      </c>
      <c r="F161" s="293">
        <f t="shared" si="5"/>
        <v>9200</v>
      </c>
      <c r="G161" s="235"/>
      <c r="H161" s="235"/>
    </row>
    <row r="162" spans="1:8" ht="15.75" thickBot="1">
      <c r="A162" s="293" t="s">
        <v>826</v>
      </c>
      <c r="B162" s="293" t="s">
        <v>656</v>
      </c>
      <c r="C162" s="293" t="s">
        <v>20</v>
      </c>
      <c r="D162" s="293">
        <v>1</v>
      </c>
      <c r="E162" s="294">
        <v>1200</v>
      </c>
      <c r="F162" s="293">
        <f t="shared" si="5"/>
        <v>1200</v>
      </c>
      <c r="G162" s="235"/>
      <c r="H162" s="235"/>
    </row>
    <row r="163" spans="1:8" ht="15.75" thickBot="1">
      <c r="A163" s="293" t="s">
        <v>827</v>
      </c>
      <c r="B163" s="293" t="s">
        <v>574</v>
      </c>
      <c r="C163" s="293" t="s">
        <v>20</v>
      </c>
      <c r="D163" s="293">
        <v>1</v>
      </c>
      <c r="E163" s="294">
        <v>4230</v>
      </c>
      <c r="F163" s="293">
        <f t="shared" si="5"/>
        <v>4230</v>
      </c>
      <c r="G163" s="235"/>
      <c r="H163" s="235"/>
    </row>
    <row r="164" spans="1:8" ht="15.75" thickBot="1">
      <c r="A164" s="293" t="s">
        <v>828</v>
      </c>
      <c r="B164" s="293" t="s">
        <v>1054</v>
      </c>
      <c r="C164" s="293" t="s">
        <v>20</v>
      </c>
      <c r="D164" s="293">
        <v>1</v>
      </c>
      <c r="E164" s="294">
        <v>5600</v>
      </c>
      <c r="F164" s="293">
        <f t="shared" si="5"/>
        <v>5600</v>
      </c>
      <c r="G164" s="235"/>
      <c r="H164" s="235"/>
    </row>
    <row r="165" spans="1:8" ht="15.75" thickBot="1">
      <c r="A165" s="293" t="s">
        <v>829</v>
      </c>
      <c r="B165" s="293" t="s">
        <v>558</v>
      </c>
      <c r="C165" s="293" t="s">
        <v>20</v>
      </c>
      <c r="D165" s="293">
        <v>1</v>
      </c>
      <c r="E165" s="293">
        <v>66</v>
      </c>
      <c r="F165" s="293">
        <f t="shared" si="5"/>
        <v>66</v>
      </c>
      <c r="G165" s="235"/>
      <c r="H165" s="235"/>
    </row>
    <row r="166" spans="1:8" ht="19.5">
      <c r="A166" s="372" t="s">
        <v>741</v>
      </c>
      <c r="B166" s="372"/>
      <c r="C166" s="372"/>
      <c r="D166" s="372"/>
      <c r="E166" s="372"/>
      <c r="F166" s="295">
        <f>SUM(F130:F165)</f>
        <v>39849.4</v>
      </c>
      <c r="G166" s="235"/>
      <c r="H166" s="235"/>
    </row>
    <row r="167" spans="1:8" ht="20.25" thickBot="1">
      <c r="A167" s="370" t="s">
        <v>425</v>
      </c>
      <c r="B167" s="370"/>
      <c r="C167" s="371"/>
      <c r="D167" s="371"/>
      <c r="E167" s="371"/>
      <c r="F167" s="371"/>
      <c r="G167" s="235"/>
      <c r="H167" s="235"/>
    </row>
    <row r="168" spans="1:8" ht="15.75" thickBot="1">
      <c r="A168" s="293" t="s">
        <v>830</v>
      </c>
      <c r="B168" s="293" t="s">
        <v>670</v>
      </c>
      <c r="C168" s="293" t="s">
        <v>20</v>
      </c>
      <c r="D168" s="293">
        <v>1</v>
      </c>
      <c r="E168" s="293">
        <v>560</v>
      </c>
      <c r="F168" s="293">
        <f>E168*D168</f>
        <v>560</v>
      </c>
      <c r="G168" s="235"/>
      <c r="H168" s="235"/>
    </row>
    <row r="169" spans="1:8" ht="15.75" thickBot="1">
      <c r="A169" s="293" t="s">
        <v>671</v>
      </c>
      <c r="B169" s="293" t="s">
        <v>671</v>
      </c>
      <c r="C169" s="293" t="s">
        <v>20</v>
      </c>
      <c r="D169" s="293">
        <v>1</v>
      </c>
      <c r="E169" s="293">
        <v>460</v>
      </c>
      <c r="F169" s="293">
        <f t="shared" ref="F169:F187" si="6">E169*D169</f>
        <v>460</v>
      </c>
      <c r="G169" s="235"/>
      <c r="H169" s="235"/>
    </row>
    <row r="170" spans="1:8" ht="15.75" thickBot="1">
      <c r="A170" s="293" t="s">
        <v>831</v>
      </c>
      <c r="B170" s="293" t="s">
        <v>672</v>
      </c>
      <c r="C170" s="293" t="s">
        <v>20</v>
      </c>
      <c r="D170" s="293">
        <v>1</v>
      </c>
      <c r="E170" s="293">
        <v>500</v>
      </c>
      <c r="F170" s="293">
        <f t="shared" si="6"/>
        <v>500</v>
      </c>
      <c r="G170" s="235"/>
      <c r="H170" s="235"/>
    </row>
    <row r="171" spans="1:8" ht="15.75" thickBot="1">
      <c r="A171" s="293" t="s">
        <v>832</v>
      </c>
      <c r="B171" s="293" t="s">
        <v>832</v>
      </c>
      <c r="C171" s="293" t="s">
        <v>20</v>
      </c>
      <c r="D171" s="293">
        <v>1</v>
      </c>
      <c r="E171" s="294">
        <v>17000</v>
      </c>
      <c r="F171" s="293">
        <f t="shared" si="6"/>
        <v>17000</v>
      </c>
      <c r="G171" s="235"/>
      <c r="H171" s="235"/>
    </row>
    <row r="172" spans="1:8" ht="15.75" thickBot="1">
      <c r="A172" s="293" t="s">
        <v>968</v>
      </c>
      <c r="B172" s="293" t="s">
        <v>673</v>
      </c>
      <c r="C172" s="293" t="s">
        <v>20</v>
      </c>
      <c r="D172" s="293">
        <v>3</v>
      </c>
      <c r="E172" s="294">
        <v>1500</v>
      </c>
      <c r="F172" s="293">
        <f t="shared" si="6"/>
        <v>4500</v>
      </c>
      <c r="G172" s="235"/>
      <c r="H172" s="235"/>
    </row>
    <row r="173" spans="1:8" ht="15.75" thickBot="1">
      <c r="A173" s="293" t="s">
        <v>655</v>
      </c>
      <c r="B173" s="293" t="s">
        <v>655</v>
      </c>
      <c r="C173" s="293" t="s">
        <v>20</v>
      </c>
      <c r="D173" s="293">
        <v>3</v>
      </c>
      <c r="E173" s="293">
        <v>340</v>
      </c>
      <c r="F173" s="293">
        <f t="shared" si="6"/>
        <v>1020</v>
      </c>
      <c r="G173" s="235"/>
      <c r="H173" s="235"/>
    </row>
    <row r="174" spans="1:8" ht="15.75" thickBot="1">
      <c r="A174" s="293" t="s">
        <v>834</v>
      </c>
      <c r="B174" s="293" t="s">
        <v>834</v>
      </c>
      <c r="C174" s="293" t="s">
        <v>20</v>
      </c>
      <c r="D174" s="293">
        <v>1</v>
      </c>
      <c r="E174" s="293">
        <v>587</v>
      </c>
      <c r="F174" s="293">
        <f t="shared" si="6"/>
        <v>587</v>
      </c>
      <c r="G174" s="235"/>
      <c r="H174" s="235"/>
    </row>
    <row r="175" spans="1:8" ht="15.75" thickBot="1">
      <c r="A175" s="293" t="s">
        <v>835</v>
      </c>
      <c r="B175" s="293" t="s">
        <v>835</v>
      </c>
      <c r="C175" s="293" t="s">
        <v>20</v>
      </c>
      <c r="D175" s="293">
        <v>1</v>
      </c>
      <c r="E175" s="293">
        <v>360</v>
      </c>
      <c r="F175" s="293">
        <f t="shared" si="6"/>
        <v>360</v>
      </c>
      <c r="G175" s="235"/>
      <c r="H175" s="235"/>
    </row>
    <row r="176" spans="1:8" ht="15.75" thickBot="1">
      <c r="A176" s="293" t="s">
        <v>836</v>
      </c>
      <c r="B176" s="293" t="s">
        <v>675</v>
      </c>
      <c r="C176" s="293" t="s">
        <v>20</v>
      </c>
      <c r="D176" s="293">
        <v>1</v>
      </c>
      <c r="E176" s="294">
        <v>3460</v>
      </c>
      <c r="F176" s="293">
        <f t="shared" si="6"/>
        <v>3460</v>
      </c>
      <c r="G176" s="235"/>
      <c r="H176" s="235"/>
    </row>
    <row r="177" spans="1:8" ht="15.75" thickBot="1">
      <c r="A177" s="293" t="s">
        <v>837</v>
      </c>
      <c r="B177" s="293" t="s">
        <v>837</v>
      </c>
      <c r="C177" s="293" t="s">
        <v>20</v>
      </c>
      <c r="D177" s="293">
        <v>1</v>
      </c>
      <c r="E177" s="294">
        <v>6700</v>
      </c>
      <c r="F177" s="293">
        <f t="shared" si="6"/>
        <v>6700</v>
      </c>
      <c r="G177" s="235"/>
      <c r="H177" s="235"/>
    </row>
    <row r="178" spans="1:8" ht="15.75" thickBot="1">
      <c r="A178" s="293" t="s">
        <v>838</v>
      </c>
      <c r="B178" s="293" t="s">
        <v>1055</v>
      </c>
      <c r="C178" s="293" t="s">
        <v>20</v>
      </c>
      <c r="D178" s="293">
        <v>1</v>
      </c>
      <c r="E178" s="294">
        <v>1500</v>
      </c>
      <c r="F178" s="293">
        <f t="shared" si="6"/>
        <v>1500</v>
      </c>
      <c r="G178" s="235"/>
      <c r="H178" s="235"/>
    </row>
    <row r="179" spans="1:8" ht="15.75" thickBot="1">
      <c r="A179" s="293" t="s">
        <v>839</v>
      </c>
      <c r="B179" s="293" t="s">
        <v>678</v>
      </c>
      <c r="C179" s="293" t="s">
        <v>20</v>
      </c>
      <c r="D179" s="293">
        <v>1</v>
      </c>
      <c r="E179" s="294">
        <v>7800</v>
      </c>
      <c r="F179" s="293">
        <f t="shared" si="6"/>
        <v>7800</v>
      </c>
      <c r="G179" s="235"/>
      <c r="H179" s="235"/>
    </row>
    <row r="180" spans="1:8" ht="15.75" thickBot="1">
      <c r="A180" s="293" t="s">
        <v>679</v>
      </c>
      <c r="B180" s="293" t="s">
        <v>575</v>
      </c>
      <c r="C180" s="293" t="s">
        <v>20</v>
      </c>
      <c r="D180" s="293">
        <v>1</v>
      </c>
      <c r="E180" s="294">
        <v>1260</v>
      </c>
      <c r="F180" s="293">
        <f t="shared" si="6"/>
        <v>1260</v>
      </c>
      <c r="G180" s="235"/>
      <c r="H180" s="235"/>
    </row>
    <row r="181" spans="1:8" ht="15.75" thickBot="1">
      <c r="A181" s="293" t="s">
        <v>840</v>
      </c>
      <c r="B181" s="293" t="s">
        <v>562</v>
      </c>
      <c r="C181" s="293" t="s">
        <v>20</v>
      </c>
      <c r="D181" s="293">
        <v>1</v>
      </c>
      <c r="E181" s="294">
        <v>11200</v>
      </c>
      <c r="F181" s="293">
        <f t="shared" si="6"/>
        <v>11200</v>
      </c>
      <c r="G181" s="235"/>
      <c r="H181" s="235"/>
    </row>
    <row r="182" spans="1:8" ht="15.75" thickBot="1">
      <c r="A182" s="293" t="s">
        <v>841</v>
      </c>
      <c r="B182" s="293" t="s">
        <v>681</v>
      </c>
      <c r="C182" s="293" t="s">
        <v>20</v>
      </c>
      <c r="D182" s="293">
        <v>1</v>
      </c>
      <c r="E182" s="294">
        <v>1600</v>
      </c>
      <c r="F182" s="293">
        <f t="shared" si="6"/>
        <v>1600</v>
      </c>
      <c r="G182" s="235"/>
      <c r="H182" s="235"/>
    </row>
    <row r="183" spans="1:8" ht="15.75" thickBot="1">
      <c r="A183" s="293" t="s">
        <v>842</v>
      </c>
      <c r="B183" s="293" t="s">
        <v>842</v>
      </c>
      <c r="C183" s="293" t="s">
        <v>20</v>
      </c>
      <c r="D183" s="293">
        <v>1</v>
      </c>
      <c r="E183" s="293">
        <v>350</v>
      </c>
      <c r="F183" s="293">
        <f t="shared" si="6"/>
        <v>350</v>
      </c>
      <c r="G183" s="296"/>
      <c r="H183" s="254"/>
    </row>
    <row r="184" spans="1:8" ht="15.75" thickBot="1">
      <c r="A184" s="293" t="s">
        <v>843</v>
      </c>
      <c r="B184" s="293" t="s">
        <v>683</v>
      </c>
      <c r="C184" s="293" t="s">
        <v>20</v>
      </c>
      <c r="D184" s="293">
        <v>1</v>
      </c>
      <c r="E184" s="294">
        <v>70000</v>
      </c>
      <c r="F184" s="293">
        <f t="shared" si="6"/>
        <v>70000</v>
      </c>
      <c r="G184" s="235"/>
      <c r="H184" s="235"/>
    </row>
    <row r="185" spans="1:8" ht="15.75" thickBot="1">
      <c r="A185" s="293" t="s">
        <v>844</v>
      </c>
      <c r="B185" s="293" t="s">
        <v>607</v>
      </c>
      <c r="C185" s="293" t="s">
        <v>20</v>
      </c>
      <c r="D185" s="293">
        <v>1</v>
      </c>
      <c r="E185" s="294">
        <v>6400</v>
      </c>
      <c r="F185" s="293">
        <f t="shared" si="6"/>
        <v>6400</v>
      </c>
      <c r="G185" s="235"/>
      <c r="H185" s="235"/>
    </row>
    <row r="186" spans="1:8" ht="16.5" thickBot="1">
      <c r="A186" s="293" t="s">
        <v>969</v>
      </c>
      <c r="B186" s="293" t="s">
        <v>649</v>
      </c>
      <c r="C186" s="293" t="s">
        <v>20</v>
      </c>
      <c r="D186" s="293">
        <v>1</v>
      </c>
      <c r="E186" s="294">
        <v>7830</v>
      </c>
      <c r="F186" s="293">
        <f t="shared" si="6"/>
        <v>7830</v>
      </c>
      <c r="G186" s="297"/>
      <c r="H186" s="235"/>
    </row>
    <row r="187" spans="1:8" ht="15.75" thickBot="1">
      <c r="A187" s="293" t="s">
        <v>846</v>
      </c>
      <c r="B187" s="293" t="s">
        <v>847</v>
      </c>
      <c r="C187" s="293" t="s">
        <v>20</v>
      </c>
      <c r="D187" s="293">
        <v>1</v>
      </c>
      <c r="E187" s="294">
        <v>12000</v>
      </c>
      <c r="F187" s="293">
        <f t="shared" si="6"/>
        <v>12000</v>
      </c>
      <c r="G187" s="235"/>
      <c r="H187" s="235"/>
    </row>
    <row r="188" spans="1:8" ht="19.5">
      <c r="A188" s="372" t="s">
        <v>741</v>
      </c>
      <c r="B188" s="372"/>
      <c r="C188" s="372"/>
      <c r="D188" s="372"/>
      <c r="E188" s="372"/>
      <c r="F188" s="295">
        <f>SUM(F168:F187)</f>
        <v>155087</v>
      </c>
      <c r="G188" s="235"/>
      <c r="H188" s="235"/>
    </row>
    <row r="189" spans="1:8" ht="16.5" thickBot="1">
      <c r="A189" s="373" t="s">
        <v>848</v>
      </c>
      <c r="B189" s="374"/>
      <c r="C189" s="375"/>
      <c r="D189" s="375"/>
      <c r="E189" s="376"/>
      <c r="F189" s="263">
        <f>F188+F166+F128+F91+F84+F70+F47</f>
        <v>705829.05500000005</v>
      </c>
      <c r="G189" s="298"/>
      <c r="H189" s="298"/>
    </row>
    <row r="190" spans="1:8" ht="15.75" thickBot="1">
      <c r="A190" s="262"/>
      <c r="B190" s="262"/>
      <c r="C190" s="263"/>
      <c r="D190" s="228"/>
      <c r="E190" s="263" t="s">
        <v>503</v>
      </c>
      <c r="F190" s="299" t="e">
        <f>#REF!+F189</f>
        <v>#REF!</v>
      </c>
      <c r="G190" s="300"/>
      <c r="H190" s="298"/>
    </row>
    <row r="191" spans="1:8" ht="16.5" thickBot="1">
      <c r="A191" s="262"/>
      <c r="B191" s="262"/>
      <c r="C191" s="263"/>
      <c r="D191" s="228"/>
      <c r="E191" s="266" t="s">
        <v>504</v>
      </c>
      <c r="F191" s="299">
        <f>F192*0.03</f>
        <v>36960</v>
      </c>
      <c r="G191" s="298"/>
      <c r="H191" s="298"/>
    </row>
    <row r="192" spans="1:8" ht="19.5" thickBot="1">
      <c r="A192" s="262"/>
      <c r="B192" s="262"/>
      <c r="C192" s="263"/>
      <c r="D192" s="228"/>
      <c r="E192" s="266" t="s">
        <v>505</v>
      </c>
      <c r="F192" s="301">
        <f>28000*44</f>
        <v>1232000</v>
      </c>
      <c r="G192" s="300"/>
      <c r="H192" s="298"/>
    </row>
    <row r="193" spans="1:8" ht="19.5" thickBot="1">
      <c r="E193" s="266" t="s">
        <v>851</v>
      </c>
      <c r="F193" s="302" t="e">
        <f>F192-F190-F191</f>
        <v>#REF!</v>
      </c>
      <c r="G193" s="300"/>
    </row>
    <row r="194" spans="1:8" ht="15.75">
      <c r="E194" s="266" t="s">
        <v>507</v>
      </c>
      <c r="F194" s="299" t="e">
        <f>F192/F190-1</f>
        <v>#REF!</v>
      </c>
    </row>
    <row r="195" spans="1:8" ht="18.75">
      <c r="E195" s="266" t="s">
        <v>852</v>
      </c>
      <c r="F195" s="303">
        <v>6</v>
      </c>
    </row>
    <row r="196" spans="1:8" ht="18.75">
      <c r="E196" s="266" t="s">
        <v>853</v>
      </c>
      <c r="F196" s="302" t="e">
        <f>F193*F195</f>
        <v>#REF!</v>
      </c>
    </row>
    <row r="197" spans="1:8">
      <c r="A197" s="304"/>
      <c r="B197" s="304"/>
      <c r="C197" s="305"/>
      <c r="D197" s="305"/>
      <c r="E197" s="306"/>
      <c r="F197" s="307"/>
    </row>
    <row r="198" spans="1:8" ht="20.25" hidden="1" thickBot="1">
      <c r="A198" s="366" t="s">
        <v>854</v>
      </c>
      <c r="B198" s="367"/>
      <c r="C198" s="368"/>
      <c r="D198" s="368"/>
      <c r="E198" s="368"/>
      <c r="F198" s="369"/>
    </row>
    <row r="199" spans="1:8" ht="30.75" hidden="1" thickBot="1">
      <c r="A199" s="308" t="s">
        <v>855</v>
      </c>
      <c r="B199" s="308"/>
      <c r="C199" s="308" t="s">
        <v>2</v>
      </c>
      <c r="D199" s="308" t="s">
        <v>705</v>
      </c>
      <c r="E199" s="308" t="s">
        <v>856</v>
      </c>
      <c r="F199" s="308" t="s">
        <v>857</v>
      </c>
    </row>
    <row r="200" spans="1:8" ht="15.75" hidden="1" thickBot="1">
      <c r="A200" s="283" t="s">
        <v>858</v>
      </c>
      <c r="B200" s="283"/>
      <c r="C200" s="284"/>
      <c r="D200" s="284"/>
      <c r="E200" s="284"/>
      <c r="F200" s="284"/>
    </row>
    <row r="201" spans="1:8" ht="15.75" hidden="1" thickBot="1">
      <c r="A201" s="286" t="s">
        <v>859</v>
      </c>
      <c r="B201" s="286" t="s">
        <v>535</v>
      </c>
      <c r="C201" s="286" t="s">
        <v>517</v>
      </c>
      <c r="D201" s="286">
        <v>0.15</v>
      </c>
      <c r="E201" s="309">
        <v>32216.87</v>
      </c>
      <c r="F201" s="309">
        <v>4832.53</v>
      </c>
    </row>
    <row r="202" spans="1:8" ht="15.75" hidden="1" thickBot="1">
      <c r="A202" s="286" t="s">
        <v>860</v>
      </c>
      <c r="B202" s="286" t="s">
        <v>535</v>
      </c>
      <c r="C202" s="286" t="s">
        <v>517</v>
      </c>
      <c r="D202" s="286">
        <v>0.04</v>
      </c>
      <c r="E202" s="309">
        <v>26457.71</v>
      </c>
      <c r="F202" s="286">
        <v>926.02</v>
      </c>
      <c r="G202" s="287"/>
      <c r="H202" s="287"/>
    </row>
    <row r="203" spans="1:8" ht="15.75" hidden="1" thickBot="1">
      <c r="A203" s="286" t="s">
        <v>861</v>
      </c>
      <c r="B203" s="286" t="s">
        <v>535</v>
      </c>
      <c r="C203" s="286" t="s">
        <v>517</v>
      </c>
      <c r="D203" s="286">
        <v>2E-3</v>
      </c>
      <c r="E203" s="309">
        <v>33210</v>
      </c>
      <c r="F203" s="286">
        <v>66.42</v>
      </c>
      <c r="G203" s="287"/>
      <c r="H203" s="287"/>
    </row>
    <row r="204" spans="1:8" ht="15.75" hidden="1" thickBot="1">
      <c r="A204" s="286" t="s">
        <v>862</v>
      </c>
      <c r="B204" s="286" t="s">
        <v>535</v>
      </c>
      <c r="C204" s="286" t="s">
        <v>517</v>
      </c>
      <c r="D204" s="286">
        <v>2E-3</v>
      </c>
      <c r="E204" s="309">
        <v>39220</v>
      </c>
      <c r="F204" s="286">
        <v>78.44</v>
      </c>
      <c r="G204" s="287"/>
      <c r="H204" s="287"/>
    </row>
    <row r="205" spans="1:8" ht="15.75" hidden="1" thickBot="1">
      <c r="A205" s="286" t="s">
        <v>863</v>
      </c>
      <c r="B205" s="286" t="s">
        <v>594</v>
      </c>
      <c r="C205" s="286" t="s">
        <v>517</v>
      </c>
      <c r="D205" s="286">
        <v>0.02</v>
      </c>
      <c r="E205" s="309">
        <v>42893.81</v>
      </c>
      <c r="F205" s="286">
        <v>900.77</v>
      </c>
      <c r="G205" s="287"/>
      <c r="H205" s="287"/>
    </row>
    <row r="206" spans="1:8" ht="15.75" hidden="1" thickBot="1">
      <c r="A206" s="286" t="s">
        <v>864</v>
      </c>
      <c r="B206" s="286" t="s">
        <v>594</v>
      </c>
      <c r="C206" s="286" t="s">
        <v>517</v>
      </c>
      <c r="D206" s="286">
        <v>0.02</v>
      </c>
      <c r="E206" s="309">
        <v>29542.86</v>
      </c>
      <c r="F206" s="286">
        <v>620.4</v>
      </c>
      <c r="G206" s="287"/>
      <c r="H206" s="287"/>
    </row>
    <row r="207" spans="1:8" ht="15.75" hidden="1" thickBot="1">
      <c r="A207" s="286" t="s">
        <v>865</v>
      </c>
      <c r="B207" s="286" t="s">
        <v>594</v>
      </c>
      <c r="C207" s="286" t="s">
        <v>517</v>
      </c>
      <c r="D207" s="286">
        <v>0.01</v>
      </c>
      <c r="E207" s="309">
        <v>29423.57</v>
      </c>
      <c r="F207" s="286">
        <v>411.93</v>
      </c>
      <c r="G207" s="287"/>
      <c r="H207" s="287"/>
    </row>
    <row r="208" spans="1:8" ht="15.75" hidden="1" thickBot="1">
      <c r="A208" s="286" t="s">
        <v>866</v>
      </c>
      <c r="B208" s="286" t="s">
        <v>590</v>
      </c>
      <c r="C208" s="286" t="s">
        <v>517</v>
      </c>
      <c r="D208" s="286">
        <v>0.09</v>
      </c>
      <c r="E208" s="309">
        <v>30433.8</v>
      </c>
      <c r="F208" s="309">
        <v>2799.91</v>
      </c>
      <c r="G208" s="287"/>
      <c r="H208" s="287"/>
    </row>
    <row r="209" spans="1:8" ht="15.75" hidden="1" thickBot="1">
      <c r="A209" s="286" t="s">
        <v>867</v>
      </c>
      <c r="B209" s="286" t="s">
        <v>590</v>
      </c>
      <c r="C209" s="286" t="s">
        <v>517</v>
      </c>
      <c r="D209" s="286">
        <v>0.08</v>
      </c>
      <c r="E209" s="309">
        <v>30164.61</v>
      </c>
      <c r="F209" s="309">
        <v>2292.5100000000002</v>
      </c>
      <c r="G209" s="287"/>
      <c r="H209" s="287"/>
    </row>
    <row r="210" spans="1:8" ht="15.75" hidden="1" thickBot="1">
      <c r="A210" s="286" t="s">
        <v>868</v>
      </c>
      <c r="B210" s="286" t="s">
        <v>590</v>
      </c>
      <c r="C210" s="286" t="s">
        <v>517</v>
      </c>
      <c r="D210" s="286">
        <v>0.02</v>
      </c>
      <c r="E210" s="309">
        <v>28937.39</v>
      </c>
      <c r="F210" s="286">
        <v>665.56</v>
      </c>
      <c r="G210" s="287"/>
      <c r="H210" s="287"/>
    </row>
    <row r="211" spans="1:8" ht="15.75" hidden="1" thickBot="1">
      <c r="A211" s="286" t="s">
        <v>869</v>
      </c>
      <c r="B211" s="286" t="s">
        <v>590</v>
      </c>
      <c r="C211" s="286" t="s">
        <v>517</v>
      </c>
      <c r="D211" s="286">
        <v>0.01</v>
      </c>
      <c r="E211" s="309">
        <v>28937.69</v>
      </c>
      <c r="F211" s="286">
        <v>376.19</v>
      </c>
      <c r="G211" s="287"/>
      <c r="H211" s="287"/>
    </row>
    <row r="212" spans="1:8" ht="15.75" hidden="1" thickBot="1">
      <c r="A212" s="286" t="s">
        <v>870</v>
      </c>
      <c r="B212" s="286" t="s">
        <v>871</v>
      </c>
      <c r="C212" s="286" t="s">
        <v>517</v>
      </c>
      <c r="D212" s="286">
        <v>0.02</v>
      </c>
      <c r="E212" s="309">
        <v>27741</v>
      </c>
      <c r="F212" s="286">
        <v>554.82000000000005</v>
      </c>
      <c r="G212" s="287"/>
      <c r="H212" s="287"/>
    </row>
    <row r="213" spans="1:8" ht="15.75" hidden="1" thickBot="1">
      <c r="A213" s="283" t="s">
        <v>872</v>
      </c>
      <c r="B213" s="283"/>
      <c r="C213" s="284"/>
      <c r="D213" s="284"/>
      <c r="E213" s="284"/>
      <c r="F213" s="284"/>
      <c r="G213" s="287"/>
      <c r="H213" s="287"/>
    </row>
    <row r="214" spans="1:8" ht="15.75" hidden="1" thickBot="1">
      <c r="A214" s="286" t="s">
        <v>873</v>
      </c>
      <c r="B214" s="286" t="s">
        <v>874</v>
      </c>
      <c r="C214" s="286" t="s">
        <v>20</v>
      </c>
      <c r="D214" s="286">
        <v>2</v>
      </c>
      <c r="E214" s="309">
        <v>2224.17</v>
      </c>
      <c r="F214" s="309">
        <v>4448.33</v>
      </c>
      <c r="G214" s="287"/>
      <c r="H214" s="287"/>
    </row>
    <row r="215" spans="1:8" ht="15.75" hidden="1" thickBot="1">
      <c r="A215" s="286" t="s">
        <v>970</v>
      </c>
      <c r="B215" s="286" t="s">
        <v>971</v>
      </c>
      <c r="C215" s="286" t="s">
        <v>20</v>
      </c>
      <c r="D215" s="286">
        <v>2</v>
      </c>
      <c r="E215" s="309">
        <v>2209</v>
      </c>
      <c r="F215" s="309">
        <v>4418</v>
      </c>
      <c r="G215" s="287"/>
      <c r="H215" s="287"/>
    </row>
    <row r="216" spans="1:8" ht="15.75" hidden="1" thickBot="1">
      <c r="A216" s="286" t="s">
        <v>972</v>
      </c>
      <c r="B216" s="286" t="s">
        <v>971</v>
      </c>
      <c r="C216" s="286" t="s">
        <v>20</v>
      </c>
      <c r="D216" s="286">
        <v>1</v>
      </c>
      <c r="E216" s="309">
        <v>1950</v>
      </c>
      <c r="F216" s="309">
        <v>1950</v>
      </c>
      <c r="G216" s="287"/>
      <c r="H216" s="287"/>
    </row>
    <row r="217" spans="1:8" ht="15.75" hidden="1" thickBot="1">
      <c r="A217" s="286" t="s">
        <v>875</v>
      </c>
      <c r="B217" s="286" t="s">
        <v>876</v>
      </c>
      <c r="C217" s="286" t="s">
        <v>20</v>
      </c>
      <c r="D217" s="286">
        <v>9</v>
      </c>
      <c r="E217" s="286">
        <v>145.83000000000001</v>
      </c>
      <c r="F217" s="309">
        <v>1312.47</v>
      </c>
      <c r="G217" s="287"/>
      <c r="H217" s="287"/>
    </row>
    <row r="218" spans="1:8" ht="15.75" hidden="1" thickBot="1">
      <c r="A218" s="286" t="s">
        <v>877</v>
      </c>
      <c r="B218" s="286" t="s">
        <v>878</v>
      </c>
      <c r="C218" s="286" t="s">
        <v>20</v>
      </c>
      <c r="D218" s="286">
        <v>2</v>
      </c>
      <c r="E218" s="286">
        <v>169</v>
      </c>
      <c r="F218" s="286">
        <v>338</v>
      </c>
      <c r="G218" s="287"/>
      <c r="H218" s="287"/>
    </row>
    <row r="219" spans="1:8" ht="15.75" hidden="1" thickBot="1">
      <c r="A219" s="286" t="s">
        <v>973</v>
      </c>
      <c r="B219" s="286" t="s">
        <v>880</v>
      </c>
      <c r="C219" s="286" t="s">
        <v>20</v>
      </c>
      <c r="D219" s="286">
        <v>1</v>
      </c>
      <c r="E219" s="309">
        <v>1408.33</v>
      </c>
      <c r="F219" s="309">
        <v>1408.33</v>
      </c>
      <c r="G219" s="287"/>
      <c r="H219" s="287"/>
    </row>
    <row r="220" spans="1:8" ht="15.75" hidden="1" thickBot="1">
      <c r="A220" s="283" t="s">
        <v>881</v>
      </c>
      <c r="B220" s="283"/>
      <c r="C220" s="284"/>
      <c r="D220" s="284"/>
      <c r="E220" s="284"/>
      <c r="F220" s="284"/>
      <c r="G220" s="287"/>
      <c r="H220" s="287"/>
    </row>
    <row r="221" spans="1:8" ht="15.75" hidden="1" thickBot="1">
      <c r="A221" s="286" t="s">
        <v>882</v>
      </c>
      <c r="B221" s="286" t="s">
        <v>631</v>
      </c>
      <c r="C221" s="286" t="s">
        <v>20</v>
      </c>
      <c r="D221" s="286">
        <v>3</v>
      </c>
      <c r="E221" s="286">
        <v>361.4</v>
      </c>
      <c r="F221" s="309">
        <v>1084.2</v>
      </c>
      <c r="G221" s="287"/>
      <c r="H221" s="287"/>
    </row>
    <row r="222" spans="1:8" ht="15.75" hidden="1" thickBot="1">
      <c r="A222" s="286" t="s">
        <v>883</v>
      </c>
      <c r="B222" s="286" t="s">
        <v>630</v>
      </c>
      <c r="C222" s="286" t="s">
        <v>20</v>
      </c>
      <c r="D222" s="286">
        <v>1</v>
      </c>
      <c r="E222" s="286">
        <v>708.83</v>
      </c>
      <c r="F222" s="286">
        <v>708.83</v>
      </c>
      <c r="G222" s="287"/>
      <c r="H222" s="287"/>
    </row>
    <row r="223" spans="1:8" ht="15.75" hidden="1" thickBot="1">
      <c r="A223" s="286" t="s">
        <v>884</v>
      </c>
      <c r="B223" s="286" t="s">
        <v>577</v>
      </c>
      <c r="C223" s="286" t="s">
        <v>20</v>
      </c>
      <c r="D223" s="286">
        <v>1</v>
      </c>
      <c r="E223" s="286">
        <v>431.42</v>
      </c>
      <c r="F223" s="286">
        <v>431.42</v>
      </c>
      <c r="G223" s="287"/>
      <c r="H223" s="287"/>
    </row>
    <row r="224" spans="1:8" ht="15.75" hidden="1" thickBot="1">
      <c r="A224" s="286" t="s">
        <v>885</v>
      </c>
      <c r="B224" s="286" t="s">
        <v>549</v>
      </c>
      <c r="C224" s="286" t="s">
        <v>886</v>
      </c>
      <c r="D224" s="286">
        <v>4.0000000000000001E-3</v>
      </c>
      <c r="E224" s="309">
        <v>40802.5</v>
      </c>
      <c r="F224" s="286">
        <v>163.21</v>
      </c>
      <c r="G224" s="287"/>
      <c r="H224" s="287"/>
    </row>
    <row r="225" spans="1:8" ht="15.75" hidden="1" thickBot="1">
      <c r="A225" s="283" t="s">
        <v>891</v>
      </c>
      <c r="B225" s="283"/>
      <c r="C225" s="284"/>
      <c r="D225" s="284"/>
      <c r="E225" s="284"/>
      <c r="F225" s="284"/>
      <c r="G225" s="287"/>
      <c r="H225" s="287"/>
    </row>
    <row r="226" spans="1:8" ht="15.75" hidden="1" thickBot="1">
      <c r="A226" s="286" t="s">
        <v>895</v>
      </c>
      <c r="B226" s="286" t="s">
        <v>653</v>
      </c>
      <c r="C226" s="286" t="s">
        <v>20</v>
      </c>
      <c r="D226" s="286">
        <v>4</v>
      </c>
      <c r="E226" s="286">
        <v>53</v>
      </c>
      <c r="F226" s="286">
        <v>212</v>
      </c>
      <c r="G226" s="287"/>
      <c r="H226" s="287"/>
    </row>
    <row r="227" spans="1:8" ht="15.75" hidden="1" thickBot="1">
      <c r="A227" s="286" t="s">
        <v>974</v>
      </c>
      <c r="B227" s="286" t="s">
        <v>560</v>
      </c>
      <c r="C227" s="286" t="s">
        <v>20</v>
      </c>
      <c r="D227" s="286">
        <v>2</v>
      </c>
      <c r="E227" s="286">
        <v>101</v>
      </c>
      <c r="F227" s="286">
        <v>202</v>
      </c>
      <c r="G227" s="287"/>
      <c r="H227" s="287"/>
    </row>
    <row r="228" spans="1:8" ht="15.75" hidden="1" thickBot="1">
      <c r="A228" s="286" t="s">
        <v>975</v>
      </c>
      <c r="B228" s="286" t="s">
        <v>560</v>
      </c>
      <c r="C228" s="286" t="s">
        <v>20</v>
      </c>
      <c r="D228" s="286">
        <v>2</v>
      </c>
      <c r="E228" s="286">
        <v>26</v>
      </c>
      <c r="F228" s="286">
        <v>52</v>
      </c>
      <c r="G228" s="287"/>
      <c r="H228" s="287"/>
    </row>
    <row r="229" spans="1:8" ht="15.75" hidden="1" thickBot="1">
      <c r="A229" s="286" t="s">
        <v>976</v>
      </c>
      <c r="B229" s="286" t="s">
        <v>560</v>
      </c>
      <c r="C229" s="286" t="s">
        <v>20</v>
      </c>
      <c r="D229" s="286">
        <v>1</v>
      </c>
      <c r="E229" s="286">
        <v>20</v>
      </c>
      <c r="F229" s="286">
        <v>20</v>
      </c>
      <c r="G229" s="287"/>
      <c r="H229" s="287"/>
    </row>
    <row r="230" spans="1:8" ht="15.75" hidden="1" thickBot="1">
      <c r="A230" s="286" t="s">
        <v>977</v>
      </c>
      <c r="B230" s="286" t="s">
        <v>978</v>
      </c>
      <c r="C230" s="286" t="s">
        <v>20</v>
      </c>
      <c r="D230" s="286">
        <v>1</v>
      </c>
      <c r="E230" s="286">
        <v>126</v>
      </c>
      <c r="F230" s="286">
        <v>126</v>
      </c>
      <c r="G230" s="287"/>
      <c r="H230" s="287"/>
    </row>
    <row r="231" spans="1:8" ht="15.75" hidden="1" thickBot="1">
      <c r="A231" s="286" t="s">
        <v>979</v>
      </c>
      <c r="B231" s="286" t="s">
        <v>565</v>
      </c>
      <c r="C231" s="286" t="s">
        <v>20</v>
      </c>
      <c r="D231" s="286">
        <v>1</v>
      </c>
      <c r="E231" s="286">
        <v>39.65</v>
      </c>
      <c r="F231" s="286">
        <v>39.65</v>
      </c>
      <c r="G231" s="287"/>
      <c r="H231" s="287"/>
    </row>
    <row r="232" spans="1:8" ht="15.75" hidden="1" thickBot="1">
      <c r="A232" s="286" t="s">
        <v>980</v>
      </c>
      <c r="B232" s="286" t="s">
        <v>981</v>
      </c>
      <c r="C232" s="286" t="s">
        <v>20</v>
      </c>
      <c r="D232" s="286">
        <v>2</v>
      </c>
      <c r="E232" s="286">
        <v>45</v>
      </c>
      <c r="F232" s="286">
        <v>90</v>
      </c>
      <c r="G232" s="287"/>
      <c r="H232" s="287"/>
    </row>
    <row r="233" spans="1:8" ht="15.75" hidden="1" thickBot="1">
      <c r="A233" s="286" t="s">
        <v>982</v>
      </c>
      <c r="B233" s="286" t="s">
        <v>981</v>
      </c>
      <c r="C233" s="286" t="s">
        <v>20</v>
      </c>
      <c r="D233" s="286">
        <v>3</v>
      </c>
      <c r="E233" s="286">
        <v>15</v>
      </c>
      <c r="F233" s="286">
        <v>45</v>
      </c>
      <c r="G233" s="287"/>
      <c r="H233" s="287"/>
    </row>
    <row r="234" spans="1:8" ht="15.75" hidden="1" thickBot="1">
      <c r="A234" s="283" t="s">
        <v>922</v>
      </c>
      <c r="B234" s="283"/>
      <c r="C234" s="284"/>
      <c r="D234" s="284"/>
      <c r="E234" s="284"/>
      <c r="F234" s="284"/>
      <c r="G234" s="287"/>
      <c r="H234" s="287"/>
    </row>
    <row r="235" spans="1:8" ht="15.75" hidden="1" thickBot="1">
      <c r="A235" s="286" t="s">
        <v>925</v>
      </c>
      <c r="B235" s="286" t="s">
        <v>562</v>
      </c>
      <c r="C235" s="286" t="s">
        <v>20</v>
      </c>
      <c r="D235" s="286">
        <v>1</v>
      </c>
      <c r="E235" s="309">
        <v>3463</v>
      </c>
      <c r="F235" s="309">
        <v>3463</v>
      </c>
      <c r="G235" s="287"/>
      <c r="H235" s="287"/>
    </row>
    <row r="236" spans="1:8" ht="15.75" hidden="1" thickBot="1">
      <c r="A236" s="286" t="s">
        <v>983</v>
      </c>
      <c r="B236" s="286" t="s">
        <v>682</v>
      </c>
      <c r="C236" s="286" t="s">
        <v>20</v>
      </c>
      <c r="D236" s="286">
        <v>1</v>
      </c>
      <c r="E236" s="309">
        <v>3320</v>
      </c>
      <c r="F236" s="309">
        <v>3320</v>
      </c>
      <c r="G236" s="287"/>
      <c r="H236" s="287"/>
    </row>
    <row r="237" spans="1:8" ht="15.75" hidden="1" thickBot="1">
      <c r="A237" s="286" t="s">
        <v>984</v>
      </c>
      <c r="B237" s="286" t="s">
        <v>682</v>
      </c>
      <c r="C237" s="286" t="s">
        <v>20</v>
      </c>
      <c r="D237" s="286">
        <v>1</v>
      </c>
      <c r="E237" s="309">
        <v>1605</v>
      </c>
      <c r="F237" s="309">
        <v>1605</v>
      </c>
      <c r="G237" s="287"/>
      <c r="H237" s="287"/>
    </row>
    <row r="238" spans="1:8" ht="15.75" hidden="1" thickBot="1">
      <c r="A238" s="283" t="s">
        <v>985</v>
      </c>
      <c r="B238" s="283"/>
      <c r="C238" s="284"/>
      <c r="D238" s="284"/>
      <c r="E238" s="284"/>
      <c r="F238" s="284"/>
      <c r="G238" s="287"/>
      <c r="H238" s="287"/>
    </row>
    <row r="239" spans="1:8" ht="15.75" hidden="1" thickBot="1">
      <c r="A239" s="286" t="s">
        <v>986</v>
      </c>
      <c r="B239" s="286" t="s">
        <v>932</v>
      </c>
      <c r="C239" s="286" t="s">
        <v>20</v>
      </c>
      <c r="D239" s="286">
        <v>4</v>
      </c>
      <c r="E239" s="286">
        <v>186.36</v>
      </c>
      <c r="F239" s="286">
        <v>745.45</v>
      </c>
      <c r="G239" s="287"/>
      <c r="H239" s="287"/>
    </row>
    <row r="240" spans="1:8" ht="15.75" hidden="1" thickBot="1">
      <c r="A240" s="286" t="s">
        <v>987</v>
      </c>
      <c r="B240" s="286" t="s">
        <v>988</v>
      </c>
      <c r="C240" s="286" t="s">
        <v>20</v>
      </c>
      <c r="D240" s="286">
        <v>1</v>
      </c>
      <c r="E240" s="286">
        <v>619</v>
      </c>
      <c r="F240" s="286">
        <v>619</v>
      </c>
      <c r="G240" s="287"/>
      <c r="H240" s="287"/>
    </row>
    <row r="241" spans="1:8" ht="15.75" hidden="1" thickBot="1">
      <c r="A241" s="286" t="s">
        <v>989</v>
      </c>
      <c r="B241" s="286" t="s">
        <v>727</v>
      </c>
      <c r="C241" s="286" t="s">
        <v>20</v>
      </c>
      <c r="D241" s="286">
        <v>3</v>
      </c>
      <c r="E241" s="286">
        <v>146.81</v>
      </c>
      <c r="F241" s="286">
        <v>440.43</v>
      </c>
      <c r="G241" s="287"/>
      <c r="H241" s="287"/>
    </row>
    <row r="242" spans="1:8" ht="15.75" hidden="1" thickBot="1">
      <c r="A242" s="286" t="s">
        <v>990</v>
      </c>
      <c r="B242" s="286" t="s">
        <v>618</v>
      </c>
      <c r="C242" s="286" t="s">
        <v>20</v>
      </c>
      <c r="D242" s="286">
        <v>4</v>
      </c>
      <c r="E242" s="286">
        <v>96</v>
      </c>
      <c r="F242" s="286">
        <v>384</v>
      </c>
      <c r="G242" s="287"/>
      <c r="H242" s="287"/>
    </row>
    <row r="243" spans="1:8" ht="15.75" hidden="1" thickBot="1">
      <c r="A243" s="286" t="s">
        <v>991</v>
      </c>
      <c r="B243" s="286" t="s">
        <v>727</v>
      </c>
      <c r="C243" s="286" t="s">
        <v>20</v>
      </c>
      <c r="D243" s="286">
        <v>1</v>
      </c>
      <c r="E243" s="286">
        <v>307</v>
      </c>
      <c r="F243" s="286">
        <v>307</v>
      </c>
      <c r="G243" s="287"/>
      <c r="H243" s="287"/>
    </row>
    <row r="244" spans="1:8" ht="15.75" hidden="1" thickBot="1">
      <c r="A244" s="286" t="s">
        <v>992</v>
      </c>
      <c r="B244" s="286" t="s">
        <v>932</v>
      </c>
      <c r="C244" s="286" t="s">
        <v>20</v>
      </c>
      <c r="D244" s="286">
        <v>1</v>
      </c>
      <c r="E244" s="286">
        <v>270</v>
      </c>
      <c r="F244" s="286">
        <v>270</v>
      </c>
      <c r="G244" s="287"/>
      <c r="H244" s="287"/>
    </row>
    <row r="245" spans="1:8" ht="15.75" hidden="1" thickBot="1">
      <c r="A245" s="286" t="s">
        <v>913</v>
      </c>
      <c r="B245" s="286" t="s">
        <v>914</v>
      </c>
      <c r="C245" s="286" t="s">
        <v>20</v>
      </c>
      <c r="D245" s="286">
        <v>0.09</v>
      </c>
      <c r="E245" s="309">
        <v>2803</v>
      </c>
      <c r="F245" s="286">
        <v>252.27</v>
      </c>
      <c r="G245" s="287"/>
      <c r="H245" s="287"/>
    </row>
    <row r="246" spans="1:8" ht="15.75" hidden="1" thickBot="1">
      <c r="A246" s="286" t="s">
        <v>993</v>
      </c>
      <c r="B246" s="286" t="s">
        <v>935</v>
      </c>
      <c r="C246" s="286" t="s">
        <v>20</v>
      </c>
      <c r="D246" s="286">
        <v>3</v>
      </c>
      <c r="E246" s="286">
        <v>84</v>
      </c>
      <c r="F246" s="286">
        <v>252</v>
      </c>
      <c r="G246" s="287"/>
      <c r="H246" s="287"/>
    </row>
    <row r="247" spans="1:8" ht="15.75" hidden="1" thickBot="1">
      <c r="A247" s="286" t="s">
        <v>994</v>
      </c>
      <c r="B247" s="286" t="s">
        <v>935</v>
      </c>
      <c r="C247" s="286" t="s">
        <v>20</v>
      </c>
      <c r="D247" s="286">
        <v>2</v>
      </c>
      <c r="E247" s="286">
        <v>125</v>
      </c>
      <c r="F247" s="286">
        <v>250</v>
      </c>
      <c r="G247" s="287"/>
      <c r="H247" s="287"/>
    </row>
    <row r="248" spans="1:8" ht="15.75" hidden="1" thickBot="1">
      <c r="A248" s="286" t="s">
        <v>995</v>
      </c>
      <c r="B248" s="286" t="s">
        <v>622</v>
      </c>
      <c r="C248" s="286" t="s">
        <v>20</v>
      </c>
      <c r="D248" s="286">
        <v>1</v>
      </c>
      <c r="E248" s="286">
        <v>216.66</v>
      </c>
      <c r="F248" s="286">
        <v>216.66</v>
      </c>
      <c r="G248" s="287"/>
      <c r="H248" s="287"/>
    </row>
    <row r="249" spans="1:8" ht="15.75" hidden="1" thickBot="1">
      <c r="A249" s="286" t="s">
        <v>996</v>
      </c>
      <c r="B249" s="286" t="s">
        <v>988</v>
      </c>
      <c r="C249" s="286" t="s">
        <v>20</v>
      </c>
      <c r="D249" s="286">
        <v>1</v>
      </c>
      <c r="E249" s="286">
        <v>197</v>
      </c>
      <c r="F249" s="286">
        <v>197</v>
      </c>
      <c r="G249" s="287"/>
      <c r="H249" s="287"/>
    </row>
    <row r="250" spans="1:8" ht="15.75" hidden="1" thickBot="1">
      <c r="A250" s="286" t="s">
        <v>917</v>
      </c>
      <c r="B250" s="286" t="s">
        <v>918</v>
      </c>
      <c r="C250" s="286" t="s">
        <v>20</v>
      </c>
      <c r="D250" s="286">
        <v>1</v>
      </c>
      <c r="E250" s="286">
        <v>191.7</v>
      </c>
      <c r="F250" s="286">
        <v>191.7</v>
      </c>
      <c r="G250" s="287"/>
      <c r="H250" s="287"/>
    </row>
    <row r="251" spans="1:8" ht="15.75" hidden="1" thickBot="1">
      <c r="A251" s="286" t="s">
        <v>997</v>
      </c>
      <c r="B251" s="286" t="s">
        <v>929</v>
      </c>
      <c r="C251" s="286" t="s">
        <v>20</v>
      </c>
      <c r="D251" s="286">
        <v>1</v>
      </c>
      <c r="E251" s="286">
        <v>185.83</v>
      </c>
      <c r="F251" s="286">
        <v>185.83</v>
      </c>
      <c r="G251" s="287"/>
      <c r="H251" s="287"/>
    </row>
    <row r="252" spans="1:8" ht="15.75" hidden="1" thickBot="1">
      <c r="A252" s="286" t="s">
        <v>998</v>
      </c>
      <c r="B252" s="286" t="s">
        <v>935</v>
      </c>
      <c r="C252" s="286" t="s">
        <v>20</v>
      </c>
      <c r="D252" s="286">
        <v>2</v>
      </c>
      <c r="E252" s="286">
        <v>83</v>
      </c>
      <c r="F252" s="286">
        <v>166</v>
      </c>
      <c r="G252" s="287"/>
      <c r="H252" s="287"/>
    </row>
    <row r="253" spans="1:8" ht="15.75" hidden="1" thickBot="1">
      <c r="A253" s="286" t="s">
        <v>999</v>
      </c>
      <c r="B253" s="286" t="s">
        <v>935</v>
      </c>
      <c r="C253" s="286" t="s">
        <v>20</v>
      </c>
      <c r="D253" s="286">
        <v>2</v>
      </c>
      <c r="E253" s="286">
        <v>78</v>
      </c>
      <c r="F253" s="286">
        <v>156</v>
      </c>
      <c r="G253" s="287"/>
      <c r="H253" s="287"/>
    </row>
    <row r="254" spans="1:8" ht="15.75" hidden="1" thickBot="1">
      <c r="A254" s="286" t="s">
        <v>1000</v>
      </c>
      <c r="B254" s="286" t="s">
        <v>929</v>
      </c>
      <c r="C254" s="286" t="s">
        <v>20</v>
      </c>
      <c r="D254" s="286">
        <v>1</v>
      </c>
      <c r="E254" s="286">
        <v>145</v>
      </c>
      <c r="F254" s="286">
        <v>145</v>
      </c>
      <c r="G254" s="287"/>
      <c r="H254" s="287"/>
    </row>
    <row r="255" spans="1:8" ht="15.75" hidden="1" thickBot="1">
      <c r="A255" s="286" t="s">
        <v>1001</v>
      </c>
      <c r="B255" s="286" t="s">
        <v>605</v>
      </c>
      <c r="C255" s="286" t="s">
        <v>20</v>
      </c>
      <c r="D255" s="286">
        <v>2</v>
      </c>
      <c r="E255" s="286">
        <v>64</v>
      </c>
      <c r="F255" s="286">
        <v>128</v>
      </c>
      <c r="G255" s="287"/>
      <c r="H255" s="287"/>
    </row>
    <row r="256" spans="1:8" ht="15.75" hidden="1" thickBot="1">
      <c r="A256" s="286" t="s">
        <v>1002</v>
      </c>
      <c r="B256" s="286" t="s">
        <v>929</v>
      </c>
      <c r="C256" s="286" t="s">
        <v>20</v>
      </c>
      <c r="D256" s="286">
        <v>2</v>
      </c>
      <c r="E256" s="286">
        <v>58</v>
      </c>
      <c r="F256" s="286">
        <v>116</v>
      </c>
      <c r="G256" s="287"/>
      <c r="H256" s="287"/>
    </row>
    <row r="257" spans="1:8" ht="15.75" hidden="1" thickBot="1">
      <c r="A257" s="286" t="s">
        <v>1003</v>
      </c>
      <c r="B257" s="286" t="s">
        <v>929</v>
      </c>
      <c r="C257" s="286" t="s">
        <v>20</v>
      </c>
      <c r="D257" s="286">
        <v>1</v>
      </c>
      <c r="E257" s="286">
        <v>98</v>
      </c>
      <c r="F257" s="286">
        <v>98</v>
      </c>
      <c r="G257" s="287"/>
      <c r="H257" s="287"/>
    </row>
    <row r="258" spans="1:8" ht="15.75" hidden="1" thickBot="1">
      <c r="A258" s="286" t="s">
        <v>920</v>
      </c>
      <c r="B258" s="286" t="s">
        <v>921</v>
      </c>
      <c r="C258" s="286" t="s">
        <v>20</v>
      </c>
      <c r="D258" s="286">
        <v>181</v>
      </c>
      <c r="E258" s="286">
        <v>0.26</v>
      </c>
      <c r="F258" s="286">
        <v>47.94</v>
      </c>
      <c r="G258" s="287"/>
      <c r="H258" s="287"/>
    </row>
    <row r="259" spans="1:8" ht="15.75" hidden="1" thickBot="1">
      <c r="A259" s="286" t="s">
        <v>1004</v>
      </c>
      <c r="B259" s="286" t="s">
        <v>929</v>
      </c>
      <c r="C259" s="286" t="s">
        <v>20</v>
      </c>
      <c r="D259" s="286">
        <v>1</v>
      </c>
      <c r="E259" s="286">
        <v>41</v>
      </c>
      <c r="F259" s="286">
        <v>41</v>
      </c>
      <c r="G259" s="287"/>
      <c r="H259" s="287"/>
    </row>
    <row r="260" spans="1:8" ht="15.75" hidden="1" thickBot="1">
      <c r="A260" s="286" t="s">
        <v>1005</v>
      </c>
      <c r="B260" s="286" t="s">
        <v>988</v>
      </c>
      <c r="C260" s="286" t="s">
        <v>20</v>
      </c>
      <c r="D260" s="286">
        <v>1</v>
      </c>
      <c r="E260" s="286">
        <v>40</v>
      </c>
      <c r="F260" s="286">
        <v>40</v>
      </c>
      <c r="G260" s="287"/>
      <c r="H260" s="287"/>
    </row>
    <row r="261" spans="1:8" ht="15.75" hidden="1" thickBot="1">
      <c r="A261" s="281" t="s">
        <v>942</v>
      </c>
      <c r="B261" s="281"/>
      <c r="C261" s="286"/>
      <c r="D261" s="286"/>
      <c r="E261" s="286"/>
      <c r="F261" s="310">
        <v>45351.040000000001</v>
      </c>
      <c r="G261" s="287"/>
      <c r="H261" s="287"/>
    </row>
    <row r="262" spans="1:8" hidden="1">
      <c r="G262" s="287"/>
      <c r="H262" s="287"/>
    </row>
    <row r="263" spans="1:8">
      <c r="G263" s="287"/>
      <c r="H263" s="287"/>
    </row>
    <row r="264" spans="1:8">
      <c r="G264" s="287"/>
      <c r="H264" s="287"/>
    </row>
    <row r="265" spans="1:8">
      <c r="G265" s="287"/>
      <c r="H265" s="287"/>
    </row>
    <row r="266" spans="1:8">
      <c r="G266" s="287"/>
      <c r="H266" s="287"/>
    </row>
    <row r="267" spans="1:8">
      <c r="G267" s="287"/>
      <c r="H267" s="287"/>
    </row>
    <row r="268" spans="1:8">
      <c r="G268" s="287"/>
      <c r="H268" s="287"/>
    </row>
    <row r="269" spans="1:8">
      <c r="G269" s="287"/>
      <c r="H269" s="287"/>
    </row>
    <row r="270" spans="1:8">
      <c r="G270" s="287"/>
      <c r="H270" s="287"/>
    </row>
    <row r="271" spans="1:8">
      <c r="G271" s="287"/>
      <c r="H271" s="287"/>
    </row>
    <row r="272" spans="1:8">
      <c r="G272" s="287"/>
      <c r="H272" s="287"/>
    </row>
    <row r="273" spans="1:8">
      <c r="G273" s="287"/>
      <c r="H273" s="287"/>
    </row>
    <row r="274" spans="1:8">
      <c r="G274" s="287"/>
      <c r="H274" s="287"/>
    </row>
    <row r="275" spans="1:8">
      <c r="G275" s="287"/>
      <c r="H275" s="287"/>
    </row>
    <row r="276" spans="1:8">
      <c r="G276" s="287"/>
      <c r="H276" s="287"/>
    </row>
    <row r="277" spans="1:8">
      <c r="G277" s="287"/>
      <c r="H277" s="287"/>
    </row>
    <row r="278" spans="1:8">
      <c r="G278" s="287"/>
      <c r="H278" s="287"/>
    </row>
    <row r="279" spans="1:8">
      <c r="G279" s="287"/>
      <c r="H279" s="287"/>
    </row>
    <row r="280" spans="1:8">
      <c r="G280" s="287"/>
      <c r="H280" s="287"/>
    </row>
    <row r="281" spans="1:8">
      <c r="G281" s="287"/>
      <c r="H281" s="287"/>
    </row>
    <row r="282" spans="1:8">
      <c r="A282" s="288"/>
      <c r="B282" s="288"/>
      <c r="C282" s="289"/>
      <c r="D282" s="289"/>
      <c r="E282" s="313"/>
      <c r="F282" s="314"/>
      <c r="G282" s="292"/>
      <c r="H282" s="292"/>
    </row>
    <row r="283" spans="1:8">
      <c r="A283" s="288"/>
      <c r="B283" s="288"/>
      <c r="C283" s="289"/>
      <c r="D283" s="289"/>
      <c r="E283" s="313"/>
      <c r="F283" s="314"/>
      <c r="G283" s="292"/>
      <c r="H283" s="292"/>
    </row>
  </sheetData>
  <mergeCells count="18">
    <mergeCell ref="A70:E70"/>
    <mergeCell ref="A1:F1"/>
    <mergeCell ref="A2:F2"/>
    <mergeCell ref="A5:F5"/>
    <mergeCell ref="A47:E47"/>
    <mergeCell ref="A48:F48"/>
    <mergeCell ref="A198:F198"/>
    <mergeCell ref="A71:F71"/>
    <mergeCell ref="A84:E84"/>
    <mergeCell ref="A85:F85"/>
    <mergeCell ref="A91:E91"/>
    <mergeCell ref="A92:F92"/>
    <mergeCell ref="A128:E128"/>
    <mergeCell ref="A129:F129"/>
    <mergeCell ref="A166:E166"/>
    <mergeCell ref="A167:F167"/>
    <mergeCell ref="A188:E188"/>
    <mergeCell ref="A189:E189"/>
  </mergeCells>
  <hyperlinks>
    <hyperlink ref="A1:F1" location="СВОД!A1" display="СВ" xr:uid="{E4D89C96-BD80-445E-B666-42FB6601E916}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56B6-13D5-4E02-B88D-E39A903F75F9}">
  <sheetPr>
    <outlinePr summaryBelow="0" summaryRight="0"/>
    <pageSetUpPr autoPageBreaks="0"/>
  </sheetPr>
  <dimension ref="A1:J2479"/>
  <sheetViews>
    <sheetView zoomScale="85" zoomScaleNormal="85" workbookViewId="0">
      <pane xSplit="2" ySplit="2" topLeftCell="C371" activePane="bottomRight" state="frozen"/>
      <selection activeCell="H8" sqref="H8"/>
      <selection pane="topRight" activeCell="H8" sqref="H8"/>
      <selection pane="bottomLeft" activeCell="H8" sqref="H8"/>
      <selection pane="bottomRight" activeCell="C391" sqref="C391"/>
    </sheetView>
  </sheetViews>
  <sheetFormatPr defaultColWidth="9" defaultRowHeight="11.45" customHeight="1" outlineLevelRow="1"/>
  <cols>
    <col min="1" max="1" width="9.5703125" style="324" bestFit="1" customWidth="1"/>
    <col min="2" max="2" width="14.5703125" style="324" customWidth="1"/>
    <col min="3" max="3" width="45.7109375" style="324" customWidth="1"/>
    <col min="4" max="4" width="9" style="324" hidden="1" customWidth="1"/>
    <col min="5" max="6" width="12.7109375" style="324" hidden="1" customWidth="1"/>
    <col min="7" max="7" width="26" style="324" hidden="1" customWidth="1"/>
    <col min="8" max="8" width="29.7109375" style="324" customWidth="1"/>
    <col min="9" max="9" width="33.28515625" style="324" customWidth="1"/>
    <col min="10" max="10" width="19.7109375" style="319" bestFit="1" customWidth="1"/>
    <col min="11" max="16384" width="9" style="319"/>
  </cols>
  <sheetData>
    <row r="1" spans="1:10" ht="12.95" customHeight="1">
      <c r="A1" s="317" t="s">
        <v>1057</v>
      </c>
      <c r="B1" s="317"/>
      <c r="C1" s="317"/>
      <c r="D1" s="317"/>
      <c r="E1" s="317" t="s">
        <v>49</v>
      </c>
      <c r="F1" s="317" t="s">
        <v>1058</v>
      </c>
      <c r="G1" s="317" t="s">
        <v>1059</v>
      </c>
      <c r="H1" s="317"/>
      <c r="I1" s="318"/>
    </row>
    <row r="2" spans="1:10" ht="26.1" customHeight="1">
      <c r="A2" s="317" t="s">
        <v>1060</v>
      </c>
      <c r="B2" s="317" t="s">
        <v>1061</v>
      </c>
      <c r="C2" s="317" t="s">
        <v>1062</v>
      </c>
      <c r="D2" s="317" t="s">
        <v>1063</v>
      </c>
      <c r="E2" s="317"/>
      <c r="F2" s="317"/>
      <c r="G2" s="317"/>
      <c r="H2" s="317" t="s">
        <v>1064</v>
      </c>
      <c r="I2" s="318" t="s">
        <v>1065</v>
      </c>
    </row>
    <row r="3" spans="1:10" ht="11.1" customHeight="1">
      <c r="A3" s="320" t="s">
        <v>1066</v>
      </c>
      <c r="B3" s="320"/>
      <c r="C3" s="320"/>
      <c r="D3" s="320"/>
      <c r="E3" s="321">
        <v>148.392</v>
      </c>
      <c r="F3" s="322">
        <v>306596.46999999997</v>
      </c>
      <c r="G3" s="323"/>
      <c r="H3" s="323"/>
    </row>
    <row r="4" spans="1:10" ht="11.1" customHeight="1" outlineLevel="1">
      <c r="A4" s="325" t="s">
        <v>1067</v>
      </c>
      <c r="B4" s="325" t="s">
        <v>1068</v>
      </c>
      <c r="C4" s="325" t="s">
        <v>1069</v>
      </c>
      <c r="D4" s="325" t="s">
        <v>20</v>
      </c>
      <c r="E4" s="326">
        <v>2</v>
      </c>
      <c r="F4" s="327">
        <v>25520</v>
      </c>
      <c r="G4" s="328"/>
      <c r="H4" s="174" t="s">
        <v>1054</v>
      </c>
      <c r="I4" s="324" t="s">
        <v>1070</v>
      </c>
    </row>
    <row r="5" spans="1:10" ht="11.1" customHeight="1" outlineLevel="1">
      <c r="A5" s="325" t="s">
        <v>1067</v>
      </c>
      <c r="B5" s="325" t="s">
        <v>1071</v>
      </c>
      <c r="C5" s="325" t="s">
        <v>1072</v>
      </c>
      <c r="D5" s="325" t="s">
        <v>20</v>
      </c>
      <c r="E5" s="326">
        <v>2</v>
      </c>
      <c r="F5" s="327">
        <v>14866.6</v>
      </c>
      <c r="G5" s="328"/>
      <c r="H5" s="160" t="s">
        <v>568</v>
      </c>
      <c r="I5" s="324" t="s">
        <v>1073</v>
      </c>
    </row>
    <row r="6" spans="1:10" ht="11.1" customHeight="1" outlineLevel="1">
      <c r="A6" s="325" t="s">
        <v>1067</v>
      </c>
      <c r="B6" s="325" t="s">
        <v>1074</v>
      </c>
      <c r="C6" s="325" t="s">
        <v>1075</v>
      </c>
      <c r="D6" s="325" t="s">
        <v>20</v>
      </c>
      <c r="E6" s="326">
        <v>4</v>
      </c>
      <c r="F6" s="327">
        <v>29733.4</v>
      </c>
      <c r="G6" s="328"/>
      <c r="H6" s="160" t="s">
        <v>568</v>
      </c>
      <c r="I6" s="324" t="s">
        <v>1073</v>
      </c>
    </row>
    <row r="7" spans="1:10" ht="11.1" customHeight="1" outlineLevel="1">
      <c r="A7" s="325" t="s">
        <v>1067</v>
      </c>
      <c r="B7" s="325" t="s">
        <v>1076</v>
      </c>
      <c r="C7" s="325" t="s">
        <v>1077</v>
      </c>
      <c r="D7" s="325" t="s">
        <v>20</v>
      </c>
      <c r="E7" s="326">
        <v>2</v>
      </c>
      <c r="F7" s="327">
        <v>1308</v>
      </c>
      <c r="G7" s="328"/>
      <c r="H7" s="174" t="s">
        <v>842</v>
      </c>
      <c r="I7" s="329" t="s">
        <v>425</v>
      </c>
    </row>
    <row r="8" spans="1:10" ht="11.1" customHeight="1" outlineLevel="1">
      <c r="A8" s="325" t="s">
        <v>1067</v>
      </c>
      <c r="B8" s="325" t="s">
        <v>1078</v>
      </c>
      <c r="C8" s="325" t="s">
        <v>1079</v>
      </c>
      <c r="D8" s="325" t="s">
        <v>20</v>
      </c>
      <c r="E8" s="326">
        <v>2</v>
      </c>
      <c r="F8" s="327">
        <v>1374</v>
      </c>
      <c r="G8" s="328"/>
      <c r="H8" s="325" t="s">
        <v>1080</v>
      </c>
      <c r="I8" s="329" t="s">
        <v>425</v>
      </c>
    </row>
    <row r="9" spans="1:10" ht="11.1" customHeight="1" outlineLevel="1">
      <c r="A9" s="325" t="s">
        <v>1067</v>
      </c>
      <c r="B9" s="325" t="s">
        <v>1081</v>
      </c>
      <c r="C9" s="325" t="s">
        <v>1082</v>
      </c>
      <c r="D9" s="325" t="s">
        <v>20</v>
      </c>
      <c r="E9" s="326">
        <v>2</v>
      </c>
      <c r="F9" s="327">
        <v>8653.33</v>
      </c>
      <c r="G9" s="328"/>
      <c r="H9" s="160" t="s">
        <v>1083</v>
      </c>
      <c r="I9" s="324" t="s">
        <v>1070</v>
      </c>
    </row>
    <row r="10" spans="1:10" ht="11.1" customHeight="1" outlineLevel="1">
      <c r="A10" s="325" t="s">
        <v>1067</v>
      </c>
      <c r="B10" s="325" t="s">
        <v>1084</v>
      </c>
      <c r="C10" s="325" t="s">
        <v>1085</v>
      </c>
      <c r="D10" s="325" t="s">
        <v>14</v>
      </c>
      <c r="E10" s="326">
        <v>50</v>
      </c>
      <c r="F10" s="327">
        <v>7291.5</v>
      </c>
      <c r="G10" s="328"/>
      <c r="H10" s="328" t="s">
        <v>1086</v>
      </c>
      <c r="I10" s="330" t="s">
        <v>1087</v>
      </c>
    </row>
    <row r="11" spans="1:10" ht="11.1" customHeight="1" outlineLevel="1">
      <c r="A11" s="325" t="s">
        <v>1067</v>
      </c>
      <c r="B11" s="325" t="s">
        <v>1088</v>
      </c>
      <c r="C11" s="325" t="s">
        <v>1089</v>
      </c>
      <c r="D11" s="325" t="s">
        <v>20</v>
      </c>
      <c r="E11" s="326">
        <v>2</v>
      </c>
      <c r="F11" s="331">
        <v>445</v>
      </c>
      <c r="G11" s="328"/>
      <c r="H11" s="325" t="s">
        <v>1089</v>
      </c>
      <c r="I11" s="329" t="s">
        <v>425</v>
      </c>
      <c r="J11" s="332"/>
    </row>
    <row r="12" spans="1:10" ht="11.1" customHeight="1" outlineLevel="1">
      <c r="A12" s="325" t="s">
        <v>1067</v>
      </c>
      <c r="B12" s="325" t="s">
        <v>1090</v>
      </c>
      <c r="C12" s="325" t="s">
        <v>1091</v>
      </c>
      <c r="D12" s="325" t="s">
        <v>20</v>
      </c>
      <c r="E12" s="326">
        <v>4</v>
      </c>
      <c r="F12" s="327">
        <v>4623.33</v>
      </c>
      <c r="G12" s="328"/>
      <c r="H12" s="174" t="s">
        <v>1091</v>
      </c>
      <c r="I12" s="329" t="s">
        <v>425</v>
      </c>
      <c r="J12" s="333"/>
    </row>
    <row r="13" spans="1:10" ht="11.1" customHeight="1" outlineLevel="1">
      <c r="A13" s="325" t="s">
        <v>1067</v>
      </c>
      <c r="B13" s="325" t="s">
        <v>1092</v>
      </c>
      <c r="C13" s="325" t="s">
        <v>1093</v>
      </c>
      <c r="D13" s="325" t="s">
        <v>20</v>
      </c>
      <c r="E13" s="326">
        <v>4</v>
      </c>
      <c r="F13" s="327">
        <v>2776.67</v>
      </c>
      <c r="G13" s="328"/>
      <c r="H13" s="174" t="s">
        <v>1094</v>
      </c>
      <c r="I13" s="329" t="s">
        <v>425</v>
      </c>
      <c r="J13" s="333"/>
    </row>
    <row r="14" spans="1:10" ht="11.1" customHeight="1" outlineLevel="1">
      <c r="A14" s="325" t="s">
        <v>1067</v>
      </c>
      <c r="B14" s="325" t="s">
        <v>1095</v>
      </c>
      <c r="C14" s="325" t="s">
        <v>1096</v>
      </c>
      <c r="D14" s="325" t="s">
        <v>517</v>
      </c>
      <c r="E14" s="326">
        <v>2.02</v>
      </c>
      <c r="F14" s="327">
        <v>84587.5</v>
      </c>
      <c r="G14" s="328"/>
      <c r="H14" s="160" t="s">
        <v>1029</v>
      </c>
      <c r="I14" s="330" t="s">
        <v>1087</v>
      </c>
      <c r="J14" s="333"/>
    </row>
    <row r="15" spans="1:10" ht="11.1" customHeight="1" outlineLevel="1">
      <c r="A15" s="325" t="s">
        <v>1067</v>
      </c>
      <c r="B15" s="325" t="s">
        <v>1097</v>
      </c>
      <c r="C15" s="325" t="s">
        <v>1098</v>
      </c>
      <c r="D15" s="325" t="s">
        <v>517</v>
      </c>
      <c r="E15" s="326">
        <v>5.5E-2</v>
      </c>
      <c r="F15" s="327">
        <v>1588.25</v>
      </c>
      <c r="G15" s="328"/>
      <c r="H15" s="160" t="s">
        <v>1029</v>
      </c>
      <c r="I15" s="330" t="s">
        <v>1087</v>
      </c>
      <c r="J15" s="333"/>
    </row>
    <row r="16" spans="1:10" ht="11.1" customHeight="1" outlineLevel="1">
      <c r="A16" s="325" t="s">
        <v>1067</v>
      </c>
      <c r="B16" s="325" t="s">
        <v>1099</v>
      </c>
      <c r="C16" s="325" t="s">
        <v>1100</v>
      </c>
      <c r="D16" s="325" t="s">
        <v>1101</v>
      </c>
      <c r="E16" s="326">
        <v>4</v>
      </c>
      <c r="F16" s="327">
        <v>2663.33</v>
      </c>
      <c r="G16" s="328"/>
      <c r="H16" s="328" t="s">
        <v>1102</v>
      </c>
      <c r="I16" s="329" t="s">
        <v>425</v>
      </c>
    </row>
    <row r="17" spans="1:9" ht="11.1" customHeight="1" outlineLevel="1">
      <c r="A17" s="325" t="s">
        <v>1067</v>
      </c>
      <c r="B17" s="325" t="s">
        <v>1103</v>
      </c>
      <c r="C17" s="325" t="s">
        <v>1104</v>
      </c>
      <c r="D17" s="325" t="s">
        <v>12</v>
      </c>
      <c r="E17" s="326">
        <v>33.603000000000002</v>
      </c>
      <c r="F17" s="327">
        <v>6244.56</v>
      </c>
      <c r="G17" s="328"/>
      <c r="H17" s="160" t="s">
        <v>546</v>
      </c>
      <c r="I17" s="330" t="s">
        <v>1105</v>
      </c>
    </row>
    <row r="18" spans="1:9" ht="11.1" customHeight="1" outlineLevel="1">
      <c r="A18" s="325" t="s">
        <v>1067</v>
      </c>
      <c r="B18" s="325" t="s">
        <v>1106</v>
      </c>
      <c r="C18" s="325" t="s">
        <v>1107</v>
      </c>
      <c r="D18" s="325" t="s">
        <v>12</v>
      </c>
      <c r="E18" s="326">
        <v>17.459</v>
      </c>
      <c r="F18" s="327">
        <v>3157.17</v>
      </c>
      <c r="G18" s="328"/>
      <c r="H18" s="160" t="s">
        <v>546</v>
      </c>
      <c r="I18" s="330" t="s">
        <v>1105</v>
      </c>
    </row>
    <row r="19" spans="1:9" ht="11.1" customHeight="1" outlineLevel="1">
      <c r="A19" s="325" t="s">
        <v>1067</v>
      </c>
      <c r="B19" s="325" t="s">
        <v>1108</v>
      </c>
      <c r="C19" s="325" t="s">
        <v>1109</v>
      </c>
      <c r="D19" s="325" t="s">
        <v>261</v>
      </c>
      <c r="E19" s="326">
        <v>10</v>
      </c>
      <c r="F19" s="331">
        <v>855</v>
      </c>
      <c r="G19" s="328"/>
      <c r="H19" s="160" t="s">
        <v>203</v>
      </c>
      <c r="I19" s="330" t="s">
        <v>1087</v>
      </c>
    </row>
    <row r="20" spans="1:9" ht="11.1" customHeight="1" outlineLevel="1">
      <c r="A20" s="325" t="s">
        <v>1067</v>
      </c>
      <c r="B20" s="325" t="s">
        <v>1110</v>
      </c>
      <c r="C20" s="325" t="s">
        <v>1111</v>
      </c>
      <c r="D20" s="325" t="s">
        <v>20</v>
      </c>
      <c r="E20" s="326">
        <v>4</v>
      </c>
      <c r="F20" s="327">
        <v>53330</v>
      </c>
      <c r="G20" s="328"/>
      <c r="H20" s="328" t="s">
        <v>1112</v>
      </c>
      <c r="I20" s="329" t="s">
        <v>425</v>
      </c>
    </row>
    <row r="21" spans="1:9" ht="11.1" customHeight="1" outlineLevel="1">
      <c r="A21" s="325" t="s">
        <v>1067</v>
      </c>
      <c r="B21" s="325" t="s">
        <v>1113</v>
      </c>
      <c r="C21" s="325" t="s">
        <v>1114</v>
      </c>
      <c r="D21" s="325" t="s">
        <v>1115</v>
      </c>
      <c r="E21" s="326">
        <v>0.08</v>
      </c>
      <c r="F21" s="327">
        <v>2581</v>
      </c>
      <c r="G21" s="328"/>
      <c r="H21" s="160" t="s">
        <v>535</v>
      </c>
      <c r="I21" s="330" t="s">
        <v>1087</v>
      </c>
    </row>
    <row r="22" spans="1:9" ht="11.1" customHeight="1" outlineLevel="1">
      <c r="A22" s="325" t="s">
        <v>1067</v>
      </c>
      <c r="B22" s="325" t="s">
        <v>1116</v>
      </c>
      <c r="C22" s="325" t="s">
        <v>1117</v>
      </c>
      <c r="D22" s="325" t="s">
        <v>517</v>
      </c>
      <c r="E22" s="326">
        <v>0.49</v>
      </c>
      <c r="F22" s="327">
        <v>16374.17</v>
      </c>
      <c r="G22" s="328"/>
      <c r="H22" s="160" t="s">
        <v>535</v>
      </c>
      <c r="I22" s="330" t="s">
        <v>1087</v>
      </c>
    </row>
    <row r="23" spans="1:9" ht="11.1" customHeight="1" outlineLevel="1">
      <c r="A23" s="325" t="s">
        <v>1067</v>
      </c>
      <c r="B23" s="325" t="s">
        <v>1118</v>
      </c>
      <c r="C23" s="325" t="s">
        <v>1119</v>
      </c>
      <c r="D23" s="325" t="s">
        <v>517</v>
      </c>
      <c r="E23" s="326">
        <v>0.1</v>
      </c>
      <c r="F23" s="327">
        <v>3226.25</v>
      </c>
      <c r="G23" s="328"/>
      <c r="H23" s="160" t="s">
        <v>535</v>
      </c>
      <c r="I23" s="330" t="s">
        <v>1087</v>
      </c>
    </row>
    <row r="24" spans="1:9" ht="11.1" customHeight="1" outlineLevel="1">
      <c r="A24" s="325" t="s">
        <v>1067</v>
      </c>
      <c r="B24" s="325" t="s">
        <v>1120</v>
      </c>
      <c r="C24" s="325" t="s">
        <v>1121</v>
      </c>
      <c r="D24" s="325" t="s">
        <v>1115</v>
      </c>
      <c r="E24" s="326">
        <v>0.08</v>
      </c>
      <c r="F24" s="327">
        <v>2581</v>
      </c>
      <c r="G24" s="328"/>
      <c r="H24" s="160" t="s">
        <v>535</v>
      </c>
      <c r="I24" s="330" t="s">
        <v>1087</v>
      </c>
    </row>
    <row r="25" spans="1:9" ht="11.1" customHeight="1" outlineLevel="1">
      <c r="A25" s="325" t="s">
        <v>1067</v>
      </c>
      <c r="B25" s="325" t="s">
        <v>1122</v>
      </c>
      <c r="C25" s="325" t="s">
        <v>1123</v>
      </c>
      <c r="D25" s="325" t="s">
        <v>20</v>
      </c>
      <c r="E25" s="326">
        <v>2</v>
      </c>
      <c r="F25" s="327">
        <v>16926</v>
      </c>
      <c r="G25" s="328"/>
      <c r="H25" s="174" t="s">
        <v>562</v>
      </c>
      <c r="I25" s="329" t="s">
        <v>425</v>
      </c>
    </row>
    <row r="26" spans="1:9" ht="11.1" customHeight="1" outlineLevel="1">
      <c r="A26" s="325" t="s">
        <v>1067</v>
      </c>
      <c r="B26" s="325" t="s">
        <v>1124</v>
      </c>
      <c r="C26" s="325" t="s">
        <v>1125</v>
      </c>
      <c r="D26" s="325" t="s">
        <v>1115</v>
      </c>
      <c r="E26" s="326">
        <v>0.24</v>
      </c>
      <c r="F26" s="327">
        <v>7551.88</v>
      </c>
      <c r="G26" s="328"/>
      <c r="H26" s="328" t="s">
        <v>1126</v>
      </c>
      <c r="I26" s="330" t="s">
        <v>1087</v>
      </c>
    </row>
    <row r="27" spans="1:9" ht="11.1" customHeight="1" outlineLevel="1">
      <c r="A27" s="325" t="s">
        <v>1067</v>
      </c>
      <c r="B27" s="325" t="s">
        <v>1127</v>
      </c>
      <c r="C27" s="325" t="s">
        <v>1128</v>
      </c>
      <c r="D27" s="325" t="s">
        <v>1115</v>
      </c>
      <c r="E27" s="326">
        <v>0.26500000000000001</v>
      </c>
      <c r="F27" s="327">
        <v>8338.5300000000007</v>
      </c>
      <c r="G27" s="328"/>
      <c r="H27" s="328" t="s">
        <v>1126</v>
      </c>
      <c r="I27" s="330" t="s">
        <v>1087</v>
      </c>
    </row>
    <row r="28" spans="1:9" ht="11.1" customHeight="1">
      <c r="A28" s="320" t="s">
        <v>1129</v>
      </c>
      <c r="B28" s="320"/>
      <c r="C28" s="320"/>
      <c r="D28" s="320"/>
      <c r="E28" s="321">
        <v>269.91699999999997</v>
      </c>
      <c r="F28" s="322">
        <v>54236.46</v>
      </c>
      <c r="G28" s="323"/>
      <c r="H28" s="323"/>
    </row>
    <row r="29" spans="1:9" ht="11.1" customHeight="1" outlineLevel="1">
      <c r="A29" s="325" t="s">
        <v>1130</v>
      </c>
      <c r="B29" s="325" t="s">
        <v>1131</v>
      </c>
      <c r="C29" s="325" t="s">
        <v>1132</v>
      </c>
      <c r="D29" s="325" t="s">
        <v>261</v>
      </c>
      <c r="E29" s="326">
        <v>14.2</v>
      </c>
      <c r="F29" s="331">
        <v>780.72</v>
      </c>
      <c r="G29" s="328"/>
      <c r="H29" s="328"/>
    </row>
    <row r="30" spans="1:9" ht="11.1" customHeight="1" outlineLevel="1">
      <c r="A30" s="325" t="s">
        <v>1133</v>
      </c>
      <c r="B30" s="325" t="s">
        <v>1134</v>
      </c>
      <c r="C30" s="325" t="s">
        <v>1135</v>
      </c>
      <c r="D30" s="325" t="s">
        <v>20</v>
      </c>
      <c r="E30" s="326">
        <v>1</v>
      </c>
      <c r="F30" s="331">
        <v>416</v>
      </c>
      <c r="G30" s="328"/>
      <c r="H30" s="328" t="s">
        <v>1136</v>
      </c>
      <c r="I30" s="330" t="s">
        <v>205</v>
      </c>
    </row>
    <row r="31" spans="1:9" ht="11.1" customHeight="1" outlineLevel="1">
      <c r="A31" s="325" t="s">
        <v>1133</v>
      </c>
      <c r="B31" s="325" t="s">
        <v>1137</v>
      </c>
      <c r="C31" s="325" t="s">
        <v>1138</v>
      </c>
      <c r="D31" s="325" t="s">
        <v>20</v>
      </c>
      <c r="E31" s="326">
        <v>2</v>
      </c>
      <c r="F31" s="331">
        <v>138</v>
      </c>
      <c r="G31" s="328"/>
      <c r="H31" s="328" t="s">
        <v>1086</v>
      </c>
      <c r="I31" s="330" t="s">
        <v>205</v>
      </c>
    </row>
    <row r="32" spans="1:9" ht="11.1" customHeight="1" outlineLevel="1">
      <c r="A32" s="325" t="s">
        <v>1133</v>
      </c>
      <c r="B32" s="325" t="s">
        <v>1139</v>
      </c>
      <c r="C32" s="325" t="s">
        <v>1140</v>
      </c>
      <c r="D32" s="325" t="s">
        <v>20</v>
      </c>
      <c r="E32" s="326">
        <v>1</v>
      </c>
      <c r="F32" s="331">
        <v>118</v>
      </c>
      <c r="G32" s="328"/>
      <c r="H32" s="328" t="s">
        <v>1086</v>
      </c>
      <c r="I32" s="330" t="s">
        <v>1087</v>
      </c>
    </row>
    <row r="33" spans="1:9" ht="11.1" customHeight="1" outlineLevel="1">
      <c r="A33" s="325" t="s">
        <v>1133</v>
      </c>
      <c r="B33" s="325" t="s">
        <v>1141</v>
      </c>
      <c r="C33" s="325" t="s">
        <v>1142</v>
      </c>
      <c r="D33" s="325" t="s">
        <v>20</v>
      </c>
      <c r="E33" s="326">
        <v>1</v>
      </c>
      <c r="F33" s="331">
        <v>435</v>
      </c>
      <c r="G33" s="328"/>
      <c r="H33" s="328" t="s">
        <v>1086</v>
      </c>
      <c r="I33" s="330" t="s">
        <v>1087</v>
      </c>
    </row>
    <row r="34" spans="1:9" ht="11.1" customHeight="1" outlineLevel="1">
      <c r="A34" s="325" t="s">
        <v>1133</v>
      </c>
      <c r="B34" s="325" t="s">
        <v>1143</v>
      </c>
      <c r="C34" s="325" t="s">
        <v>1144</v>
      </c>
      <c r="D34" s="325" t="s">
        <v>20</v>
      </c>
      <c r="E34" s="326">
        <v>3</v>
      </c>
      <c r="F34" s="331">
        <v>144.36000000000001</v>
      </c>
      <c r="G34" s="328"/>
      <c r="H34" s="160" t="s">
        <v>1145</v>
      </c>
      <c r="I34" s="324" t="s">
        <v>1070</v>
      </c>
    </row>
    <row r="35" spans="1:9" ht="11.1" customHeight="1" outlineLevel="1">
      <c r="A35" s="325" t="s">
        <v>1133</v>
      </c>
      <c r="B35" s="325" t="s">
        <v>1146</v>
      </c>
      <c r="C35" s="325" t="s">
        <v>730</v>
      </c>
      <c r="D35" s="325" t="s">
        <v>20</v>
      </c>
      <c r="E35" s="326">
        <v>2</v>
      </c>
      <c r="F35" s="331">
        <v>386</v>
      </c>
      <c r="G35" s="328"/>
      <c r="H35" s="328" t="s">
        <v>1147</v>
      </c>
      <c r="I35" s="324" t="s">
        <v>21</v>
      </c>
    </row>
    <row r="36" spans="1:9" ht="11.1" customHeight="1" outlineLevel="1">
      <c r="A36" s="325" t="s">
        <v>1133</v>
      </c>
      <c r="B36" s="325" t="s">
        <v>1148</v>
      </c>
      <c r="C36" s="325" t="s">
        <v>1149</v>
      </c>
      <c r="D36" s="325" t="s">
        <v>886</v>
      </c>
      <c r="E36" s="326">
        <v>0.02</v>
      </c>
      <c r="F36" s="327">
        <v>1855.92</v>
      </c>
      <c r="G36" s="328"/>
      <c r="H36" s="328" t="s">
        <v>1147</v>
      </c>
      <c r="I36" s="324" t="s">
        <v>21</v>
      </c>
    </row>
    <row r="37" spans="1:9" ht="11.1" customHeight="1" outlineLevel="1">
      <c r="A37" s="325" t="s">
        <v>1133</v>
      </c>
      <c r="B37" s="325" t="s">
        <v>1150</v>
      </c>
      <c r="C37" s="325" t="s">
        <v>1151</v>
      </c>
      <c r="D37" s="325" t="s">
        <v>886</v>
      </c>
      <c r="E37" s="326">
        <v>1.2E-2</v>
      </c>
      <c r="F37" s="327">
        <v>3406.03</v>
      </c>
      <c r="G37" s="328"/>
      <c r="H37" s="328" t="s">
        <v>1147</v>
      </c>
      <c r="I37" s="324" t="s">
        <v>21</v>
      </c>
    </row>
    <row r="38" spans="1:9" ht="11.1" customHeight="1" outlineLevel="1">
      <c r="A38" s="325" t="s">
        <v>1152</v>
      </c>
      <c r="B38" s="325" t="s">
        <v>1153</v>
      </c>
      <c r="C38" s="325" t="s">
        <v>1154</v>
      </c>
      <c r="D38" s="325" t="s">
        <v>20</v>
      </c>
      <c r="E38" s="326">
        <v>4</v>
      </c>
      <c r="F38" s="327">
        <v>2024</v>
      </c>
      <c r="G38" s="328"/>
      <c r="H38" s="328" t="s">
        <v>1147</v>
      </c>
      <c r="I38" s="324" t="s">
        <v>21</v>
      </c>
    </row>
    <row r="39" spans="1:9" ht="11.1" customHeight="1" outlineLevel="1">
      <c r="A39" s="325" t="s">
        <v>1152</v>
      </c>
      <c r="B39" s="325" t="s">
        <v>1155</v>
      </c>
      <c r="C39" s="325" t="s">
        <v>1156</v>
      </c>
      <c r="D39" s="325" t="s">
        <v>20</v>
      </c>
      <c r="E39" s="326">
        <v>5</v>
      </c>
      <c r="F39" s="331">
        <v>808.35</v>
      </c>
      <c r="G39" s="328"/>
      <c r="H39" s="328" t="s">
        <v>1147</v>
      </c>
      <c r="I39" s="324" t="s">
        <v>21</v>
      </c>
    </row>
    <row r="40" spans="1:9" ht="11.1" customHeight="1" outlineLevel="1">
      <c r="A40" s="325" t="s">
        <v>1152</v>
      </c>
      <c r="B40" s="325" t="s">
        <v>1157</v>
      </c>
      <c r="C40" s="325" t="s">
        <v>1158</v>
      </c>
      <c r="D40" s="325" t="s">
        <v>20</v>
      </c>
      <c r="E40" s="326">
        <v>21</v>
      </c>
      <c r="F40" s="331">
        <v>384.3</v>
      </c>
      <c r="G40" s="328"/>
      <c r="H40" s="160" t="s">
        <v>1159</v>
      </c>
      <c r="I40" s="324" t="s">
        <v>21</v>
      </c>
    </row>
    <row r="41" spans="1:9" ht="11.1" customHeight="1" outlineLevel="1">
      <c r="A41" s="325" t="s">
        <v>1152</v>
      </c>
      <c r="B41" s="325" t="s">
        <v>1157</v>
      </c>
      <c r="C41" s="325" t="s">
        <v>1158</v>
      </c>
      <c r="D41" s="325" t="s">
        <v>20</v>
      </c>
      <c r="E41" s="326">
        <v>4</v>
      </c>
      <c r="F41" s="331">
        <v>730.4</v>
      </c>
      <c r="G41" s="328"/>
      <c r="H41" s="160" t="s">
        <v>1159</v>
      </c>
      <c r="I41" s="324" t="s">
        <v>21</v>
      </c>
    </row>
    <row r="42" spans="1:9" ht="11.1" customHeight="1" outlineLevel="1">
      <c r="A42" s="325" t="s">
        <v>1152</v>
      </c>
      <c r="B42" s="325" t="s">
        <v>1157</v>
      </c>
      <c r="C42" s="325" t="s">
        <v>1158</v>
      </c>
      <c r="D42" s="325" t="s">
        <v>20</v>
      </c>
      <c r="E42" s="326">
        <v>25</v>
      </c>
      <c r="F42" s="331">
        <v>437.5</v>
      </c>
      <c r="G42" s="328"/>
      <c r="H42" s="160" t="s">
        <v>1159</v>
      </c>
      <c r="I42" s="324" t="s">
        <v>21</v>
      </c>
    </row>
    <row r="43" spans="1:9" ht="11.1" customHeight="1" outlineLevel="1">
      <c r="A43" s="325" t="s">
        <v>1133</v>
      </c>
      <c r="B43" s="325" t="s">
        <v>1160</v>
      </c>
      <c r="C43" s="325" t="s">
        <v>1161</v>
      </c>
      <c r="D43" s="325" t="s">
        <v>1115</v>
      </c>
      <c r="E43" s="326">
        <v>0.29699999999999999</v>
      </c>
      <c r="F43" s="327">
        <v>8637.75</v>
      </c>
      <c r="G43" s="328"/>
      <c r="H43" s="328" t="s">
        <v>1162</v>
      </c>
      <c r="I43" s="330" t="s">
        <v>1087</v>
      </c>
    </row>
    <row r="44" spans="1:9" ht="11.1" customHeight="1" outlineLevel="1">
      <c r="A44" s="325" t="s">
        <v>1133</v>
      </c>
      <c r="B44" s="325" t="s">
        <v>1163</v>
      </c>
      <c r="C44" s="325" t="s">
        <v>1164</v>
      </c>
      <c r="D44" s="325" t="s">
        <v>20</v>
      </c>
      <c r="E44" s="326">
        <v>2</v>
      </c>
      <c r="F44" s="331">
        <v>437.5</v>
      </c>
      <c r="G44" s="328"/>
      <c r="H44" s="328" t="s">
        <v>1165</v>
      </c>
      <c r="I44" s="330" t="s">
        <v>1105</v>
      </c>
    </row>
    <row r="45" spans="1:9" ht="11.1" customHeight="1" outlineLevel="1">
      <c r="A45" s="325" t="s">
        <v>1133</v>
      </c>
      <c r="B45" s="325" t="s">
        <v>1166</v>
      </c>
      <c r="C45" s="325" t="s">
        <v>1167</v>
      </c>
      <c r="D45" s="325" t="s">
        <v>20</v>
      </c>
      <c r="E45" s="326">
        <v>8</v>
      </c>
      <c r="F45" s="331">
        <v>192</v>
      </c>
      <c r="G45" s="328"/>
      <c r="H45" s="328" t="s">
        <v>1147</v>
      </c>
      <c r="I45" s="324" t="s">
        <v>21</v>
      </c>
    </row>
    <row r="46" spans="1:9" ht="11.1" customHeight="1" outlineLevel="1">
      <c r="A46" s="325" t="s">
        <v>1152</v>
      </c>
      <c r="B46" s="325" t="s">
        <v>1168</v>
      </c>
      <c r="C46" s="325" t="s">
        <v>1169</v>
      </c>
      <c r="D46" s="325" t="s">
        <v>20</v>
      </c>
      <c r="E46" s="328"/>
      <c r="F46" s="331">
        <v>73.040000000000006</v>
      </c>
      <c r="G46" s="328"/>
      <c r="H46" s="328" t="s">
        <v>1147</v>
      </c>
      <c r="I46" s="324" t="s">
        <v>21</v>
      </c>
    </row>
    <row r="47" spans="1:9" ht="11.1" customHeight="1" outlineLevel="1">
      <c r="A47" s="325" t="s">
        <v>1152</v>
      </c>
      <c r="B47" s="325" t="s">
        <v>1170</v>
      </c>
      <c r="C47" s="325" t="s">
        <v>1171</v>
      </c>
      <c r="D47" s="325" t="s">
        <v>20</v>
      </c>
      <c r="E47" s="326">
        <v>1</v>
      </c>
      <c r="F47" s="331">
        <v>159.19999999999999</v>
      </c>
      <c r="G47" s="328"/>
      <c r="H47" s="328" t="s">
        <v>1147</v>
      </c>
      <c r="I47" s="324" t="s">
        <v>21</v>
      </c>
    </row>
    <row r="48" spans="1:9" ht="11.1" customHeight="1" outlineLevel="1">
      <c r="A48" s="325" t="s">
        <v>1133</v>
      </c>
      <c r="B48" s="325" t="s">
        <v>1172</v>
      </c>
      <c r="C48" s="325" t="s">
        <v>1173</v>
      </c>
      <c r="D48" s="325" t="s">
        <v>886</v>
      </c>
      <c r="E48" s="326">
        <v>0.08</v>
      </c>
      <c r="F48" s="327">
        <v>3722.88</v>
      </c>
      <c r="G48" s="328"/>
      <c r="H48" s="328" t="s">
        <v>1174</v>
      </c>
      <c r="I48" s="329" t="s">
        <v>289</v>
      </c>
    </row>
    <row r="49" spans="1:9" ht="11.1" customHeight="1" outlineLevel="1">
      <c r="A49" s="325" t="s">
        <v>1133</v>
      </c>
      <c r="B49" s="325" t="s">
        <v>1175</v>
      </c>
      <c r="C49" s="325" t="s">
        <v>1176</v>
      </c>
      <c r="D49" s="325" t="s">
        <v>20</v>
      </c>
      <c r="E49" s="326">
        <v>20</v>
      </c>
      <c r="F49" s="331">
        <v>580</v>
      </c>
      <c r="G49" s="328"/>
      <c r="H49" s="328" t="s">
        <v>1147</v>
      </c>
      <c r="I49" s="324" t="s">
        <v>21</v>
      </c>
    </row>
    <row r="50" spans="1:9" ht="11.1" customHeight="1" outlineLevel="1">
      <c r="A50" s="325" t="s">
        <v>1133</v>
      </c>
      <c r="B50" s="325" t="s">
        <v>1175</v>
      </c>
      <c r="C50" s="325" t="s">
        <v>1176</v>
      </c>
      <c r="D50" s="325" t="s">
        <v>20</v>
      </c>
      <c r="E50" s="326">
        <v>50</v>
      </c>
      <c r="F50" s="327">
        <v>1450</v>
      </c>
      <c r="G50" s="328"/>
      <c r="H50" s="328" t="s">
        <v>1147</v>
      </c>
      <c r="I50" s="324" t="s">
        <v>21</v>
      </c>
    </row>
    <row r="51" spans="1:9" ht="11.1" customHeight="1" outlineLevel="1">
      <c r="A51" s="325" t="s">
        <v>1133</v>
      </c>
      <c r="B51" s="325" t="s">
        <v>1175</v>
      </c>
      <c r="C51" s="325" t="s">
        <v>1176</v>
      </c>
      <c r="D51" s="325" t="s">
        <v>20</v>
      </c>
      <c r="E51" s="326">
        <v>25</v>
      </c>
      <c r="F51" s="331">
        <v>725</v>
      </c>
      <c r="G51" s="328"/>
      <c r="H51" s="328" t="s">
        <v>1147</v>
      </c>
      <c r="I51" s="324" t="s">
        <v>21</v>
      </c>
    </row>
    <row r="52" spans="1:9" ht="11.1" customHeight="1" outlineLevel="1">
      <c r="A52" s="325" t="s">
        <v>1133</v>
      </c>
      <c r="B52" s="325" t="s">
        <v>1175</v>
      </c>
      <c r="C52" s="325" t="s">
        <v>1176</v>
      </c>
      <c r="D52" s="325" t="s">
        <v>20</v>
      </c>
      <c r="E52" s="326">
        <v>18</v>
      </c>
      <c r="F52" s="331">
        <v>522</v>
      </c>
      <c r="G52" s="328"/>
      <c r="H52" s="328" t="s">
        <v>1147</v>
      </c>
      <c r="I52" s="324" t="s">
        <v>21</v>
      </c>
    </row>
    <row r="53" spans="1:9" ht="11.1" customHeight="1" outlineLevel="1">
      <c r="A53" s="325" t="s">
        <v>1152</v>
      </c>
      <c r="B53" s="325" t="s">
        <v>1177</v>
      </c>
      <c r="C53" s="325" t="s">
        <v>1178</v>
      </c>
      <c r="D53" s="325" t="s">
        <v>20</v>
      </c>
      <c r="E53" s="326">
        <v>1</v>
      </c>
      <c r="F53" s="331">
        <v>275.8</v>
      </c>
      <c r="G53" s="328"/>
      <c r="H53" s="328" t="s">
        <v>1147</v>
      </c>
      <c r="I53" s="324" t="s">
        <v>21</v>
      </c>
    </row>
    <row r="54" spans="1:9" ht="11.1" customHeight="1" outlineLevel="1">
      <c r="A54" s="325" t="s">
        <v>1152</v>
      </c>
      <c r="B54" s="325" t="s">
        <v>1179</v>
      </c>
      <c r="C54" s="325" t="s">
        <v>1180</v>
      </c>
      <c r="D54" s="325" t="s">
        <v>20</v>
      </c>
      <c r="E54" s="326">
        <v>10</v>
      </c>
      <c r="F54" s="327">
        <v>6513.1</v>
      </c>
      <c r="G54" s="328"/>
      <c r="H54" s="160" t="s">
        <v>551</v>
      </c>
      <c r="I54" s="329" t="s">
        <v>289</v>
      </c>
    </row>
    <row r="55" spans="1:9" ht="11.1" customHeight="1" outlineLevel="1">
      <c r="A55" s="325" t="s">
        <v>1133</v>
      </c>
      <c r="B55" s="325" t="s">
        <v>1181</v>
      </c>
      <c r="C55" s="325" t="s">
        <v>1182</v>
      </c>
      <c r="D55" s="325" t="s">
        <v>12</v>
      </c>
      <c r="E55" s="326">
        <v>11.565</v>
      </c>
      <c r="F55" s="327">
        <v>2313.04</v>
      </c>
      <c r="G55" s="328"/>
      <c r="H55" s="160" t="s">
        <v>546</v>
      </c>
      <c r="I55" s="324" t="s">
        <v>1105</v>
      </c>
    </row>
    <row r="56" spans="1:9" ht="11.1" customHeight="1" outlineLevel="1">
      <c r="A56" s="325" t="s">
        <v>1133</v>
      </c>
      <c r="B56" s="325" t="s">
        <v>1183</v>
      </c>
      <c r="C56" s="325" t="s">
        <v>1184</v>
      </c>
      <c r="D56" s="325" t="s">
        <v>12</v>
      </c>
      <c r="E56" s="326">
        <v>3.472</v>
      </c>
      <c r="F56" s="331">
        <v>694.41</v>
      </c>
      <c r="G56" s="328"/>
      <c r="H56" s="160" t="s">
        <v>546</v>
      </c>
      <c r="I56" s="324" t="s">
        <v>1105</v>
      </c>
    </row>
    <row r="57" spans="1:9" ht="11.1" customHeight="1" outlineLevel="1">
      <c r="A57" s="325" t="s">
        <v>1152</v>
      </c>
      <c r="B57" s="325" t="s">
        <v>1185</v>
      </c>
      <c r="C57" s="325" t="s">
        <v>1186</v>
      </c>
      <c r="D57" s="325" t="s">
        <v>1187</v>
      </c>
      <c r="E57" s="328"/>
      <c r="F57" s="331">
        <v>-249.32</v>
      </c>
      <c r="G57" s="328"/>
      <c r="H57" s="328" t="s">
        <v>1147</v>
      </c>
      <c r="I57" s="324" t="s">
        <v>21</v>
      </c>
    </row>
    <row r="58" spans="1:9" ht="11.1" customHeight="1" outlineLevel="1">
      <c r="A58" s="325" t="s">
        <v>1133</v>
      </c>
      <c r="B58" s="325" t="s">
        <v>1188</v>
      </c>
      <c r="C58" s="325" t="s">
        <v>1189</v>
      </c>
      <c r="D58" s="325" t="s">
        <v>1115</v>
      </c>
      <c r="E58" s="326">
        <v>0.27100000000000002</v>
      </c>
      <c r="F58" s="327">
        <v>9101.9699999999993</v>
      </c>
      <c r="G58" s="328"/>
      <c r="H58" s="160" t="s">
        <v>535</v>
      </c>
      <c r="I58" s="324" t="s">
        <v>1087</v>
      </c>
    </row>
    <row r="59" spans="1:9" ht="11.1" customHeight="1" outlineLevel="1">
      <c r="A59" s="325" t="s">
        <v>1133</v>
      </c>
      <c r="B59" s="325" t="s">
        <v>1190</v>
      </c>
      <c r="C59" s="325" t="s">
        <v>1191</v>
      </c>
      <c r="D59" s="325" t="s">
        <v>20</v>
      </c>
      <c r="E59" s="326">
        <v>10</v>
      </c>
      <c r="F59" s="327">
        <v>2465.83</v>
      </c>
      <c r="G59" s="328"/>
      <c r="H59" s="328" t="s">
        <v>1147</v>
      </c>
      <c r="I59" s="324" t="s">
        <v>21</v>
      </c>
    </row>
    <row r="60" spans="1:9" ht="11.1" customHeight="1" outlineLevel="1">
      <c r="A60" s="325" t="s">
        <v>1133</v>
      </c>
      <c r="B60" s="325" t="s">
        <v>1192</v>
      </c>
      <c r="C60" s="325" t="s">
        <v>1193</v>
      </c>
      <c r="D60" s="325" t="s">
        <v>20</v>
      </c>
      <c r="E60" s="326">
        <v>16</v>
      </c>
      <c r="F60" s="327">
        <v>2752</v>
      </c>
      <c r="G60" s="328"/>
      <c r="H60" s="328" t="s">
        <v>1147</v>
      </c>
      <c r="I60" s="324" t="s">
        <v>21</v>
      </c>
    </row>
    <row r="61" spans="1:9" ht="11.1" customHeight="1" outlineLevel="1">
      <c r="A61" s="325" t="s">
        <v>1133</v>
      </c>
      <c r="B61" s="325" t="s">
        <v>1192</v>
      </c>
      <c r="C61" s="325" t="s">
        <v>1193</v>
      </c>
      <c r="D61" s="325" t="s">
        <v>20</v>
      </c>
      <c r="E61" s="326">
        <v>5</v>
      </c>
      <c r="F61" s="331">
        <v>860</v>
      </c>
      <c r="G61" s="328"/>
      <c r="H61" s="328" t="s">
        <v>1147</v>
      </c>
      <c r="I61" s="324" t="s">
        <v>21</v>
      </c>
    </row>
    <row r="62" spans="1:9" ht="11.1" customHeight="1" outlineLevel="1">
      <c r="A62" s="325" t="s">
        <v>1133</v>
      </c>
      <c r="B62" s="325" t="s">
        <v>1192</v>
      </c>
      <c r="C62" s="325" t="s">
        <v>1193</v>
      </c>
      <c r="D62" s="325" t="s">
        <v>20</v>
      </c>
      <c r="E62" s="326">
        <v>5</v>
      </c>
      <c r="F62" s="331">
        <v>860</v>
      </c>
      <c r="G62" s="328"/>
      <c r="H62" s="328" t="s">
        <v>1147</v>
      </c>
      <c r="I62" s="324" t="s">
        <v>21</v>
      </c>
    </row>
    <row r="63" spans="1:9" ht="11.1" customHeight="1" outlineLevel="1">
      <c r="A63" s="325" t="s">
        <v>1133</v>
      </c>
      <c r="B63" s="325" t="s">
        <v>1194</v>
      </c>
      <c r="C63" s="325" t="s">
        <v>1195</v>
      </c>
      <c r="D63" s="325" t="s">
        <v>1196</v>
      </c>
      <c r="E63" s="328"/>
      <c r="F63" s="331">
        <v>89.44</v>
      </c>
      <c r="G63" s="328"/>
      <c r="H63" s="328" t="s">
        <v>1197</v>
      </c>
      <c r="I63" s="324" t="s">
        <v>1087</v>
      </c>
    </row>
    <row r="64" spans="1:9" ht="11.1" customHeight="1" outlineLevel="1">
      <c r="A64" s="325" t="s">
        <v>1133</v>
      </c>
      <c r="B64" s="325" t="s">
        <v>1194</v>
      </c>
      <c r="C64" s="325" t="s">
        <v>1195</v>
      </c>
      <c r="D64" s="325" t="s">
        <v>1196</v>
      </c>
      <c r="E64" s="328"/>
      <c r="F64" s="331">
        <v>30.06</v>
      </c>
      <c r="G64" s="328"/>
      <c r="H64" s="328" t="s">
        <v>1197</v>
      </c>
      <c r="I64" s="324" t="s">
        <v>1087</v>
      </c>
    </row>
    <row r="65" spans="1:9" ht="11.1" customHeight="1" outlineLevel="1">
      <c r="A65" s="325" t="s">
        <v>1133</v>
      </c>
      <c r="B65" s="325" t="s">
        <v>1194</v>
      </c>
      <c r="C65" s="325" t="s">
        <v>1195</v>
      </c>
      <c r="D65" s="325" t="s">
        <v>1196</v>
      </c>
      <c r="E65" s="328"/>
      <c r="F65" s="331">
        <v>-33.82</v>
      </c>
      <c r="G65" s="328"/>
      <c r="H65" s="328" t="s">
        <v>1197</v>
      </c>
      <c r="I65" s="324" t="s">
        <v>1087</v>
      </c>
    </row>
    <row r="66" spans="1:9" ht="11.1" customHeight="1">
      <c r="A66" s="320" t="s">
        <v>1198</v>
      </c>
      <c r="B66" s="320"/>
      <c r="C66" s="320"/>
      <c r="D66" s="320"/>
      <c r="E66" s="334">
        <v>2251.2779999999998</v>
      </c>
      <c r="F66" s="322">
        <v>176248.03</v>
      </c>
      <c r="G66" s="323"/>
      <c r="H66" s="323"/>
    </row>
    <row r="67" spans="1:9" ht="11.1" customHeight="1" outlineLevel="1">
      <c r="A67" s="325" t="s">
        <v>1133</v>
      </c>
      <c r="B67" s="325" t="s">
        <v>1199</v>
      </c>
      <c r="C67" s="325" t="s">
        <v>1200</v>
      </c>
      <c r="D67" s="325" t="s">
        <v>14</v>
      </c>
      <c r="E67" s="326">
        <v>300</v>
      </c>
      <c r="F67" s="327">
        <v>17502</v>
      </c>
      <c r="G67" s="328"/>
      <c r="H67" s="160" t="s">
        <v>1034</v>
      </c>
      <c r="I67" s="324" t="s">
        <v>1087</v>
      </c>
    </row>
    <row r="68" spans="1:9" ht="11.1" customHeight="1" outlineLevel="1">
      <c r="A68" s="325" t="s">
        <v>1133</v>
      </c>
      <c r="B68" s="325" t="s">
        <v>1199</v>
      </c>
      <c r="C68" s="325" t="s">
        <v>1200</v>
      </c>
      <c r="D68" s="325" t="s">
        <v>14</v>
      </c>
      <c r="E68" s="326">
        <v>300</v>
      </c>
      <c r="F68" s="327">
        <v>17502</v>
      </c>
      <c r="G68" s="328"/>
      <c r="H68" s="160" t="s">
        <v>1034</v>
      </c>
      <c r="I68" s="324" t="s">
        <v>1087</v>
      </c>
    </row>
    <row r="69" spans="1:9" ht="11.1" customHeight="1" outlineLevel="1">
      <c r="A69" s="325" t="s">
        <v>1133</v>
      </c>
      <c r="B69" s="325" t="s">
        <v>1199</v>
      </c>
      <c r="C69" s="325" t="s">
        <v>1200</v>
      </c>
      <c r="D69" s="325" t="s">
        <v>14</v>
      </c>
      <c r="E69" s="326">
        <v>300</v>
      </c>
      <c r="F69" s="327">
        <v>18000</v>
      </c>
      <c r="G69" s="328"/>
      <c r="H69" s="160" t="s">
        <v>1034</v>
      </c>
      <c r="I69" s="324" t="s">
        <v>1087</v>
      </c>
    </row>
    <row r="70" spans="1:9" ht="11.1" customHeight="1" outlineLevel="1">
      <c r="A70" s="325" t="s">
        <v>1133</v>
      </c>
      <c r="B70" s="325" t="s">
        <v>1199</v>
      </c>
      <c r="C70" s="325" t="s">
        <v>1200</v>
      </c>
      <c r="D70" s="325" t="s">
        <v>14</v>
      </c>
      <c r="E70" s="326">
        <v>251.77799999999999</v>
      </c>
      <c r="F70" s="327">
        <v>14688.73</v>
      </c>
      <c r="G70" s="328"/>
      <c r="H70" s="160" t="s">
        <v>1034</v>
      </c>
      <c r="I70" s="324" t="s">
        <v>1087</v>
      </c>
    </row>
    <row r="71" spans="1:9" ht="11.1" customHeight="1" outlineLevel="1">
      <c r="A71" s="325" t="s">
        <v>1133</v>
      </c>
      <c r="B71" s="325" t="s">
        <v>1199</v>
      </c>
      <c r="C71" s="325" t="s">
        <v>1200</v>
      </c>
      <c r="D71" s="325" t="s">
        <v>14</v>
      </c>
      <c r="E71" s="326">
        <v>300</v>
      </c>
      <c r="F71" s="327">
        <v>17502</v>
      </c>
      <c r="G71" s="328"/>
      <c r="H71" s="160" t="s">
        <v>1034</v>
      </c>
      <c r="I71" s="324" t="s">
        <v>1087</v>
      </c>
    </row>
    <row r="72" spans="1:9" ht="11.1" customHeight="1" outlineLevel="1">
      <c r="A72" s="325" t="s">
        <v>1133</v>
      </c>
      <c r="B72" s="325" t="s">
        <v>1201</v>
      </c>
      <c r="C72" s="325" t="s">
        <v>1202</v>
      </c>
      <c r="D72" s="325" t="s">
        <v>14</v>
      </c>
      <c r="E72" s="326">
        <v>250</v>
      </c>
      <c r="F72" s="327">
        <v>13335</v>
      </c>
      <c r="G72" s="328"/>
      <c r="H72" s="160" t="s">
        <v>1034</v>
      </c>
      <c r="I72" s="324" t="s">
        <v>1087</v>
      </c>
    </row>
    <row r="73" spans="1:9" ht="11.1" customHeight="1" outlineLevel="1">
      <c r="A73" s="325" t="s">
        <v>1133</v>
      </c>
      <c r="B73" s="325" t="s">
        <v>1201</v>
      </c>
      <c r="C73" s="325" t="s">
        <v>1202</v>
      </c>
      <c r="D73" s="325" t="s">
        <v>14</v>
      </c>
      <c r="E73" s="326">
        <v>300</v>
      </c>
      <c r="F73" s="327">
        <v>17502</v>
      </c>
      <c r="G73" s="328"/>
      <c r="H73" s="160" t="s">
        <v>1034</v>
      </c>
      <c r="I73" s="324" t="s">
        <v>1087</v>
      </c>
    </row>
    <row r="74" spans="1:9" ht="11.1" customHeight="1" outlineLevel="1">
      <c r="A74" s="325" t="s">
        <v>1133</v>
      </c>
      <c r="B74" s="325" t="s">
        <v>1203</v>
      </c>
      <c r="C74" s="325" t="s">
        <v>1204</v>
      </c>
      <c r="D74" s="325" t="s">
        <v>912</v>
      </c>
      <c r="E74" s="326">
        <v>3</v>
      </c>
      <c r="F74" s="327">
        <v>37500</v>
      </c>
      <c r="G74" s="328"/>
      <c r="H74" s="160" t="s">
        <v>542</v>
      </c>
      <c r="I74" s="330" t="s">
        <v>205</v>
      </c>
    </row>
    <row r="75" spans="1:9" ht="11.1" customHeight="1" outlineLevel="1">
      <c r="A75" s="325" t="s">
        <v>1133</v>
      </c>
      <c r="B75" s="325" t="s">
        <v>1205</v>
      </c>
      <c r="C75" s="325" t="s">
        <v>1206</v>
      </c>
      <c r="D75" s="325" t="s">
        <v>261</v>
      </c>
      <c r="E75" s="326">
        <v>50</v>
      </c>
      <c r="F75" s="327">
        <v>3283.5</v>
      </c>
      <c r="G75" s="328"/>
      <c r="H75" s="160" t="s">
        <v>203</v>
      </c>
      <c r="I75" s="324" t="s">
        <v>1087</v>
      </c>
    </row>
    <row r="76" spans="1:9" ht="11.1" customHeight="1" outlineLevel="1">
      <c r="A76" s="325" t="s">
        <v>1133</v>
      </c>
      <c r="B76" s="325" t="s">
        <v>1205</v>
      </c>
      <c r="C76" s="325" t="s">
        <v>1206</v>
      </c>
      <c r="D76" s="325" t="s">
        <v>261</v>
      </c>
      <c r="E76" s="326">
        <v>50</v>
      </c>
      <c r="F76" s="327">
        <v>3283.5</v>
      </c>
      <c r="G76" s="328"/>
      <c r="H76" s="160" t="s">
        <v>203</v>
      </c>
      <c r="I76" s="324" t="s">
        <v>1087</v>
      </c>
    </row>
    <row r="77" spans="1:9" ht="11.1" customHeight="1" outlineLevel="1">
      <c r="A77" s="325" t="s">
        <v>1133</v>
      </c>
      <c r="B77" s="325" t="s">
        <v>1205</v>
      </c>
      <c r="C77" s="325" t="s">
        <v>1206</v>
      </c>
      <c r="D77" s="325" t="s">
        <v>261</v>
      </c>
      <c r="E77" s="326">
        <v>42</v>
      </c>
      <c r="F77" s="327">
        <v>2827.86</v>
      </c>
      <c r="G77" s="328"/>
      <c r="H77" s="160" t="s">
        <v>203</v>
      </c>
      <c r="I77" s="324" t="s">
        <v>1087</v>
      </c>
    </row>
    <row r="78" spans="1:9" ht="11.1" customHeight="1" outlineLevel="1">
      <c r="A78" s="325" t="s">
        <v>1133</v>
      </c>
      <c r="B78" s="325" t="s">
        <v>1205</v>
      </c>
      <c r="C78" s="325" t="s">
        <v>1206</v>
      </c>
      <c r="D78" s="325" t="s">
        <v>261</v>
      </c>
      <c r="E78" s="326">
        <v>43.5</v>
      </c>
      <c r="F78" s="327">
        <v>2856.64</v>
      </c>
      <c r="G78" s="328"/>
      <c r="H78" s="160" t="s">
        <v>203</v>
      </c>
      <c r="I78" s="324" t="s">
        <v>1087</v>
      </c>
    </row>
    <row r="79" spans="1:9" ht="11.1" customHeight="1" outlineLevel="1">
      <c r="A79" s="325" t="s">
        <v>1133</v>
      </c>
      <c r="B79" s="325" t="s">
        <v>1205</v>
      </c>
      <c r="C79" s="325" t="s">
        <v>1206</v>
      </c>
      <c r="D79" s="325" t="s">
        <v>261</v>
      </c>
      <c r="E79" s="326">
        <v>50</v>
      </c>
      <c r="F79" s="327">
        <v>3283.5</v>
      </c>
      <c r="G79" s="328"/>
      <c r="H79" s="160" t="s">
        <v>203</v>
      </c>
      <c r="I79" s="324" t="s">
        <v>1087</v>
      </c>
    </row>
    <row r="80" spans="1:9" ht="11.1" customHeight="1" outlineLevel="1">
      <c r="A80" s="325" t="s">
        <v>1152</v>
      </c>
      <c r="B80" s="325" t="s">
        <v>1207</v>
      </c>
      <c r="C80" s="325" t="s">
        <v>1208</v>
      </c>
      <c r="D80" s="325" t="s">
        <v>725</v>
      </c>
      <c r="E80" s="326">
        <v>6</v>
      </c>
      <c r="F80" s="327">
        <v>6255</v>
      </c>
      <c r="G80" s="328"/>
      <c r="H80" s="328" t="s">
        <v>1147</v>
      </c>
      <c r="I80" s="324" t="s">
        <v>21</v>
      </c>
    </row>
    <row r="81" spans="1:9" ht="11.1" customHeight="1" outlineLevel="1">
      <c r="A81" s="325" t="s">
        <v>1133</v>
      </c>
      <c r="B81" s="325" t="s">
        <v>1209</v>
      </c>
      <c r="C81" s="325" t="s">
        <v>1210</v>
      </c>
      <c r="D81" s="325" t="s">
        <v>20</v>
      </c>
      <c r="E81" s="326">
        <v>5</v>
      </c>
      <c r="F81" s="331">
        <v>926.3</v>
      </c>
      <c r="G81" s="328"/>
      <c r="H81" s="328" t="s">
        <v>591</v>
      </c>
      <c r="I81" s="324" t="s">
        <v>1087</v>
      </c>
    </row>
    <row r="82" spans="1:9" ht="11.1" customHeight="1">
      <c r="A82" s="320" t="s">
        <v>1211</v>
      </c>
      <c r="B82" s="320"/>
      <c r="C82" s="320"/>
      <c r="D82" s="320"/>
      <c r="E82" s="321">
        <v>800.83199999999999</v>
      </c>
      <c r="F82" s="322">
        <v>99401.72</v>
      </c>
      <c r="G82" s="323"/>
      <c r="H82" s="323"/>
    </row>
    <row r="83" spans="1:9" ht="11.1" customHeight="1" outlineLevel="1">
      <c r="A83" s="325" t="s">
        <v>1133</v>
      </c>
      <c r="B83" s="325" t="s">
        <v>1212</v>
      </c>
      <c r="C83" s="325" t="s">
        <v>1213</v>
      </c>
      <c r="D83" s="325" t="s">
        <v>1115</v>
      </c>
      <c r="E83" s="326">
        <v>2</v>
      </c>
      <c r="F83" s="327">
        <v>3265</v>
      </c>
      <c r="G83" s="328"/>
      <c r="H83" s="328" t="s">
        <v>1147</v>
      </c>
      <c r="I83" s="324" t="s">
        <v>21</v>
      </c>
    </row>
    <row r="84" spans="1:9" ht="11.1" customHeight="1" outlineLevel="1">
      <c r="A84" s="325" t="s">
        <v>1152</v>
      </c>
      <c r="B84" s="325" t="s">
        <v>1214</v>
      </c>
      <c r="C84" s="325" t="s">
        <v>1215</v>
      </c>
      <c r="D84" s="325" t="s">
        <v>20</v>
      </c>
      <c r="E84" s="326">
        <v>1</v>
      </c>
      <c r="F84" s="331">
        <v>415.8</v>
      </c>
      <c r="G84" s="328"/>
      <c r="H84" s="328" t="s">
        <v>1147</v>
      </c>
      <c r="I84" s="324" t="s">
        <v>21</v>
      </c>
    </row>
    <row r="85" spans="1:9" ht="11.1" customHeight="1" outlineLevel="1">
      <c r="A85" s="325" t="s">
        <v>1133</v>
      </c>
      <c r="B85" s="325" t="s">
        <v>1216</v>
      </c>
      <c r="C85" s="325" t="s">
        <v>1217</v>
      </c>
      <c r="D85" s="325" t="s">
        <v>912</v>
      </c>
      <c r="E85" s="326">
        <v>0.04</v>
      </c>
      <c r="F85" s="331">
        <v>328.2</v>
      </c>
      <c r="G85" s="328"/>
      <c r="H85" s="328" t="s">
        <v>541</v>
      </c>
      <c r="I85" s="330" t="s">
        <v>205</v>
      </c>
    </row>
    <row r="86" spans="1:9" ht="11.1" customHeight="1" outlineLevel="1">
      <c r="A86" s="325" t="s">
        <v>1133</v>
      </c>
      <c r="B86" s="325" t="s">
        <v>1218</v>
      </c>
      <c r="C86" s="325" t="s">
        <v>1219</v>
      </c>
      <c r="D86" s="325" t="s">
        <v>1220</v>
      </c>
      <c r="E86" s="326">
        <v>1.952</v>
      </c>
      <c r="F86" s="327">
        <v>16016.41</v>
      </c>
      <c r="G86" s="328"/>
      <c r="H86" s="328" t="s">
        <v>541</v>
      </c>
      <c r="I86" s="330" t="s">
        <v>205</v>
      </c>
    </row>
    <row r="87" spans="1:9" ht="11.1" customHeight="1" outlineLevel="1">
      <c r="A87" s="325" t="s">
        <v>1133</v>
      </c>
      <c r="B87" s="325" t="s">
        <v>1221</v>
      </c>
      <c r="C87" s="325" t="s">
        <v>1222</v>
      </c>
      <c r="D87" s="325" t="s">
        <v>1220</v>
      </c>
      <c r="E87" s="326">
        <v>1.2</v>
      </c>
      <c r="F87" s="327">
        <v>15000</v>
      </c>
      <c r="G87" s="328"/>
      <c r="H87" s="328" t="s">
        <v>541</v>
      </c>
      <c r="I87" s="330" t="s">
        <v>205</v>
      </c>
    </row>
    <row r="88" spans="1:9" ht="11.1" customHeight="1" outlineLevel="1">
      <c r="A88" s="325" t="s">
        <v>1152</v>
      </c>
      <c r="B88" s="325" t="s">
        <v>1223</v>
      </c>
      <c r="C88" s="325" t="s">
        <v>1224</v>
      </c>
      <c r="D88" s="325" t="s">
        <v>20</v>
      </c>
      <c r="E88" s="326">
        <v>1</v>
      </c>
      <c r="F88" s="331">
        <v>36.700000000000003</v>
      </c>
      <c r="G88" s="328"/>
      <c r="H88" s="160" t="s">
        <v>1225</v>
      </c>
      <c r="I88" s="329" t="s">
        <v>289</v>
      </c>
    </row>
    <row r="89" spans="1:9" ht="11.1" customHeight="1" outlineLevel="1">
      <c r="A89" s="325" t="s">
        <v>1152</v>
      </c>
      <c r="B89" s="325" t="s">
        <v>1226</v>
      </c>
      <c r="C89" s="325" t="s">
        <v>1227</v>
      </c>
      <c r="D89" s="325" t="s">
        <v>20</v>
      </c>
      <c r="E89" s="326">
        <v>5</v>
      </c>
      <c r="F89" s="331">
        <v>237.5</v>
      </c>
      <c r="G89" s="328"/>
      <c r="H89" s="328" t="s">
        <v>1147</v>
      </c>
      <c r="I89" s="324" t="s">
        <v>21</v>
      </c>
    </row>
    <row r="90" spans="1:9" ht="11.1" customHeight="1" outlineLevel="1">
      <c r="A90" s="325" t="s">
        <v>1152</v>
      </c>
      <c r="B90" s="325" t="s">
        <v>1226</v>
      </c>
      <c r="C90" s="325" t="s">
        <v>1227</v>
      </c>
      <c r="D90" s="325" t="s">
        <v>20</v>
      </c>
      <c r="E90" s="326">
        <v>5</v>
      </c>
      <c r="F90" s="331">
        <v>237.5</v>
      </c>
      <c r="G90" s="328"/>
      <c r="H90" s="328" t="s">
        <v>1147</v>
      </c>
      <c r="I90" s="324" t="s">
        <v>21</v>
      </c>
    </row>
    <row r="91" spans="1:9" ht="11.1" customHeight="1" outlineLevel="1">
      <c r="A91" s="325" t="s">
        <v>1152</v>
      </c>
      <c r="B91" s="325" t="s">
        <v>1226</v>
      </c>
      <c r="C91" s="325" t="s">
        <v>1227</v>
      </c>
      <c r="D91" s="325" t="s">
        <v>20</v>
      </c>
      <c r="E91" s="326">
        <v>5</v>
      </c>
      <c r="F91" s="331">
        <v>237.5</v>
      </c>
      <c r="G91" s="328"/>
      <c r="H91" s="328" t="s">
        <v>1147</v>
      </c>
      <c r="I91" s="324" t="s">
        <v>21</v>
      </c>
    </row>
    <row r="92" spans="1:9" ht="11.1" customHeight="1" outlineLevel="1">
      <c r="A92" s="325" t="s">
        <v>1152</v>
      </c>
      <c r="B92" s="325" t="s">
        <v>1226</v>
      </c>
      <c r="C92" s="325" t="s">
        <v>1227</v>
      </c>
      <c r="D92" s="325" t="s">
        <v>20</v>
      </c>
      <c r="E92" s="326">
        <v>5</v>
      </c>
      <c r="F92" s="331">
        <v>237.5</v>
      </c>
      <c r="G92" s="328"/>
      <c r="H92" s="328" t="s">
        <v>1147</v>
      </c>
      <c r="I92" s="324" t="s">
        <v>21</v>
      </c>
    </row>
    <row r="93" spans="1:9" ht="11.1" customHeight="1" outlineLevel="1">
      <c r="A93" s="325" t="s">
        <v>1152</v>
      </c>
      <c r="B93" s="325" t="s">
        <v>1228</v>
      </c>
      <c r="C93" s="325" t="s">
        <v>1229</v>
      </c>
      <c r="D93" s="325" t="s">
        <v>20</v>
      </c>
      <c r="E93" s="326">
        <v>1</v>
      </c>
      <c r="F93" s="331">
        <v>12.5</v>
      </c>
      <c r="G93" s="328"/>
      <c r="H93" s="328" t="s">
        <v>1147</v>
      </c>
      <c r="I93" s="324" t="s">
        <v>21</v>
      </c>
    </row>
    <row r="94" spans="1:9" ht="11.1" customHeight="1" outlineLevel="1">
      <c r="A94" s="325" t="s">
        <v>1152</v>
      </c>
      <c r="B94" s="325" t="s">
        <v>1230</v>
      </c>
      <c r="C94" s="325" t="s">
        <v>1231</v>
      </c>
      <c r="D94" s="325" t="s">
        <v>20</v>
      </c>
      <c r="E94" s="326">
        <v>2</v>
      </c>
      <c r="F94" s="331">
        <v>44</v>
      </c>
      <c r="G94" s="328"/>
      <c r="H94" s="328" t="s">
        <v>1147</v>
      </c>
      <c r="I94" s="324" t="s">
        <v>21</v>
      </c>
    </row>
    <row r="95" spans="1:9" ht="11.1" customHeight="1" outlineLevel="1">
      <c r="A95" s="325" t="s">
        <v>1133</v>
      </c>
      <c r="B95" s="325" t="s">
        <v>1199</v>
      </c>
      <c r="C95" s="325" t="s">
        <v>1200</v>
      </c>
      <c r="D95" s="325" t="s">
        <v>14</v>
      </c>
      <c r="E95" s="326">
        <v>-2.9</v>
      </c>
      <c r="F95" s="328"/>
      <c r="G95" s="328"/>
      <c r="H95" s="160" t="s">
        <v>1034</v>
      </c>
      <c r="I95" s="324" t="s">
        <v>1087</v>
      </c>
    </row>
    <row r="96" spans="1:9" ht="11.1" customHeight="1" outlineLevel="1">
      <c r="A96" s="325" t="s">
        <v>1133</v>
      </c>
      <c r="B96" s="325" t="s">
        <v>1199</v>
      </c>
      <c r="C96" s="325" t="s">
        <v>1200</v>
      </c>
      <c r="D96" s="325" t="s">
        <v>14</v>
      </c>
      <c r="E96" s="328"/>
      <c r="F96" s="331">
        <v>-169.19</v>
      </c>
      <c r="G96" s="328"/>
      <c r="H96" s="160" t="s">
        <v>1034</v>
      </c>
      <c r="I96" s="324" t="s">
        <v>1087</v>
      </c>
    </row>
    <row r="97" spans="1:9" ht="11.1" customHeight="1" outlineLevel="1">
      <c r="A97" s="325" t="s">
        <v>1133</v>
      </c>
      <c r="B97" s="325" t="s">
        <v>1199</v>
      </c>
      <c r="C97" s="325" t="s">
        <v>1200</v>
      </c>
      <c r="D97" s="325" t="s">
        <v>14</v>
      </c>
      <c r="E97" s="326">
        <v>186.9</v>
      </c>
      <c r="F97" s="327">
        <v>10903.75</v>
      </c>
      <c r="G97" s="328"/>
      <c r="H97" s="160" t="s">
        <v>1034</v>
      </c>
      <c r="I97" s="324" t="s">
        <v>1087</v>
      </c>
    </row>
    <row r="98" spans="1:9" ht="11.1" customHeight="1" outlineLevel="1">
      <c r="A98" s="325" t="s">
        <v>1152</v>
      </c>
      <c r="B98" s="325" t="s">
        <v>1232</v>
      </c>
      <c r="C98" s="325" t="s">
        <v>1233</v>
      </c>
      <c r="D98" s="325" t="s">
        <v>20</v>
      </c>
      <c r="E98" s="326">
        <v>1</v>
      </c>
      <c r="F98" s="331">
        <v>29.2</v>
      </c>
      <c r="G98" s="328"/>
      <c r="H98" s="328" t="s">
        <v>1147</v>
      </c>
      <c r="I98" s="324" t="s">
        <v>21</v>
      </c>
    </row>
    <row r="99" spans="1:9" ht="11.1" customHeight="1" outlineLevel="1">
      <c r="A99" s="325" t="s">
        <v>1152</v>
      </c>
      <c r="B99" s="325" t="s">
        <v>1232</v>
      </c>
      <c r="C99" s="325" t="s">
        <v>1233</v>
      </c>
      <c r="D99" s="325" t="s">
        <v>20</v>
      </c>
      <c r="E99" s="326">
        <v>1</v>
      </c>
      <c r="F99" s="331">
        <v>29.2</v>
      </c>
      <c r="G99" s="328"/>
      <c r="H99" s="328" t="s">
        <v>1147</v>
      </c>
      <c r="I99" s="324" t="s">
        <v>21</v>
      </c>
    </row>
    <row r="100" spans="1:9" ht="11.1" customHeight="1" outlineLevel="1">
      <c r="A100" s="325" t="s">
        <v>1152</v>
      </c>
      <c r="B100" s="325" t="s">
        <v>1234</v>
      </c>
      <c r="C100" s="325" t="s">
        <v>1235</v>
      </c>
      <c r="D100" s="325" t="s">
        <v>14</v>
      </c>
      <c r="E100" s="326">
        <v>25</v>
      </c>
      <c r="F100" s="327">
        <v>1625</v>
      </c>
      <c r="G100" s="328"/>
      <c r="H100" s="160" t="s">
        <v>1236</v>
      </c>
      <c r="I100" s="324" t="s">
        <v>21</v>
      </c>
    </row>
    <row r="101" spans="1:9" ht="11.1" customHeight="1" outlineLevel="1">
      <c r="A101" s="325" t="s">
        <v>1152</v>
      </c>
      <c r="B101" s="325" t="s">
        <v>1234</v>
      </c>
      <c r="C101" s="325" t="s">
        <v>1235</v>
      </c>
      <c r="D101" s="325" t="s">
        <v>14</v>
      </c>
      <c r="E101" s="326">
        <v>30</v>
      </c>
      <c r="F101" s="327">
        <v>1950</v>
      </c>
      <c r="G101" s="328"/>
      <c r="H101" s="160" t="s">
        <v>1236</v>
      </c>
      <c r="I101" s="324" t="s">
        <v>21</v>
      </c>
    </row>
    <row r="102" spans="1:9" ht="11.1" customHeight="1" outlineLevel="1">
      <c r="A102" s="325" t="s">
        <v>1152</v>
      </c>
      <c r="B102" s="325" t="s">
        <v>1234</v>
      </c>
      <c r="C102" s="325" t="s">
        <v>1235</v>
      </c>
      <c r="D102" s="325" t="s">
        <v>14</v>
      </c>
      <c r="E102" s="326">
        <v>15</v>
      </c>
      <c r="F102" s="331">
        <v>975</v>
      </c>
      <c r="G102" s="328"/>
      <c r="H102" s="160" t="s">
        <v>1236</v>
      </c>
      <c r="I102" s="324" t="s">
        <v>21</v>
      </c>
    </row>
    <row r="103" spans="1:9" ht="11.1" customHeight="1" outlineLevel="1">
      <c r="A103" s="325" t="s">
        <v>1152</v>
      </c>
      <c r="B103" s="325" t="s">
        <v>1234</v>
      </c>
      <c r="C103" s="325" t="s">
        <v>1235</v>
      </c>
      <c r="D103" s="325" t="s">
        <v>14</v>
      </c>
      <c r="E103" s="326">
        <v>15</v>
      </c>
      <c r="F103" s="331">
        <v>975</v>
      </c>
      <c r="G103" s="328"/>
      <c r="H103" s="160" t="s">
        <v>1236</v>
      </c>
      <c r="I103" s="324" t="s">
        <v>21</v>
      </c>
    </row>
    <row r="104" spans="1:9" ht="11.1" customHeight="1" outlineLevel="1">
      <c r="A104" s="325" t="s">
        <v>1152</v>
      </c>
      <c r="B104" s="325" t="s">
        <v>1234</v>
      </c>
      <c r="C104" s="325" t="s">
        <v>1235</v>
      </c>
      <c r="D104" s="325" t="s">
        <v>14</v>
      </c>
      <c r="E104" s="326">
        <v>45</v>
      </c>
      <c r="F104" s="327">
        <v>2925</v>
      </c>
      <c r="G104" s="328"/>
      <c r="H104" s="160" t="s">
        <v>1236</v>
      </c>
      <c r="I104" s="324" t="s">
        <v>21</v>
      </c>
    </row>
    <row r="105" spans="1:9" ht="11.1" customHeight="1" outlineLevel="1">
      <c r="A105" s="325" t="s">
        <v>1152</v>
      </c>
      <c r="B105" s="325" t="s">
        <v>1237</v>
      </c>
      <c r="C105" s="325" t="s">
        <v>1235</v>
      </c>
      <c r="D105" s="325" t="s">
        <v>14</v>
      </c>
      <c r="E105" s="326">
        <v>10</v>
      </c>
      <c r="F105" s="331">
        <v>761.11</v>
      </c>
      <c r="G105" s="328"/>
      <c r="H105" s="160" t="s">
        <v>1236</v>
      </c>
      <c r="I105" s="324" t="s">
        <v>21</v>
      </c>
    </row>
    <row r="106" spans="1:9" ht="11.1" customHeight="1" outlineLevel="1">
      <c r="A106" s="325" t="s">
        <v>1152</v>
      </c>
      <c r="B106" s="325" t="s">
        <v>1238</v>
      </c>
      <c r="C106" s="325" t="s">
        <v>1239</v>
      </c>
      <c r="D106" s="325" t="s">
        <v>14</v>
      </c>
      <c r="E106" s="326">
        <v>2.5</v>
      </c>
      <c r="F106" s="331">
        <v>281.25</v>
      </c>
      <c r="G106" s="328"/>
      <c r="H106" s="160" t="s">
        <v>720</v>
      </c>
      <c r="I106" s="324" t="s">
        <v>21</v>
      </c>
    </row>
    <row r="107" spans="1:9" ht="11.1" customHeight="1" outlineLevel="1">
      <c r="A107" s="325" t="s">
        <v>1152</v>
      </c>
      <c r="B107" s="325" t="s">
        <v>1238</v>
      </c>
      <c r="C107" s="325" t="s">
        <v>1239</v>
      </c>
      <c r="D107" s="325" t="s">
        <v>14</v>
      </c>
      <c r="E107" s="326">
        <v>5</v>
      </c>
      <c r="F107" s="331">
        <v>562.5</v>
      </c>
      <c r="G107" s="328"/>
      <c r="H107" s="160" t="s">
        <v>720</v>
      </c>
      <c r="I107" s="324" t="s">
        <v>21</v>
      </c>
    </row>
    <row r="108" spans="1:9" ht="11.1" customHeight="1" outlineLevel="1">
      <c r="A108" s="325" t="s">
        <v>1152</v>
      </c>
      <c r="B108" s="325" t="s">
        <v>1238</v>
      </c>
      <c r="C108" s="325" t="s">
        <v>1239</v>
      </c>
      <c r="D108" s="325" t="s">
        <v>14</v>
      </c>
      <c r="E108" s="326">
        <v>5</v>
      </c>
      <c r="F108" s="331">
        <v>562.5</v>
      </c>
      <c r="G108" s="328"/>
      <c r="H108" s="160" t="s">
        <v>720</v>
      </c>
      <c r="I108" s="324" t="s">
        <v>21</v>
      </c>
    </row>
    <row r="109" spans="1:9" ht="11.1" customHeight="1" outlineLevel="1">
      <c r="A109" s="325" t="s">
        <v>1152</v>
      </c>
      <c r="B109" s="325" t="s">
        <v>1238</v>
      </c>
      <c r="C109" s="325" t="s">
        <v>1239</v>
      </c>
      <c r="D109" s="325" t="s">
        <v>14</v>
      </c>
      <c r="E109" s="326">
        <v>2.5</v>
      </c>
      <c r="F109" s="331">
        <v>281.25</v>
      </c>
      <c r="G109" s="328"/>
      <c r="H109" s="160" t="s">
        <v>720</v>
      </c>
      <c r="I109" s="324" t="s">
        <v>21</v>
      </c>
    </row>
    <row r="110" spans="1:9" ht="11.1" customHeight="1" outlineLevel="1">
      <c r="A110" s="325" t="s">
        <v>1152</v>
      </c>
      <c r="B110" s="325" t="s">
        <v>1238</v>
      </c>
      <c r="C110" s="325" t="s">
        <v>1239</v>
      </c>
      <c r="D110" s="325" t="s">
        <v>14</v>
      </c>
      <c r="E110" s="326">
        <v>10</v>
      </c>
      <c r="F110" s="327">
        <v>1194.9000000000001</v>
      </c>
      <c r="G110" s="328"/>
      <c r="H110" s="160" t="s">
        <v>720</v>
      </c>
      <c r="I110" s="324" t="s">
        <v>21</v>
      </c>
    </row>
    <row r="111" spans="1:9" ht="11.1" customHeight="1" outlineLevel="1">
      <c r="A111" s="325" t="s">
        <v>1152</v>
      </c>
      <c r="B111" s="325" t="s">
        <v>1238</v>
      </c>
      <c r="C111" s="325" t="s">
        <v>1239</v>
      </c>
      <c r="D111" s="325" t="s">
        <v>14</v>
      </c>
      <c r="E111" s="326">
        <v>5</v>
      </c>
      <c r="F111" s="331">
        <v>562.5</v>
      </c>
      <c r="G111" s="328"/>
      <c r="H111" s="160" t="s">
        <v>720</v>
      </c>
      <c r="I111" s="324" t="s">
        <v>21</v>
      </c>
    </row>
    <row r="112" spans="1:9" ht="11.1" customHeight="1" outlineLevel="1">
      <c r="A112" s="325" t="s">
        <v>1152</v>
      </c>
      <c r="B112" s="325" t="s">
        <v>1238</v>
      </c>
      <c r="C112" s="325" t="s">
        <v>1239</v>
      </c>
      <c r="D112" s="325" t="s">
        <v>14</v>
      </c>
      <c r="E112" s="326">
        <v>5</v>
      </c>
      <c r="F112" s="331">
        <v>562.5</v>
      </c>
      <c r="G112" s="328"/>
      <c r="H112" s="160" t="s">
        <v>720</v>
      </c>
      <c r="I112" s="324" t="s">
        <v>21</v>
      </c>
    </row>
    <row r="113" spans="1:9" ht="11.1" customHeight="1" outlineLevel="1">
      <c r="A113" s="325" t="s">
        <v>1152</v>
      </c>
      <c r="B113" s="325" t="s">
        <v>1238</v>
      </c>
      <c r="C113" s="325" t="s">
        <v>1239</v>
      </c>
      <c r="D113" s="325" t="s">
        <v>14</v>
      </c>
      <c r="E113" s="326">
        <v>2</v>
      </c>
      <c r="F113" s="331">
        <v>225</v>
      </c>
      <c r="G113" s="328"/>
      <c r="H113" s="160" t="s">
        <v>720</v>
      </c>
      <c r="I113" s="324" t="s">
        <v>21</v>
      </c>
    </row>
    <row r="114" spans="1:9" ht="11.1" customHeight="1" outlineLevel="1">
      <c r="A114" s="325" t="s">
        <v>1152</v>
      </c>
      <c r="B114" s="325" t="s">
        <v>1240</v>
      </c>
      <c r="C114" s="325" t="s">
        <v>1241</v>
      </c>
      <c r="D114" s="325" t="s">
        <v>20</v>
      </c>
      <c r="E114" s="326">
        <v>2</v>
      </c>
      <c r="F114" s="327">
        <v>1770</v>
      </c>
      <c r="G114" s="328"/>
      <c r="H114" s="328" t="s">
        <v>1147</v>
      </c>
      <c r="I114" s="324" t="s">
        <v>21</v>
      </c>
    </row>
    <row r="115" spans="1:9" ht="11.1" customHeight="1" outlineLevel="1">
      <c r="A115" s="325" t="s">
        <v>1152</v>
      </c>
      <c r="B115" s="325" t="s">
        <v>1146</v>
      </c>
      <c r="C115" s="325" t="s">
        <v>730</v>
      </c>
      <c r="D115" s="325" t="s">
        <v>20</v>
      </c>
      <c r="E115" s="326">
        <v>2</v>
      </c>
      <c r="F115" s="331">
        <v>469</v>
      </c>
      <c r="G115" s="328"/>
      <c r="H115" s="328" t="s">
        <v>1147</v>
      </c>
      <c r="I115" s="324" t="s">
        <v>21</v>
      </c>
    </row>
    <row r="116" spans="1:9" ht="11.1" customHeight="1" outlineLevel="1">
      <c r="A116" s="325" t="s">
        <v>1152</v>
      </c>
      <c r="B116" s="325" t="s">
        <v>1146</v>
      </c>
      <c r="C116" s="325" t="s">
        <v>730</v>
      </c>
      <c r="D116" s="325" t="s">
        <v>20</v>
      </c>
      <c r="E116" s="326">
        <v>1</v>
      </c>
      <c r="F116" s="331">
        <v>234.5</v>
      </c>
      <c r="G116" s="328"/>
      <c r="H116" s="328" t="s">
        <v>1147</v>
      </c>
      <c r="I116" s="324" t="s">
        <v>21</v>
      </c>
    </row>
    <row r="117" spans="1:9" ht="11.1" customHeight="1" outlineLevel="1">
      <c r="A117" s="325" t="s">
        <v>1152</v>
      </c>
      <c r="B117" s="325" t="s">
        <v>1242</v>
      </c>
      <c r="C117" s="325" t="s">
        <v>1243</v>
      </c>
      <c r="D117" s="325" t="s">
        <v>20</v>
      </c>
      <c r="E117" s="326">
        <v>1</v>
      </c>
      <c r="F117" s="331">
        <v>144.43</v>
      </c>
      <c r="G117" s="328"/>
      <c r="H117" s="328" t="s">
        <v>1147</v>
      </c>
      <c r="I117" s="324" t="s">
        <v>21</v>
      </c>
    </row>
    <row r="118" spans="1:9" ht="11.1" customHeight="1" outlineLevel="1">
      <c r="A118" s="325" t="s">
        <v>1152</v>
      </c>
      <c r="B118" s="325" t="s">
        <v>1244</v>
      </c>
      <c r="C118" s="325" t="s">
        <v>1245</v>
      </c>
      <c r="D118" s="325" t="s">
        <v>20</v>
      </c>
      <c r="E118" s="326">
        <v>2</v>
      </c>
      <c r="F118" s="327">
        <v>1090</v>
      </c>
      <c r="G118" s="328"/>
      <c r="H118" s="328" t="s">
        <v>1147</v>
      </c>
      <c r="I118" s="324" t="s">
        <v>21</v>
      </c>
    </row>
    <row r="119" spans="1:9" ht="11.1" customHeight="1" outlineLevel="1">
      <c r="A119" s="325" t="s">
        <v>1152</v>
      </c>
      <c r="B119" s="325" t="s">
        <v>1246</v>
      </c>
      <c r="C119" s="325" t="s">
        <v>1247</v>
      </c>
      <c r="D119" s="325" t="s">
        <v>20</v>
      </c>
      <c r="E119" s="326">
        <v>1</v>
      </c>
      <c r="F119" s="331">
        <v>103.33</v>
      </c>
      <c r="G119" s="328"/>
      <c r="H119" s="328" t="s">
        <v>1147</v>
      </c>
      <c r="I119" s="324" t="s">
        <v>21</v>
      </c>
    </row>
    <row r="120" spans="1:9" ht="11.1" customHeight="1" outlineLevel="1">
      <c r="A120" s="325" t="s">
        <v>1152</v>
      </c>
      <c r="B120" s="325" t="s">
        <v>1248</v>
      </c>
      <c r="C120" s="325" t="s">
        <v>1249</v>
      </c>
      <c r="D120" s="325" t="s">
        <v>20</v>
      </c>
      <c r="E120" s="326">
        <v>2</v>
      </c>
      <c r="F120" s="331">
        <v>518.75</v>
      </c>
      <c r="G120" s="328"/>
      <c r="H120" s="328" t="s">
        <v>1147</v>
      </c>
      <c r="I120" s="324" t="s">
        <v>21</v>
      </c>
    </row>
    <row r="121" spans="1:9" ht="11.1" customHeight="1" outlineLevel="1">
      <c r="A121" s="325" t="s">
        <v>1152</v>
      </c>
      <c r="B121" s="325" t="s">
        <v>1250</v>
      </c>
      <c r="C121" s="325" t="s">
        <v>1251</v>
      </c>
      <c r="D121" s="325" t="s">
        <v>20</v>
      </c>
      <c r="E121" s="326">
        <v>1</v>
      </c>
      <c r="F121" s="331">
        <v>326</v>
      </c>
      <c r="G121" s="328"/>
      <c r="H121" s="328" t="s">
        <v>1147</v>
      </c>
      <c r="I121" s="324" t="s">
        <v>21</v>
      </c>
    </row>
    <row r="122" spans="1:9" ht="11.1" customHeight="1" outlineLevel="1">
      <c r="A122" s="325" t="s">
        <v>1152</v>
      </c>
      <c r="B122" s="325" t="s">
        <v>1252</v>
      </c>
      <c r="C122" s="325" t="s">
        <v>1253</v>
      </c>
      <c r="D122" s="325" t="s">
        <v>20</v>
      </c>
      <c r="E122" s="326">
        <v>1</v>
      </c>
      <c r="F122" s="331">
        <v>598</v>
      </c>
      <c r="G122" s="328"/>
      <c r="H122" s="328" t="s">
        <v>1147</v>
      </c>
      <c r="I122" s="324" t="s">
        <v>21</v>
      </c>
    </row>
    <row r="123" spans="1:9" ht="11.1" customHeight="1" outlineLevel="1">
      <c r="A123" s="325" t="s">
        <v>1152</v>
      </c>
      <c r="B123" s="325" t="s">
        <v>1254</v>
      </c>
      <c r="C123" s="325" t="s">
        <v>1255</v>
      </c>
      <c r="D123" s="325" t="s">
        <v>20</v>
      </c>
      <c r="E123" s="326">
        <v>1</v>
      </c>
      <c r="F123" s="331">
        <v>139.19999999999999</v>
      </c>
      <c r="G123" s="328"/>
      <c r="H123" s="328" t="s">
        <v>1147</v>
      </c>
      <c r="I123" s="324" t="s">
        <v>21</v>
      </c>
    </row>
    <row r="124" spans="1:9" ht="11.1" customHeight="1" outlineLevel="1">
      <c r="A124" s="325" t="s">
        <v>1152</v>
      </c>
      <c r="B124" s="325" t="s">
        <v>1256</v>
      </c>
      <c r="C124" s="325" t="s">
        <v>1257</v>
      </c>
      <c r="D124" s="325" t="s">
        <v>20</v>
      </c>
      <c r="E124" s="326">
        <v>1</v>
      </c>
      <c r="F124" s="331">
        <v>69.2</v>
      </c>
      <c r="G124" s="328"/>
      <c r="H124" s="328" t="s">
        <v>1147</v>
      </c>
      <c r="I124" s="324" t="s">
        <v>21</v>
      </c>
    </row>
    <row r="125" spans="1:9" ht="11.1" customHeight="1" outlineLevel="1">
      <c r="A125" s="325" t="s">
        <v>1152</v>
      </c>
      <c r="B125" s="325" t="s">
        <v>1256</v>
      </c>
      <c r="C125" s="325" t="s">
        <v>1257</v>
      </c>
      <c r="D125" s="325" t="s">
        <v>20</v>
      </c>
      <c r="E125" s="326">
        <v>1</v>
      </c>
      <c r="F125" s="331">
        <v>69.2</v>
      </c>
      <c r="G125" s="328"/>
      <c r="H125" s="328" t="s">
        <v>1147</v>
      </c>
      <c r="I125" s="324" t="s">
        <v>21</v>
      </c>
    </row>
    <row r="126" spans="1:9" ht="11.1" customHeight="1" outlineLevel="1">
      <c r="A126" s="325" t="s">
        <v>1152</v>
      </c>
      <c r="B126" s="325" t="s">
        <v>1258</v>
      </c>
      <c r="C126" s="325" t="s">
        <v>1259</v>
      </c>
      <c r="D126" s="325" t="s">
        <v>20</v>
      </c>
      <c r="E126" s="326">
        <v>2</v>
      </c>
      <c r="F126" s="331">
        <v>138.4</v>
      </c>
      <c r="G126" s="328"/>
      <c r="H126" s="328" t="s">
        <v>1147</v>
      </c>
      <c r="I126" s="324" t="s">
        <v>21</v>
      </c>
    </row>
    <row r="127" spans="1:9" ht="11.1" customHeight="1" outlineLevel="1">
      <c r="A127" s="325" t="s">
        <v>1152</v>
      </c>
      <c r="B127" s="325" t="s">
        <v>1260</v>
      </c>
      <c r="C127" s="325" t="s">
        <v>1261</v>
      </c>
      <c r="D127" s="325" t="s">
        <v>20</v>
      </c>
      <c r="E127" s="326">
        <v>10</v>
      </c>
      <c r="F127" s="331">
        <v>508</v>
      </c>
      <c r="G127" s="328"/>
      <c r="H127" s="328" t="s">
        <v>1147</v>
      </c>
      <c r="I127" s="324" t="s">
        <v>21</v>
      </c>
    </row>
    <row r="128" spans="1:9" ht="11.1" customHeight="1" outlineLevel="1">
      <c r="A128" s="325" t="s">
        <v>1152</v>
      </c>
      <c r="B128" s="325" t="s">
        <v>1260</v>
      </c>
      <c r="C128" s="325" t="s">
        <v>1261</v>
      </c>
      <c r="D128" s="325" t="s">
        <v>20</v>
      </c>
      <c r="E128" s="326">
        <v>5</v>
      </c>
      <c r="F128" s="331">
        <v>254</v>
      </c>
      <c r="G128" s="328"/>
      <c r="H128" s="328" t="s">
        <v>1147</v>
      </c>
      <c r="I128" s="324" t="s">
        <v>21</v>
      </c>
    </row>
    <row r="129" spans="1:9" ht="11.1" customHeight="1" outlineLevel="1">
      <c r="A129" s="325" t="s">
        <v>1152</v>
      </c>
      <c r="B129" s="325" t="s">
        <v>1260</v>
      </c>
      <c r="C129" s="325" t="s">
        <v>1261</v>
      </c>
      <c r="D129" s="325" t="s">
        <v>20</v>
      </c>
      <c r="E129" s="326">
        <v>5</v>
      </c>
      <c r="F129" s="331">
        <v>254</v>
      </c>
      <c r="G129" s="328"/>
      <c r="H129" s="328" t="s">
        <v>1147</v>
      </c>
      <c r="I129" s="324" t="s">
        <v>21</v>
      </c>
    </row>
    <row r="130" spans="1:9" ht="11.1" customHeight="1" outlineLevel="1">
      <c r="A130" s="325" t="s">
        <v>1152</v>
      </c>
      <c r="B130" s="325" t="s">
        <v>1260</v>
      </c>
      <c r="C130" s="325" t="s">
        <v>1261</v>
      </c>
      <c r="D130" s="325" t="s">
        <v>20</v>
      </c>
      <c r="E130" s="326">
        <v>10</v>
      </c>
      <c r="F130" s="331">
        <v>508</v>
      </c>
      <c r="G130" s="328"/>
      <c r="H130" s="328" t="s">
        <v>1147</v>
      </c>
      <c r="I130" s="324" t="s">
        <v>21</v>
      </c>
    </row>
    <row r="131" spans="1:9" ht="11.1" customHeight="1" outlineLevel="1">
      <c r="A131" s="325" t="s">
        <v>1152</v>
      </c>
      <c r="B131" s="325" t="s">
        <v>1260</v>
      </c>
      <c r="C131" s="325" t="s">
        <v>1261</v>
      </c>
      <c r="D131" s="325" t="s">
        <v>20</v>
      </c>
      <c r="E131" s="326">
        <v>10</v>
      </c>
      <c r="F131" s="331">
        <v>508</v>
      </c>
      <c r="G131" s="328"/>
      <c r="H131" s="328" t="s">
        <v>1147</v>
      </c>
      <c r="I131" s="324" t="s">
        <v>21</v>
      </c>
    </row>
    <row r="132" spans="1:9" ht="11.1" customHeight="1" outlineLevel="1">
      <c r="A132" s="325" t="s">
        <v>1152</v>
      </c>
      <c r="B132" s="325" t="s">
        <v>1260</v>
      </c>
      <c r="C132" s="325" t="s">
        <v>1261</v>
      </c>
      <c r="D132" s="325" t="s">
        <v>20</v>
      </c>
      <c r="E132" s="326">
        <v>10</v>
      </c>
      <c r="F132" s="331">
        <v>508</v>
      </c>
      <c r="G132" s="328"/>
      <c r="H132" s="328" t="s">
        <v>1147</v>
      </c>
      <c r="I132" s="324" t="s">
        <v>21</v>
      </c>
    </row>
    <row r="133" spans="1:9" ht="11.1" customHeight="1" outlineLevel="1">
      <c r="A133" s="325" t="s">
        <v>1152</v>
      </c>
      <c r="B133" s="325" t="s">
        <v>1157</v>
      </c>
      <c r="C133" s="325" t="s">
        <v>1158</v>
      </c>
      <c r="D133" s="325" t="s">
        <v>20</v>
      </c>
      <c r="E133" s="326">
        <v>2</v>
      </c>
      <c r="F133" s="331">
        <v>36.6</v>
      </c>
      <c r="G133" s="328"/>
      <c r="H133" s="160" t="s">
        <v>1159</v>
      </c>
      <c r="I133" s="324" t="s">
        <v>21</v>
      </c>
    </row>
    <row r="134" spans="1:9" ht="11.1" customHeight="1" outlineLevel="1">
      <c r="A134" s="325" t="s">
        <v>1152</v>
      </c>
      <c r="B134" s="325" t="s">
        <v>1262</v>
      </c>
      <c r="C134" s="325" t="s">
        <v>1263</v>
      </c>
      <c r="D134" s="325" t="s">
        <v>20</v>
      </c>
      <c r="E134" s="326">
        <v>1</v>
      </c>
      <c r="F134" s="331">
        <v>205</v>
      </c>
      <c r="G134" s="328"/>
      <c r="H134" s="160" t="s">
        <v>1159</v>
      </c>
      <c r="I134" s="324" t="s">
        <v>21</v>
      </c>
    </row>
    <row r="135" spans="1:9" ht="11.1" customHeight="1" outlineLevel="1">
      <c r="A135" s="325" t="s">
        <v>1152</v>
      </c>
      <c r="B135" s="325" t="s">
        <v>1262</v>
      </c>
      <c r="C135" s="325" t="s">
        <v>1263</v>
      </c>
      <c r="D135" s="325" t="s">
        <v>20</v>
      </c>
      <c r="E135" s="326">
        <v>2</v>
      </c>
      <c r="F135" s="331">
        <v>410</v>
      </c>
      <c r="G135" s="328"/>
      <c r="H135" s="160" t="s">
        <v>1159</v>
      </c>
      <c r="I135" s="324" t="s">
        <v>21</v>
      </c>
    </row>
    <row r="136" spans="1:9" ht="11.1" customHeight="1" outlineLevel="1">
      <c r="A136" s="325" t="s">
        <v>1152</v>
      </c>
      <c r="B136" s="325" t="s">
        <v>1262</v>
      </c>
      <c r="C136" s="325" t="s">
        <v>1263</v>
      </c>
      <c r="D136" s="325" t="s">
        <v>20</v>
      </c>
      <c r="E136" s="326">
        <v>2</v>
      </c>
      <c r="F136" s="331">
        <v>410</v>
      </c>
      <c r="G136" s="328"/>
      <c r="H136" s="160" t="s">
        <v>1159</v>
      </c>
      <c r="I136" s="324" t="s">
        <v>21</v>
      </c>
    </row>
    <row r="137" spans="1:9" ht="11.1" customHeight="1" outlineLevel="1">
      <c r="A137" s="325" t="s">
        <v>1152</v>
      </c>
      <c r="B137" s="325" t="s">
        <v>1264</v>
      </c>
      <c r="C137" s="325" t="s">
        <v>1265</v>
      </c>
      <c r="D137" s="325" t="s">
        <v>20</v>
      </c>
      <c r="E137" s="326">
        <v>12</v>
      </c>
      <c r="F137" s="331">
        <v>609.6</v>
      </c>
      <c r="G137" s="328"/>
      <c r="H137" s="160" t="s">
        <v>1159</v>
      </c>
      <c r="I137" s="324" t="s">
        <v>21</v>
      </c>
    </row>
    <row r="138" spans="1:9" ht="11.1" customHeight="1" outlineLevel="1">
      <c r="A138" s="325" t="s">
        <v>1152</v>
      </c>
      <c r="B138" s="325" t="s">
        <v>1264</v>
      </c>
      <c r="C138" s="325" t="s">
        <v>1265</v>
      </c>
      <c r="D138" s="325" t="s">
        <v>20</v>
      </c>
      <c r="E138" s="326">
        <v>133</v>
      </c>
      <c r="F138" s="327">
        <v>6443.72</v>
      </c>
      <c r="G138" s="328"/>
      <c r="H138" s="160" t="s">
        <v>1159</v>
      </c>
      <c r="I138" s="324" t="s">
        <v>21</v>
      </c>
    </row>
    <row r="139" spans="1:9" ht="11.1" customHeight="1" outlineLevel="1">
      <c r="A139" s="325" t="s">
        <v>1152</v>
      </c>
      <c r="B139" s="325" t="s">
        <v>1264</v>
      </c>
      <c r="C139" s="325" t="s">
        <v>1265</v>
      </c>
      <c r="D139" s="325" t="s">
        <v>20</v>
      </c>
      <c r="E139" s="326">
        <v>10</v>
      </c>
      <c r="F139" s="331">
        <v>475</v>
      </c>
      <c r="G139" s="328"/>
      <c r="H139" s="160" t="s">
        <v>1159</v>
      </c>
      <c r="I139" s="324" t="s">
        <v>21</v>
      </c>
    </row>
    <row r="140" spans="1:9" ht="11.1" customHeight="1" outlineLevel="1">
      <c r="A140" s="325" t="s">
        <v>1152</v>
      </c>
      <c r="B140" s="325" t="s">
        <v>1264</v>
      </c>
      <c r="C140" s="325" t="s">
        <v>1265</v>
      </c>
      <c r="D140" s="325" t="s">
        <v>20</v>
      </c>
      <c r="E140" s="326">
        <v>6</v>
      </c>
      <c r="F140" s="331">
        <v>285</v>
      </c>
      <c r="G140" s="328"/>
      <c r="H140" s="160" t="s">
        <v>1159</v>
      </c>
      <c r="I140" s="324" t="s">
        <v>21</v>
      </c>
    </row>
    <row r="141" spans="1:9" ht="11.1" customHeight="1" outlineLevel="1">
      <c r="A141" s="325" t="s">
        <v>1152</v>
      </c>
      <c r="B141" s="325" t="s">
        <v>1264</v>
      </c>
      <c r="C141" s="325" t="s">
        <v>1265</v>
      </c>
      <c r="D141" s="325" t="s">
        <v>20</v>
      </c>
      <c r="E141" s="326">
        <v>3</v>
      </c>
      <c r="F141" s="331">
        <v>152.4</v>
      </c>
      <c r="G141" s="328"/>
      <c r="H141" s="160" t="s">
        <v>1159</v>
      </c>
      <c r="I141" s="324" t="s">
        <v>21</v>
      </c>
    </row>
    <row r="142" spans="1:9" ht="11.1" customHeight="1" outlineLevel="1">
      <c r="A142" s="325" t="s">
        <v>1152</v>
      </c>
      <c r="B142" s="325" t="s">
        <v>1264</v>
      </c>
      <c r="C142" s="325" t="s">
        <v>1265</v>
      </c>
      <c r="D142" s="325" t="s">
        <v>20</v>
      </c>
      <c r="E142" s="326">
        <v>5</v>
      </c>
      <c r="F142" s="331">
        <v>237.5</v>
      </c>
      <c r="G142" s="328"/>
      <c r="H142" s="160" t="s">
        <v>1159</v>
      </c>
      <c r="I142" s="324" t="s">
        <v>21</v>
      </c>
    </row>
    <row r="143" spans="1:9" ht="11.1" customHeight="1" outlineLevel="1">
      <c r="A143" s="325" t="s">
        <v>1152</v>
      </c>
      <c r="B143" s="325" t="s">
        <v>1266</v>
      </c>
      <c r="C143" s="325" t="s">
        <v>1267</v>
      </c>
      <c r="D143" s="325" t="s">
        <v>20</v>
      </c>
      <c r="E143" s="326">
        <v>2</v>
      </c>
      <c r="F143" s="331">
        <v>73.400000000000006</v>
      </c>
      <c r="G143" s="328"/>
      <c r="H143" s="328" t="s">
        <v>1147</v>
      </c>
      <c r="I143" s="324" t="s">
        <v>21</v>
      </c>
    </row>
    <row r="144" spans="1:9" ht="11.1" customHeight="1" outlineLevel="1">
      <c r="A144" s="325" t="s">
        <v>1152</v>
      </c>
      <c r="B144" s="325" t="s">
        <v>1268</v>
      </c>
      <c r="C144" s="325" t="s">
        <v>1269</v>
      </c>
      <c r="D144" s="325" t="s">
        <v>20</v>
      </c>
      <c r="E144" s="326">
        <v>10</v>
      </c>
      <c r="F144" s="331">
        <v>292</v>
      </c>
      <c r="G144" s="328"/>
      <c r="H144" s="328" t="s">
        <v>1147</v>
      </c>
      <c r="I144" s="324" t="s">
        <v>21</v>
      </c>
    </row>
    <row r="145" spans="1:9" ht="11.1" customHeight="1" outlineLevel="1">
      <c r="A145" s="325" t="s">
        <v>1152</v>
      </c>
      <c r="B145" s="325" t="s">
        <v>1268</v>
      </c>
      <c r="C145" s="325" t="s">
        <v>1269</v>
      </c>
      <c r="D145" s="325" t="s">
        <v>20</v>
      </c>
      <c r="E145" s="326">
        <v>3</v>
      </c>
      <c r="F145" s="331">
        <v>87.6</v>
      </c>
      <c r="G145" s="328"/>
      <c r="H145" s="328" t="s">
        <v>1147</v>
      </c>
      <c r="I145" s="324" t="s">
        <v>21</v>
      </c>
    </row>
    <row r="146" spans="1:9" ht="11.1" customHeight="1" outlineLevel="1">
      <c r="A146" s="325" t="s">
        <v>1152</v>
      </c>
      <c r="B146" s="325" t="s">
        <v>1270</v>
      </c>
      <c r="C146" s="325" t="s">
        <v>1271</v>
      </c>
      <c r="D146" s="325" t="s">
        <v>20</v>
      </c>
      <c r="E146" s="326">
        <v>1</v>
      </c>
      <c r="F146" s="331">
        <v>234.17</v>
      </c>
      <c r="G146" s="328"/>
      <c r="H146" s="328" t="s">
        <v>1147</v>
      </c>
      <c r="I146" s="324" t="s">
        <v>21</v>
      </c>
    </row>
    <row r="147" spans="1:9" ht="11.1" customHeight="1" outlineLevel="1">
      <c r="A147" s="325" t="s">
        <v>1152</v>
      </c>
      <c r="B147" s="325" t="s">
        <v>1272</v>
      </c>
      <c r="C147" s="325" t="s">
        <v>1273</v>
      </c>
      <c r="D147" s="325" t="s">
        <v>20</v>
      </c>
      <c r="E147" s="326">
        <v>2</v>
      </c>
      <c r="F147" s="331">
        <v>105</v>
      </c>
      <c r="G147" s="328"/>
      <c r="H147" s="328" t="s">
        <v>1147</v>
      </c>
      <c r="I147" s="324" t="s">
        <v>21</v>
      </c>
    </row>
    <row r="148" spans="1:9" ht="11.1" customHeight="1" outlineLevel="1">
      <c r="A148" s="325" t="s">
        <v>1152</v>
      </c>
      <c r="B148" s="325" t="s">
        <v>1274</v>
      </c>
      <c r="C148" s="325" t="s">
        <v>1275</v>
      </c>
      <c r="D148" s="325" t="s">
        <v>20</v>
      </c>
      <c r="E148" s="326">
        <v>1</v>
      </c>
      <c r="F148" s="327">
        <v>3580</v>
      </c>
      <c r="G148" s="328"/>
      <c r="H148" s="328" t="s">
        <v>1147</v>
      </c>
      <c r="I148" s="324" t="s">
        <v>21</v>
      </c>
    </row>
    <row r="149" spans="1:9" ht="11.1" customHeight="1" outlineLevel="1">
      <c r="A149" s="325" t="s">
        <v>1152</v>
      </c>
      <c r="B149" s="325" t="s">
        <v>1276</v>
      </c>
      <c r="C149" s="325" t="s">
        <v>1277</v>
      </c>
      <c r="D149" s="325" t="s">
        <v>20</v>
      </c>
      <c r="E149" s="326">
        <v>2</v>
      </c>
      <c r="F149" s="331">
        <v>37</v>
      </c>
      <c r="G149" s="328"/>
      <c r="H149" s="328" t="s">
        <v>1147</v>
      </c>
      <c r="I149" s="324" t="s">
        <v>21</v>
      </c>
    </row>
    <row r="150" spans="1:9" ht="11.1" customHeight="1" outlineLevel="1">
      <c r="A150" s="325" t="s">
        <v>1152</v>
      </c>
      <c r="B150" s="325" t="s">
        <v>1276</v>
      </c>
      <c r="C150" s="325" t="s">
        <v>1277</v>
      </c>
      <c r="D150" s="325" t="s">
        <v>20</v>
      </c>
      <c r="E150" s="326">
        <v>3</v>
      </c>
      <c r="F150" s="331">
        <v>55.5</v>
      </c>
      <c r="G150" s="328"/>
      <c r="H150" s="328" t="s">
        <v>1147</v>
      </c>
      <c r="I150" s="324" t="s">
        <v>21</v>
      </c>
    </row>
    <row r="151" spans="1:9" ht="11.1" customHeight="1" outlineLevel="1">
      <c r="A151" s="325" t="s">
        <v>1152</v>
      </c>
      <c r="B151" s="325" t="s">
        <v>1276</v>
      </c>
      <c r="C151" s="325" t="s">
        <v>1277</v>
      </c>
      <c r="D151" s="325" t="s">
        <v>20</v>
      </c>
      <c r="E151" s="326">
        <v>2</v>
      </c>
      <c r="F151" s="331">
        <v>37</v>
      </c>
      <c r="G151" s="328"/>
      <c r="H151" s="328" t="s">
        <v>1147</v>
      </c>
      <c r="I151" s="324" t="s">
        <v>21</v>
      </c>
    </row>
    <row r="152" spans="1:9" ht="11.1" customHeight="1" outlineLevel="1">
      <c r="A152" s="325" t="s">
        <v>1152</v>
      </c>
      <c r="B152" s="325" t="s">
        <v>1276</v>
      </c>
      <c r="C152" s="325" t="s">
        <v>1277</v>
      </c>
      <c r="D152" s="325" t="s">
        <v>20</v>
      </c>
      <c r="E152" s="326">
        <v>3</v>
      </c>
      <c r="F152" s="331">
        <v>55.5</v>
      </c>
      <c r="G152" s="328"/>
      <c r="H152" s="328" t="s">
        <v>1147</v>
      </c>
      <c r="I152" s="324" t="s">
        <v>21</v>
      </c>
    </row>
    <row r="153" spans="1:9" ht="11.1" customHeight="1" outlineLevel="1">
      <c r="A153" s="325" t="s">
        <v>1152</v>
      </c>
      <c r="B153" s="325" t="s">
        <v>1276</v>
      </c>
      <c r="C153" s="325" t="s">
        <v>1277</v>
      </c>
      <c r="D153" s="325" t="s">
        <v>20</v>
      </c>
      <c r="E153" s="326">
        <v>3</v>
      </c>
      <c r="F153" s="331">
        <v>55.5</v>
      </c>
      <c r="G153" s="328"/>
      <c r="H153" s="328" t="s">
        <v>1147</v>
      </c>
      <c r="I153" s="324" t="s">
        <v>21</v>
      </c>
    </row>
    <row r="154" spans="1:9" ht="11.1" customHeight="1" outlineLevel="1">
      <c r="A154" s="325" t="s">
        <v>1152</v>
      </c>
      <c r="B154" s="325" t="s">
        <v>1276</v>
      </c>
      <c r="C154" s="325" t="s">
        <v>1277</v>
      </c>
      <c r="D154" s="325" t="s">
        <v>20</v>
      </c>
      <c r="E154" s="326">
        <v>3</v>
      </c>
      <c r="F154" s="331">
        <v>55.5</v>
      </c>
      <c r="G154" s="328"/>
      <c r="H154" s="328" t="s">
        <v>1147</v>
      </c>
      <c r="I154" s="324" t="s">
        <v>21</v>
      </c>
    </row>
    <row r="155" spans="1:9" ht="11.1" customHeight="1" outlineLevel="1">
      <c r="A155" s="325" t="s">
        <v>1152</v>
      </c>
      <c r="B155" s="325" t="s">
        <v>1276</v>
      </c>
      <c r="C155" s="325" t="s">
        <v>1277</v>
      </c>
      <c r="D155" s="325" t="s">
        <v>20</v>
      </c>
      <c r="E155" s="326">
        <v>2</v>
      </c>
      <c r="F155" s="331">
        <v>37</v>
      </c>
      <c r="G155" s="328"/>
      <c r="H155" s="328" t="s">
        <v>1147</v>
      </c>
      <c r="I155" s="324" t="s">
        <v>21</v>
      </c>
    </row>
    <row r="156" spans="1:9" ht="11.1" customHeight="1" outlineLevel="1">
      <c r="A156" s="325" t="s">
        <v>1152</v>
      </c>
      <c r="B156" s="325" t="s">
        <v>1276</v>
      </c>
      <c r="C156" s="325" t="s">
        <v>1277</v>
      </c>
      <c r="D156" s="325" t="s">
        <v>20</v>
      </c>
      <c r="E156" s="326">
        <v>1</v>
      </c>
      <c r="F156" s="331">
        <v>18.5</v>
      </c>
      <c r="G156" s="328"/>
      <c r="H156" s="328" t="s">
        <v>1147</v>
      </c>
      <c r="I156" s="324" t="s">
        <v>21</v>
      </c>
    </row>
    <row r="157" spans="1:9" ht="11.1" customHeight="1" outlineLevel="1">
      <c r="A157" s="325" t="s">
        <v>1152</v>
      </c>
      <c r="B157" s="325" t="s">
        <v>1168</v>
      </c>
      <c r="C157" s="325" t="s">
        <v>1169</v>
      </c>
      <c r="D157" s="325" t="s">
        <v>20</v>
      </c>
      <c r="E157" s="326">
        <v>4</v>
      </c>
      <c r="F157" s="331">
        <v>425.5</v>
      </c>
      <c r="G157" s="328"/>
      <c r="H157" s="328" t="s">
        <v>1147</v>
      </c>
      <c r="I157" s="324" t="s">
        <v>21</v>
      </c>
    </row>
    <row r="158" spans="1:9" ht="11.1" customHeight="1" outlineLevel="1">
      <c r="A158" s="325" t="s">
        <v>1152</v>
      </c>
      <c r="B158" s="325" t="s">
        <v>1168</v>
      </c>
      <c r="C158" s="325" t="s">
        <v>1169</v>
      </c>
      <c r="D158" s="325" t="s">
        <v>20</v>
      </c>
      <c r="E158" s="326">
        <v>1</v>
      </c>
      <c r="F158" s="331">
        <v>106.38</v>
      </c>
      <c r="G158" s="328"/>
      <c r="H158" s="328" t="s">
        <v>1147</v>
      </c>
      <c r="I158" s="324" t="s">
        <v>21</v>
      </c>
    </row>
    <row r="159" spans="1:9" ht="11.1" customHeight="1" outlineLevel="1">
      <c r="A159" s="325" t="s">
        <v>1152</v>
      </c>
      <c r="B159" s="325" t="s">
        <v>1278</v>
      </c>
      <c r="C159" s="325" t="s">
        <v>1279</v>
      </c>
      <c r="D159" s="325" t="s">
        <v>20</v>
      </c>
      <c r="E159" s="326">
        <v>1</v>
      </c>
      <c r="F159" s="331">
        <v>115</v>
      </c>
      <c r="G159" s="328"/>
      <c r="H159" s="328" t="s">
        <v>1147</v>
      </c>
      <c r="I159" s="324" t="s">
        <v>21</v>
      </c>
    </row>
    <row r="160" spans="1:9" ht="11.1" customHeight="1" outlineLevel="1">
      <c r="A160" s="325" t="s">
        <v>1152</v>
      </c>
      <c r="B160" s="325" t="s">
        <v>1280</v>
      </c>
      <c r="C160" s="325" t="s">
        <v>1281</v>
      </c>
      <c r="D160" s="325" t="s">
        <v>20</v>
      </c>
      <c r="E160" s="326">
        <v>6</v>
      </c>
      <c r="F160" s="327">
        <v>1500.83</v>
      </c>
      <c r="G160" s="328"/>
      <c r="H160" s="328" t="s">
        <v>1147</v>
      </c>
      <c r="I160" s="324" t="s">
        <v>21</v>
      </c>
    </row>
    <row r="161" spans="1:9" ht="11.1" customHeight="1" outlineLevel="1">
      <c r="A161" s="325" t="s">
        <v>1152</v>
      </c>
      <c r="B161" s="325" t="s">
        <v>1282</v>
      </c>
      <c r="C161" s="325" t="s">
        <v>1283</v>
      </c>
      <c r="D161" s="325" t="s">
        <v>20</v>
      </c>
      <c r="E161" s="326">
        <v>2</v>
      </c>
      <c r="F161" s="327">
        <v>1804</v>
      </c>
      <c r="G161" s="328"/>
      <c r="H161" s="328" t="s">
        <v>1147</v>
      </c>
      <c r="I161" s="324" t="s">
        <v>21</v>
      </c>
    </row>
    <row r="162" spans="1:9" ht="11.1" customHeight="1" outlineLevel="1">
      <c r="A162" s="325" t="s">
        <v>1152</v>
      </c>
      <c r="B162" s="325" t="s">
        <v>1284</v>
      </c>
      <c r="C162" s="325" t="s">
        <v>1285</v>
      </c>
      <c r="D162" s="325" t="s">
        <v>20</v>
      </c>
      <c r="E162" s="326">
        <v>1</v>
      </c>
      <c r="F162" s="327">
        <v>1936</v>
      </c>
      <c r="G162" s="328"/>
      <c r="H162" s="328" t="s">
        <v>1147</v>
      </c>
      <c r="I162" s="324" t="s">
        <v>21</v>
      </c>
    </row>
    <row r="163" spans="1:9" ht="11.1" customHeight="1" outlineLevel="1">
      <c r="A163" s="325" t="s">
        <v>1152</v>
      </c>
      <c r="B163" s="325" t="s">
        <v>1286</v>
      </c>
      <c r="C163" s="325" t="s">
        <v>1287</v>
      </c>
      <c r="D163" s="325" t="s">
        <v>20</v>
      </c>
      <c r="E163" s="326">
        <v>1</v>
      </c>
      <c r="F163" s="331">
        <v>825</v>
      </c>
      <c r="G163" s="328"/>
      <c r="H163" s="328" t="s">
        <v>1147</v>
      </c>
      <c r="I163" s="324" t="s">
        <v>21</v>
      </c>
    </row>
    <row r="164" spans="1:9" ht="11.1" customHeight="1" outlineLevel="1">
      <c r="A164" s="325" t="s">
        <v>1133</v>
      </c>
      <c r="B164" s="325" t="s">
        <v>1205</v>
      </c>
      <c r="C164" s="325" t="s">
        <v>1206</v>
      </c>
      <c r="D164" s="325" t="s">
        <v>261</v>
      </c>
      <c r="E164" s="326">
        <v>-1</v>
      </c>
      <c r="F164" s="328"/>
      <c r="G164" s="328"/>
      <c r="H164" s="160" t="s">
        <v>203</v>
      </c>
      <c r="I164" s="324" t="s">
        <v>1087</v>
      </c>
    </row>
    <row r="165" spans="1:9" ht="11.1" customHeight="1" outlineLevel="1">
      <c r="A165" s="325" t="s">
        <v>1133</v>
      </c>
      <c r="B165" s="325" t="s">
        <v>1205</v>
      </c>
      <c r="C165" s="325" t="s">
        <v>1206</v>
      </c>
      <c r="D165" s="325" t="s">
        <v>261</v>
      </c>
      <c r="E165" s="326">
        <v>86.64</v>
      </c>
      <c r="F165" s="327">
        <v>5689.65</v>
      </c>
      <c r="G165" s="328"/>
      <c r="H165" s="160" t="s">
        <v>203</v>
      </c>
      <c r="I165" s="324" t="s">
        <v>1087</v>
      </c>
    </row>
    <row r="166" spans="1:9" ht="11.1" customHeight="1" outlineLevel="1">
      <c r="A166" s="325" t="s">
        <v>1133</v>
      </c>
      <c r="B166" s="325" t="s">
        <v>1205</v>
      </c>
      <c r="C166" s="325" t="s">
        <v>1206</v>
      </c>
      <c r="D166" s="325" t="s">
        <v>261</v>
      </c>
      <c r="E166" s="328"/>
      <c r="F166" s="331">
        <v>-65.67</v>
      </c>
      <c r="G166" s="328"/>
      <c r="H166" s="160" t="s">
        <v>203</v>
      </c>
      <c r="I166" s="324" t="s">
        <v>1087</v>
      </c>
    </row>
    <row r="167" spans="1:9" ht="11.1" customHeight="1" outlineLevel="1">
      <c r="A167" s="325" t="s">
        <v>1152</v>
      </c>
      <c r="B167" s="325" t="s">
        <v>1185</v>
      </c>
      <c r="C167" s="325" t="s">
        <v>1186</v>
      </c>
      <c r="D167" s="325" t="s">
        <v>1187</v>
      </c>
      <c r="E167" s="326">
        <v>1</v>
      </c>
      <c r="F167" s="331">
        <v>268.52</v>
      </c>
      <c r="G167" s="328"/>
      <c r="H167" s="328" t="s">
        <v>1147</v>
      </c>
      <c r="I167" s="324" t="s">
        <v>21</v>
      </c>
    </row>
    <row r="168" spans="1:9" ht="11.1" customHeight="1" outlineLevel="1">
      <c r="A168" s="325" t="s">
        <v>1152</v>
      </c>
      <c r="B168" s="325" t="s">
        <v>1185</v>
      </c>
      <c r="C168" s="325" t="s">
        <v>1186</v>
      </c>
      <c r="D168" s="325" t="s">
        <v>1187</v>
      </c>
      <c r="E168" s="326">
        <v>1</v>
      </c>
      <c r="F168" s="331">
        <v>268.52</v>
      </c>
      <c r="G168" s="328"/>
      <c r="H168" s="328" t="s">
        <v>1147</v>
      </c>
      <c r="I168" s="324" t="s">
        <v>21</v>
      </c>
    </row>
    <row r="169" spans="1:9" ht="11.1" customHeight="1" outlineLevel="1">
      <c r="A169" s="325" t="s">
        <v>1152</v>
      </c>
      <c r="B169" s="325" t="s">
        <v>1185</v>
      </c>
      <c r="C169" s="325" t="s">
        <v>1186</v>
      </c>
      <c r="D169" s="325" t="s">
        <v>1187</v>
      </c>
      <c r="E169" s="326">
        <v>2</v>
      </c>
      <c r="F169" s="331">
        <v>343.32</v>
      </c>
      <c r="G169" s="328"/>
      <c r="H169" s="328" t="s">
        <v>1147</v>
      </c>
      <c r="I169" s="324" t="s">
        <v>21</v>
      </c>
    </row>
    <row r="170" spans="1:9" ht="11.1" customHeight="1" outlineLevel="1">
      <c r="A170" s="325" t="s">
        <v>1152</v>
      </c>
      <c r="B170" s="325" t="s">
        <v>1185</v>
      </c>
      <c r="C170" s="325" t="s">
        <v>1186</v>
      </c>
      <c r="D170" s="325" t="s">
        <v>1187</v>
      </c>
      <c r="E170" s="326">
        <v>3</v>
      </c>
      <c r="F170" s="331">
        <v>807.6</v>
      </c>
      <c r="G170" s="328"/>
      <c r="H170" s="328" t="s">
        <v>1147</v>
      </c>
      <c r="I170" s="324" t="s">
        <v>21</v>
      </c>
    </row>
    <row r="171" spans="1:9" ht="11.1" customHeight="1" outlineLevel="1">
      <c r="A171" s="325" t="s">
        <v>1152</v>
      </c>
      <c r="B171" s="325" t="s">
        <v>1185</v>
      </c>
      <c r="C171" s="325" t="s">
        <v>1186</v>
      </c>
      <c r="D171" s="325" t="s">
        <v>1187</v>
      </c>
      <c r="E171" s="326">
        <v>2</v>
      </c>
      <c r="F171" s="331">
        <v>254</v>
      </c>
      <c r="G171" s="328"/>
      <c r="H171" s="328" t="s">
        <v>1147</v>
      </c>
      <c r="I171" s="324" t="s">
        <v>21</v>
      </c>
    </row>
    <row r="172" spans="1:9" ht="11.1" customHeight="1" outlineLevel="1">
      <c r="A172" s="325" t="s">
        <v>1152</v>
      </c>
      <c r="B172" s="325" t="s">
        <v>1288</v>
      </c>
      <c r="C172" s="325" t="s">
        <v>1289</v>
      </c>
      <c r="D172" s="325" t="s">
        <v>1187</v>
      </c>
      <c r="E172" s="326">
        <v>2</v>
      </c>
      <c r="F172" s="331">
        <v>58.43</v>
      </c>
      <c r="G172" s="328"/>
      <c r="H172" s="328" t="s">
        <v>1147</v>
      </c>
      <c r="I172" s="324" t="s">
        <v>21</v>
      </c>
    </row>
    <row r="173" spans="1:9" ht="11.1" customHeight="1" outlineLevel="1">
      <c r="A173" s="325" t="s">
        <v>1152</v>
      </c>
      <c r="B173" s="325" t="s">
        <v>1288</v>
      </c>
      <c r="C173" s="325" t="s">
        <v>1289</v>
      </c>
      <c r="D173" s="325" t="s">
        <v>1187</v>
      </c>
      <c r="E173" s="326">
        <v>1</v>
      </c>
      <c r="F173" s="331">
        <v>29.21</v>
      </c>
      <c r="G173" s="328"/>
      <c r="H173" s="328" t="s">
        <v>1147</v>
      </c>
      <c r="I173" s="324" t="s">
        <v>21</v>
      </c>
    </row>
    <row r="174" spans="1:9" ht="11.1" customHeight="1" outlineLevel="1">
      <c r="A174" s="325" t="s">
        <v>1152</v>
      </c>
      <c r="B174" s="325" t="s">
        <v>1288</v>
      </c>
      <c r="C174" s="325" t="s">
        <v>1289</v>
      </c>
      <c r="D174" s="325" t="s">
        <v>1187</v>
      </c>
      <c r="E174" s="326">
        <v>1</v>
      </c>
      <c r="F174" s="331">
        <v>29.22</v>
      </c>
      <c r="G174" s="328"/>
      <c r="H174" s="328" t="s">
        <v>1147</v>
      </c>
      <c r="I174" s="324" t="s">
        <v>21</v>
      </c>
    </row>
    <row r="175" spans="1:9" ht="11.1" customHeight="1" outlineLevel="1">
      <c r="A175" s="325" t="s">
        <v>1152</v>
      </c>
      <c r="B175" s="325" t="s">
        <v>1288</v>
      </c>
      <c r="C175" s="325" t="s">
        <v>1289</v>
      </c>
      <c r="D175" s="325" t="s">
        <v>1187</v>
      </c>
      <c r="E175" s="326">
        <v>1</v>
      </c>
      <c r="F175" s="331">
        <v>29.21</v>
      </c>
      <c r="G175" s="328"/>
      <c r="H175" s="328" t="s">
        <v>1147</v>
      </c>
      <c r="I175" s="324" t="s">
        <v>21</v>
      </c>
    </row>
    <row r="176" spans="1:9" ht="11.1" customHeight="1" outlineLevel="1">
      <c r="A176" s="325" t="s">
        <v>1152</v>
      </c>
      <c r="B176" s="325" t="s">
        <v>1290</v>
      </c>
      <c r="C176" s="325" t="s">
        <v>1291</v>
      </c>
      <c r="D176" s="325" t="s">
        <v>20</v>
      </c>
      <c r="E176" s="326">
        <v>1</v>
      </c>
      <c r="F176" s="331">
        <v>390</v>
      </c>
      <c r="G176" s="328"/>
      <c r="H176" s="328" t="s">
        <v>1147</v>
      </c>
      <c r="I176" s="324" t="s">
        <v>21</v>
      </c>
    </row>
    <row r="177" spans="1:9" ht="11.1" customHeight="1" outlineLevel="1">
      <c r="A177" s="325" t="s">
        <v>1152</v>
      </c>
      <c r="B177" s="325" t="s">
        <v>1292</v>
      </c>
      <c r="C177" s="325" t="s">
        <v>1293</v>
      </c>
      <c r="D177" s="325" t="s">
        <v>20</v>
      </c>
      <c r="E177" s="326">
        <v>3</v>
      </c>
      <c r="F177" s="331">
        <v>32.520000000000003</v>
      </c>
      <c r="G177" s="328"/>
      <c r="H177" s="328" t="s">
        <v>1147</v>
      </c>
      <c r="I177" s="324" t="s">
        <v>21</v>
      </c>
    </row>
    <row r="178" spans="1:9" ht="11.1" customHeight="1" outlineLevel="1">
      <c r="A178" s="325" t="s">
        <v>1152</v>
      </c>
      <c r="B178" s="325" t="s">
        <v>1292</v>
      </c>
      <c r="C178" s="325" t="s">
        <v>1293</v>
      </c>
      <c r="D178" s="325" t="s">
        <v>20</v>
      </c>
      <c r="E178" s="326">
        <v>1</v>
      </c>
      <c r="F178" s="331">
        <v>262.5</v>
      </c>
      <c r="G178" s="328"/>
      <c r="H178" s="328" t="s">
        <v>1147</v>
      </c>
      <c r="I178" s="324" t="s">
        <v>21</v>
      </c>
    </row>
    <row r="179" spans="1:9" ht="11.1" customHeight="1" outlineLevel="1">
      <c r="A179" s="325" t="s">
        <v>1152</v>
      </c>
      <c r="B179" s="325" t="s">
        <v>1294</v>
      </c>
      <c r="C179" s="325" t="s">
        <v>1295</v>
      </c>
      <c r="D179" s="325" t="s">
        <v>20</v>
      </c>
      <c r="E179" s="326">
        <v>1</v>
      </c>
      <c r="F179" s="331">
        <v>178</v>
      </c>
      <c r="G179" s="328"/>
      <c r="H179" s="328" t="s">
        <v>1147</v>
      </c>
      <c r="I179" s="324" t="s">
        <v>21</v>
      </c>
    </row>
    <row r="180" spans="1:9" ht="11.1" customHeight="1" outlineLevel="1">
      <c r="A180" s="325" t="s">
        <v>1152</v>
      </c>
      <c r="B180" s="325" t="s">
        <v>1296</v>
      </c>
      <c r="C180" s="325" t="s">
        <v>1297</v>
      </c>
      <c r="D180" s="325" t="s">
        <v>20</v>
      </c>
      <c r="E180" s="326">
        <v>2</v>
      </c>
      <c r="F180" s="331">
        <v>275.39999999999998</v>
      </c>
      <c r="G180" s="328"/>
      <c r="H180" s="328" t="s">
        <v>1147</v>
      </c>
      <c r="I180" s="324" t="s">
        <v>21</v>
      </c>
    </row>
    <row r="181" spans="1:9" ht="11.1" customHeight="1" outlineLevel="1">
      <c r="A181" s="325" t="s">
        <v>1152</v>
      </c>
      <c r="B181" s="325" t="s">
        <v>1298</v>
      </c>
      <c r="C181" s="325" t="s">
        <v>1299</v>
      </c>
      <c r="D181" s="325" t="s">
        <v>1300</v>
      </c>
      <c r="E181" s="326">
        <v>2</v>
      </c>
      <c r="F181" s="327">
        <v>1335</v>
      </c>
      <c r="G181" s="328"/>
      <c r="H181" s="328" t="s">
        <v>1147</v>
      </c>
      <c r="I181" s="324" t="s">
        <v>21</v>
      </c>
    </row>
    <row r="182" spans="1:9" ht="11.1" customHeight="1">
      <c r="A182" s="320" t="s">
        <v>1301</v>
      </c>
      <c r="B182" s="320"/>
      <c r="C182" s="320"/>
      <c r="D182" s="320"/>
      <c r="E182" s="334">
        <v>92939.945999999996</v>
      </c>
      <c r="F182" s="322">
        <v>6536664.3899999997</v>
      </c>
      <c r="G182" s="323"/>
      <c r="H182" s="323"/>
    </row>
    <row r="183" spans="1:9" ht="11.1" customHeight="1" outlineLevel="1">
      <c r="A183" s="325" t="s">
        <v>1302</v>
      </c>
      <c r="B183" s="325" t="s">
        <v>1303</v>
      </c>
      <c r="C183" s="325" t="s">
        <v>1304</v>
      </c>
      <c r="D183" s="325" t="s">
        <v>1305</v>
      </c>
      <c r="E183" s="326">
        <v>4.173</v>
      </c>
      <c r="F183" s="327">
        <v>3070.91</v>
      </c>
      <c r="G183" s="328"/>
      <c r="H183" s="160" t="s">
        <v>1306</v>
      </c>
      <c r="I183" s="324" t="s">
        <v>1307</v>
      </c>
    </row>
    <row r="184" spans="1:9" ht="11.1" customHeight="1" outlineLevel="1">
      <c r="A184" s="325" t="s">
        <v>1067</v>
      </c>
      <c r="B184" s="325" t="s">
        <v>1308</v>
      </c>
      <c r="C184" s="325" t="s">
        <v>1309</v>
      </c>
      <c r="D184" s="325" t="s">
        <v>1305</v>
      </c>
      <c r="E184" s="326">
        <v>116</v>
      </c>
      <c r="F184" s="327">
        <v>88740</v>
      </c>
      <c r="G184" s="328"/>
      <c r="H184" s="160" t="s">
        <v>1306</v>
      </c>
      <c r="I184" s="324" t="s">
        <v>1307</v>
      </c>
    </row>
    <row r="185" spans="1:9" ht="11.1" customHeight="1" outlineLevel="1">
      <c r="A185" s="325" t="s">
        <v>1302</v>
      </c>
      <c r="B185" s="325" t="s">
        <v>1308</v>
      </c>
      <c r="C185" s="325" t="s">
        <v>1309</v>
      </c>
      <c r="D185" s="325" t="s">
        <v>1305</v>
      </c>
      <c r="E185" s="326">
        <v>10</v>
      </c>
      <c r="F185" s="327">
        <v>7350.97</v>
      </c>
      <c r="G185" s="328"/>
      <c r="H185" s="160" t="s">
        <v>1306</v>
      </c>
      <c r="I185" s="324" t="s">
        <v>1307</v>
      </c>
    </row>
    <row r="186" spans="1:9" ht="11.1" customHeight="1" outlineLevel="1">
      <c r="A186" s="325" t="s">
        <v>1302</v>
      </c>
      <c r="B186" s="325" t="s">
        <v>1310</v>
      </c>
      <c r="C186" s="325" t="s">
        <v>1311</v>
      </c>
      <c r="D186" s="325" t="s">
        <v>1305</v>
      </c>
      <c r="E186" s="326">
        <v>23</v>
      </c>
      <c r="F186" s="327">
        <v>16943.03</v>
      </c>
      <c r="G186" s="328"/>
      <c r="H186" s="160" t="s">
        <v>1306</v>
      </c>
      <c r="I186" s="324" t="s">
        <v>1307</v>
      </c>
    </row>
    <row r="187" spans="1:9" ht="11.1" customHeight="1" outlineLevel="1">
      <c r="A187" s="325" t="s">
        <v>1067</v>
      </c>
      <c r="B187" s="325" t="s">
        <v>1312</v>
      </c>
      <c r="C187" s="325" t="s">
        <v>1313</v>
      </c>
      <c r="D187" s="325" t="s">
        <v>20</v>
      </c>
      <c r="E187" s="326">
        <v>1</v>
      </c>
      <c r="F187" s="331">
        <v>98.87</v>
      </c>
      <c r="G187" s="328"/>
      <c r="H187" s="328" t="s">
        <v>1147</v>
      </c>
      <c r="I187" s="324" t="s">
        <v>21</v>
      </c>
    </row>
    <row r="188" spans="1:9" ht="11.1" customHeight="1" outlineLevel="1">
      <c r="A188" s="325" t="s">
        <v>1067</v>
      </c>
      <c r="B188" s="325" t="s">
        <v>1314</v>
      </c>
      <c r="C188" s="325" t="s">
        <v>1315</v>
      </c>
      <c r="D188" s="325" t="s">
        <v>20</v>
      </c>
      <c r="E188" s="326">
        <v>7</v>
      </c>
      <c r="F188" s="331">
        <v>367.7</v>
      </c>
      <c r="G188" s="328"/>
      <c r="H188" s="160" t="s">
        <v>577</v>
      </c>
      <c r="I188" s="329" t="s">
        <v>289</v>
      </c>
    </row>
    <row r="189" spans="1:9" ht="11.1" customHeight="1" outlineLevel="1">
      <c r="A189" s="325" t="s">
        <v>1302</v>
      </c>
      <c r="B189" s="325" t="s">
        <v>1314</v>
      </c>
      <c r="C189" s="325" t="s">
        <v>1315</v>
      </c>
      <c r="D189" s="325" t="s">
        <v>20</v>
      </c>
      <c r="E189" s="326">
        <v>3</v>
      </c>
      <c r="F189" s="331">
        <v>158.63999999999999</v>
      </c>
      <c r="G189" s="328"/>
      <c r="H189" s="160" t="s">
        <v>577</v>
      </c>
      <c r="I189" s="329" t="s">
        <v>289</v>
      </c>
    </row>
    <row r="190" spans="1:9" ht="11.1" customHeight="1" outlineLevel="1">
      <c r="A190" s="325" t="s">
        <v>1067</v>
      </c>
      <c r="B190" s="325" t="s">
        <v>1316</v>
      </c>
      <c r="C190" s="325" t="s">
        <v>1317</v>
      </c>
      <c r="D190" s="325" t="s">
        <v>20</v>
      </c>
      <c r="E190" s="326">
        <v>45</v>
      </c>
      <c r="F190" s="327">
        <v>2374.3200000000002</v>
      </c>
      <c r="G190" s="328"/>
      <c r="H190" s="160" t="s">
        <v>577</v>
      </c>
      <c r="I190" s="329" t="s">
        <v>289</v>
      </c>
    </row>
    <row r="191" spans="1:9" ht="11.1" customHeight="1" outlineLevel="1">
      <c r="A191" s="325" t="s">
        <v>1302</v>
      </c>
      <c r="B191" s="325" t="s">
        <v>1316</v>
      </c>
      <c r="C191" s="325" t="s">
        <v>1317</v>
      </c>
      <c r="D191" s="325" t="s">
        <v>20</v>
      </c>
      <c r="E191" s="326">
        <v>7</v>
      </c>
      <c r="F191" s="331">
        <v>376.5</v>
      </c>
      <c r="G191" s="328"/>
      <c r="H191" s="160" t="s">
        <v>577</v>
      </c>
      <c r="I191" s="329" t="s">
        <v>289</v>
      </c>
    </row>
    <row r="192" spans="1:9" ht="11.1" customHeight="1" outlineLevel="1">
      <c r="A192" s="325" t="s">
        <v>1302</v>
      </c>
      <c r="B192" s="325" t="s">
        <v>1318</v>
      </c>
      <c r="C192" s="325" t="s">
        <v>1319</v>
      </c>
      <c r="D192" s="325" t="s">
        <v>20</v>
      </c>
      <c r="E192" s="326">
        <v>4</v>
      </c>
      <c r="F192" s="331">
        <v>219.95</v>
      </c>
      <c r="G192" s="328"/>
      <c r="H192" s="160" t="s">
        <v>577</v>
      </c>
      <c r="I192" s="329" t="s">
        <v>289</v>
      </c>
    </row>
    <row r="193" spans="1:9" ht="11.1" customHeight="1" outlineLevel="1">
      <c r="A193" s="325" t="s">
        <v>1067</v>
      </c>
      <c r="B193" s="325" t="s">
        <v>1318</v>
      </c>
      <c r="C193" s="325" t="s">
        <v>1319</v>
      </c>
      <c r="D193" s="325" t="s">
        <v>20</v>
      </c>
      <c r="E193" s="326">
        <v>19</v>
      </c>
      <c r="F193" s="327">
        <v>1005.72</v>
      </c>
      <c r="G193" s="328"/>
      <c r="H193" s="160" t="s">
        <v>577</v>
      </c>
      <c r="I193" s="329" t="s">
        <v>289</v>
      </c>
    </row>
    <row r="194" spans="1:9" ht="11.1" customHeight="1" outlineLevel="1">
      <c r="A194" s="325" t="s">
        <v>1067</v>
      </c>
      <c r="B194" s="325" t="s">
        <v>1320</v>
      </c>
      <c r="C194" s="325" t="s">
        <v>1321</v>
      </c>
      <c r="D194" s="325" t="s">
        <v>20</v>
      </c>
      <c r="E194" s="326">
        <v>-3</v>
      </c>
      <c r="F194" s="331">
        <v>-801.98</v>
      </c>
      <c r="G194" s="328"/>
      <c r="H194" s="160" t="s">
        <v>1322</v>
      </c>
      <c r="I194" s="324" t="s">
        <v>1070</v>
      </c>
    </row>
    <row r="195" spans="1:9" ht="11.1" customHeight="1" outlineLevel="1">
      <c r="A195" s="325" t="s">
        <v>1302</v>
      </c>
      <c r="B195" s="325" t="s">
        <v>1323</v>
      </c>
      <c r="C195" s="325" t="s">
        <v>1324</v>
      </c>
      <c r="D195" s="325" t="s">
        <v>912</v>
      </c>
      <c r="E195" s="326">
        <v>0.18</v>
      </c>
      <c r="F195" s="331">
        <v>705</v>
      </c>
      <c r="G195" s="328"/>
      <c r="H195" s="328" t="s">
        <v>1147</v>
      </c>
      <c r="I195" s="324" t="s">
        <v>21</v>
      </c>
    </row>
    <row r="196" spans="1:9" ht="11.1" customHeight="1" outlineLevel="1">
      <c r="A196" s="325" t="s">
        <v>1302</v>
      </c>
      <c r="B196" s="325" t="s">
        <v>1325</v>
      </c>
      <c r="C196" s="325" t="s">
        <v>1326</v>
      </c>
      <c r="D196" s="325" t="s">
        <v>12</v>
      </c>
      <c r="E196" s="326">
        <v>29</v>
      </c>
      <c r="F196" s="327">
        <v>8756.4</v>
      </c>
      <c r="G196" s="328"/>
      <c r="H196" s="325" t="s">
        <v>1326</v>
      </c>
      <c r="I196" s="324" t="s">
        <v>1105</v>
      </c>
    </row>
    <row r="197" spans="1:9" ht="11.1" customHeight="1" outlineLevel="1">
      <c r="A197" s="325" t="s">
        <v>1067</v>
      </c>
      <c r="B197" s="325" t="s">
        <v>1325</v>
      </c>
      <c r="C197" s="325" t="s">
        <v>1326</v>
      </c>
      <c r="D197" s="325" t="s">
        <v>12</v>
      </c>
      <c r="E197" s="326">
        <v>245</v>
      </c>
      <c r="F197" s="327">
        <v>71076.479999999996</v>
      </c>
      <c r="G197" s="328"/>
      <c r="H197" s="325" t="s">
        <v>1326</v>
      </c>
      <c r="I197" s="324" t="s">
        <v>1105</v>
      </c>
    </row>
    <row r="198" spans="1:9" ht="11.1" customHeight="1" outlineLevel="1">
      <c r="A198" s="325" t="s">
        <v>1067</v>
      </c>
      <c r="B198" s="325" t="s">
        <v>1327</v>
      </c>
      <c r="C198" s="325" t="s">
        <v>1328</v>
      </c>
      <c r="D198" s="325" t="s">
        <v>20</v>
      </c>
      <c r="E198" s="326">
        <v>673</v>
      </c>
      <c r="F198" s="327">
        <v>2646.12</v>
      </c>
      <c r="G198" s="328"/>
      <c r="H198" s="328" t="s">
        <v>536</v>
      </c>
      <c r="I198" s="324" t="s">
        <v>1087</v>
      </c>
    </row>
    <row r="199" spans="1:9" ht="11.1" customHeight="1" outlineLevel="1">
      <c r="A199" s="325" t="s">
        <v>1302</v>
      </c>
      <c r="B199" s="325" t="s">
        <v>1329</v>
      </c>
      <c r="C199" s="325" t="s">
        <v>1330</v>
      </c>
      <c r="D199" s="325" t="s">
        <v>20</v>
      </c>
      <c r="E199" s="326">
        <v>49.9</v>
      </c>
      <c r="F199" s="331">
        <v>121.26</v>
      </c>
      <c r="G199" s="328"/>
      <c r="H199" s="328" t="s">
        <v>536</v>
      </c>
      <c r="I199" s="324" t="s">
        <v>1087</v>
      </c>
    </row>
    <row r="200" spans="1:9" ht="11.1" customHeight="1" outlineLevel="1">
      <c r="A200" s="325" t="s">
        <v>1067</v>
      </c>
      <c r="B200" s="325" t="s">
        <v>1329</v>
      </c>
      <c r="C200" s="325" t="s">
        <v>1330</v>
      </c>
      <c r="D200" s="325" t="s">
        <v>20</v>
      </c>
      <c r="E200" s="326">
        <v>470.1</v>
      </c>
      <c r="F200" s="327">
        <v>1142.3399999999999</v>
      </c>
      <c r="G200" s="328"/>
      <c r="H200" s="328" t="s">
        <v>536</v>
      </c>
      <c r="I200" s="324" t="s">
        <v>1087</v>
      </c>
    </row>
    <row r="201" spans="1:9" ht="11.1" customHeight="1" outlineLevel="1">
      <c r="A201" s="325" t="s">
        <v>1302</v>
      </c>
      <c r="B201" s="325" t="s">
        <v>1331</v>
      </c>
      <c r="C201" s="325" t="s">
        <v>1332</v>
      </c>
      <c r="D201" s="325" t="s">
        <v>20</v>
      </c>
      <c r="E201" s="326">
        <v>449</v>
      </c>
      <c r="F201" s="327">
        <v>1769.06</v>
      </c>
      <c r="G201" s="328"/>
      <c r="H201" s="328" t="s">
        <v>536</v>
      </c>
      <c r="I201" s="324" t="s">
        <v>1087</v>
      </c>
    </row>
    <row r="202" spans="1:9" ht="11.1" customHeight="1" outlineLevel="1">
      <c r="A202" s="325" t="s">
        <v>1067</v>
      </c>
      <c r="B202" s="325" t="s">
        <v>1333</v>
      </c>
      <c r="C202" s="325" t="s">
        <v>1334</v>
      </c>
      <c r="D202" s="325" t="s">
        <v>20</v>
      </c>
      <c r="E202" s="335">
        <v>1768</v>
      </c>
      <c r="F202" s="327">
        <v>12297.27</v>
      </c>
      <c r="G202" s="328"/>
      <c r="H202" s="328" t="s">
        <v>536</v>
      </c>
      <c r="I202" s="324" t="s">
        <v>1087</v>
      </c>
    </row>
    <row r="203" spans="1:9" ht="11.1" customHeight="1" outlineLevel="1">
      <c r="A203" s="325" t="s">
        <v>1302</v>
      </c>
      <c r="B203" s="325" t="s">
        <v>1333</v>
      </c>
      <c r="C203" s="325" t="s">
        <v>1334</v>
      </c>
      <c r="D203" s="325" t="s">
        <v>20</v>
      </c>
      <c r="E203" s="326">
        <v>657</v>
      </c>
      <c r="F203" s="327">
        <v>4606.83</v>
      </c>
      <c r="G203" s="328"/>
      <c r="H203" s="328" t="s">
        <v>536</v>
      </c>
      <c r="I203" s="324" t="s">
        <v>1087</v>
      </c>
    </row>
    <row r="204" spans="1:9" ht="11.1" customHeight="1" outlineLevel="1">
      <c r="A204" s="325" t="s">
        <v>1067</v>
      </c>
      <c r="B204" s="325" t="s">
        <v>1335</v>
      </c>
      <c r="C204" s="325" t="s">
        <v>1336</v>
      </c>
      <c r="D204" s="325" t="s">
        <v>1220</v>
      </c>
      <c r="E204" s="326">
        <v>0.42299999999999999</v>
      </c>
      <c r="F204" s="327">
        <v>5287.5</v>
      </c>
      <c r="G204" s="328"/>
      <c r="H204" s="328" t="s">
        <v>1337</v>
      </c>
      <c r="I204" s="324" t="s">
        <v>1087</v>
      </c>
    </row>
    <row r="205" spans="1:9" ht="11.1" customHeight="1" outlineLevel="1">
      <c r="A205" s="325" t="s">
        <v>1302</v>
      </c>
      <c r="B205" s="325" t="s">
        <v>1335</v>
      </c>
      <c r="C205" s="325" t="s">
        <v>1336</v>
      </c>
      <c r="D205" s="325" t="s">
        <v>1220</v>
      </c>
      <c r="E205" s="326">
        <v>1.887</v>
      </c>
      <c r="F205" s="327">
        <v>21945.71</v>
      </c>
      <c r="G205" s="328"/>
      <c r="H205" s="328" t="s">
        <v>1337</v>
      </c>
      <c r="I205" s="324" t="s">
        <v>1087</v>
      </c>
    </row>
    <row r="206" spans="1:9" ht="11.1" customHeight="1" outlineLevel="1">
      <c r="A206" s="325" t="s">
        <v>1067</v>
      </c>
      <c r="B206" s="325" t="s">
        <v>1338</v>
      </c>
      <c r="C206" s="325" t="s">
        <v>1339</v>
      </c>
      <c r="D206" s="325" t="s">
        <v>1220</v>
      </c>
      <c r="E206" s="326">
        <v>2.61</v>
      </c>
      <c r="F206" s="327">
        <v>32140.12</v>
      </c>
      <c r="G206" s="328"/>
      <c r="H206" s="328" t="s">
        <v>1337</v>
      </c>
      <c r="I206" s="324" t="s">
        <v>1087</v>
      </c>
    </row>
    <row r="207" spans="1:9" ht="11.1" customHeight="1" outlineLevel="1">
      <c r="A207" s="325" t="s">
        <v>1302</v>
      </c>
      <c r="B207" s="325" t="s">
        <v>1338</v>
      </c>
      <c r="C207" s="325" t="s">
        <v>1339</v>
      </c>
      <c r="D207" s="325" t="s">
        <v>1220</v>
      </c>
      <c r="E207" s="326">
        <v>10.45</v>
      </c>
      <c r="F207" s="327">
        <v>117142.8</v>
      </c>
      <c r="G207" s="328"/>
      <c r="H207" s="328" t="s">
        <v>1337</v>
      </c>
      <c r="I207" s="324" t="s">
        <v>1087</v>
      </c>
    </row>
    <row r="208" spans="1:9" ht="11.1" customHeight="1" outlineLevel="1">
      <c r="A208" s="325" t="s">
        <v>1302</v>
      </c>
      <c r="B208" s="325" t="s">
        <v>1340</v>
      </c>
      <c r="C208" s="325" t="s">
        <v>1341</v>
      </c>
      <c r="D208" s="325" t="s">
        <v>912</v>
      </c>
      <c r="E208" s="326">
        <v>0.30399999999999999</v>
      </c>
      <c r="F208" s="327">
        <v>3237.77</v>
      </c>
      <c r="G208" s="328"/>
      <c r="H208" s="328" t="s">
        <v>1337</v>
      </c>
      <c r="I208" s="324" t="s">
        <v>1087</v>
      </c>
    </row>
    <row r="209" spans="1:9" ht="11.1" customHeight="1" outlineLevel="1">
      <c r="A209" s="325" t="s">
        <v>1067</v>
      </c>
      <c r="B209" s="325" t="s">
        <v>1340</v>
      </c>
      <c r="C209" s="325" t="s">
        <v>1341</v>
      </c>
      <c r="D209" s="325" t="s">
        <v>912</v>
      </c>
      <c r="E209" s="326">
        <v>0.13500000000000001</v>
      </c>
      <c r="F209" s="327">
        <v>1687.5</v>
      </c>
      <c r="G209" s="328"/>
      <c r="H209" s="328" t="s">
        <v>1337</v>
      </c>
      <c r="I209" s="324" t="s">
        <v>1087</v>
      </c>
    </row>
    <row r="210" spans="1:9" ht="11.1" customHeight="1" outlineLevel="1">
      <c r="A210" s="325" t="s">
        <v>1067</v>
      </c>
      <c r="B210" s="325" t="s">
        <v>1342</v>
      </c>
      <c r="C210" s="325" t="s">
        <v>1343</v>
      </c>
      <c r="D210" s="325" t="s">
        <v>912</v>
      </c>
      <c r="E210" s="326">
        <v>1.26</v>
      </c>
      <c r="F210" s="327">
        <v>15750</v>
      </c>
      <c r="G210" s="328"/>
      <c r="H210" s="328" t="s">
        <v>1337</v>
      </c>
      <c r="I210" s="324" t="s">
        <v>1087</v>
      </c>
    </row>
    <row r="211" spans="1:9" ht="11.1" customHeight="1" outlineLevel="1">
      <c r="A211" s="325" t="s">
        <v>1302</v>
      </c>
      <c r="B211" s="325" t="s">
        <v>1342</v>
      </c>
      <c r="C211" s="325" t="s">
        <v>1343</v>
      </c>
      <c r="D211" s="325" t="s">
        <v>912</v>
      </c>
      <c r="E211" s="326">
        <v>4.04</v>
      </c>
      <c r="F211" s="327">
        <v>44087.75</v>
      </c>
      <c r="G211" s="328"/>
      <c r="H211" s="328" t="s">
        <v>1337</v>
      </c>
      <c r="I211" s="324" t="s">
        <v>1087</v>
      </c>
    </row>
    <row r="212" spans="1:9" ht="11.1" customHeight="1" outlineLevel="1">
      <c r="A212" s="325" t="s">
        <v>1302</v>
      </c>
      <c r="B212" s="325" t="s">
        <v>1344</v>
      </c>
      <c r="C212" s="325" t="s">
        <v>1345</v>
      </c>
      <c r="D212" s="325" t="s">
        <v>912</v>
      </c>
      <c r="E212" s="326">
        <v>3.28</v>
      </c>
      <c r="F212" s="327">
        <v>37622.54</v>
      </c>
      <c r="G212" s="328"/>
      <c r="H212" s="328" t="s">
        <v>1337</v>
      </c>
      <c r="I212" s="324" t="s">
        <v>1087</v>
      </c>
    </row>
    <row r="213" spans="1:9" ht="11.1" customHeight="1" outlineLevel="1">
      <c r="A213" s="325" t="s">
        <v>1067</v>
      </c>
      <c r="B213" s="325" t="s">
        <v>1344</v>
      </c>
      <c r="C213" s="325" t="s">
        <v>1345</v>
      </c>
      <c r="D213" s="325" t="s">
        <v>912</v>
      </c>
      <c r="E213" s="326">
        <v>0.6</v>
      </c>
      <c r="F213" s="327">
        <v>7500</v>
      </c>
      <c r="G213" s="328"/>
      <c r="H213" s="328" t="s">
        <v>1337</v>
      </c>
      <c r="I213" s="324" t="s">
        <v>1087</v>
      </c>
    </row>
    <row r="214" spans="1:9" ht="11.1" customHeight="1" outlineLevel="1">
      <c r="A214" s="325" t="s">
        <v>1302</v>
      </c>
      <c r="B214" s="325" t="s">
        <v>1346</v>
      </c>
      <c r="C214" s="325" t="s">
        <v>1347</v>
      </c>
      <c r="D214" s="325" t="s">
        <v>912</v>
      </c>
      <c r="E214" s="326">
        <v>0.72</v>
      </c>
      <c r="F214" s="327">
        <v>7803.32</v>
      </c>
      <c r="G214" s="328"/>
      <c r="H214" s="328" t="s">
        <v>1337</v>
      </c>
      <c r="I214" s="324" t="s">
        <v>1087</v>
      </c>
    </row>
    <row r="215" spans="1:9" ht="11.1" customHeight="1" outlineLevel="1">
      <c r="A215" s="325" t="s">
        <v>1067</v>
      </c>
      <c r="B215" s="325" t="s">
        <v>1346</v>
      </c>
      <c r="C215" s="325" t="s">
        <v>1347</v>
      </c>
      <c r="D215" s="325" t="s">
        <v>912</v>
      </c>
      <c r="E215" s="326">
        <v>2.88</v>
      </c>
      <c r="F215" s="327">
        <v>35442.949999999997</v>
      </c>
      <c r="G215" s="328"/>
      <c r="H215" s="328" t="s">
        <v>1337</v>
      </c>
      <c r="I215" s="324" t="s">
        <v>1087</v>
      </c>
    </row>
    <row r="216" spans="1:9" ht="11.1" customHeight="1" outlineLevel="1">
      <c r="A216" s="325" t="s">
        <v>1302</v>
      </c>
      <c r="B216" s="325" t="s">
        <v>1348</v>
      </c>
      <c r="C216" s="325" t="s">
        <v>1349</v>
      </c>
      <c r="D216" s="325" t="s">
        <v>912</v>
      </c>
      <c r="E216" s="326">
        <v>11.675000000000001</v>
      </c>
      <c r="F216" s="327">
        <v>127851.52</v>
      </c>
      <c r="G216" s="328"/>
      <c r="H216" s="328" t="s">
        <v>1337</v>
      </c>
      <c r="I216" s="324" t="s">
        <v>1087</v>
      </c>
    </row>
    <row r="217" spans="1:9" ht="11.1" customHeight="1" outlineLevel="1">
      <c r="A217" s="325" t="s">
        <v>1067</v>
      </c>
      <c r="B217" s="325" t="s">
        <v>1348</v>
      </c>
      <c r="C217" s="325" t="s">
        <v>1349</v>
      </c>
      <c r="D217" s="325" t="s">
        <v>912</v>
      </c>
      <c r="E217" s="326">
        <v>1.125</v>
      </c>
      <c r="F217" s="327">
        <v>14062.5</v>
      </c>
      <c r="G217" s="328"/>
      <c r="H217" s="328" t="s">
        <v>1337</v>
      </c>
      <c r="I217" s="324" t="s">
        <v>1087</v>
      </c>
    </row>
    <row r="218" spans="1:9" ht="11.1" customHeight="1" outlineLevel="1">
      <c r="A218" s="325" t="s">
        <v>1302</v>
      </c>
      <c r="B218" s="325" t="s">
        <v>1350</v>
      </c>
      <c r="C218" s="325" t="s">
        <v>1351</v>
      </c>
      <c r="D218" s="325" t="s">
        <v>912</v>
      </c>
      <c r="E218" s="326">
        <v>0.77200000000000002</v>
      </c>
      <c r="F218" s="327">
        <v>9650</v>
      </c>
      <c r="G218" s="328"/>
      <c r="H218" s="328" t="s">
        <v>1337</v>
      </c>
      <c r="I218" s="324" t="s">
        <v>1087</v>
      </c>
    </row>
    <row r="219" spans="1:9" ht="11.1" customHeight="1" outlineLevel="1">
      <c r="A219" s="325" t="s">
        <v>1067</v>
      </c>
      <c r="B219" s="325" t="s">
        <v>1350</v>
      </c>
      <c r="C219" s="325" t="s">
        <v>1351</v>
      </c>
      <c r="D219" s="325" t="s">
        <v>912</v>
      </c>
      <c r="E219" s="326">
        <v>0.46800000000000003</v>
      </c>
      <c r="F219" s="327">
        <v>5850</v>
      </c>
      <c r="G219" s="328"/>
      <c r="H219" s="328" t="s">
        <v>1337</v>
      </c>
      <c r="I219" s="324" t="s">
        <v>1087</v>
      </c>
    </row>
    <row r="220" spans="1:9" ht="11.1" customHeight="1" outlineLevel="1">
      <c r="A220" s="325" t="s">
        <v>1302</v>
      </c>
      <c r="B220" s="325" t="s">
        <v>1352</v>
      </c>
      <c r="C220" s="325" t="s">
        <v>1353</v>
      </c>
      <c r="D220" s="325" t="s">
        <v>912</v>
      </c>
      <c r="E220" s="326">
        <v>0.40100000000000002</v>
      </c>
      <c r="F220" s="327">
        <v>3845.59</v>
      </c>
      <c r="G220" s="328"/>
      <c r="H220" s="328" t="s">
        <v>1337</v>
      </c>
      <c r="I220" s="324" t="s">
        <v>1087</v>
      </c>
    </row>
    <row r="221" spans="1:9" ht="11.1" customHeight="1" outlineLevel="1">
      <c r="A221" s="325" t="s">
        <v>1302</v>
      </c>
      <c r="B221" s="325" t="s">
        <v>1354</v>
      </c>
      <c r="C221" s="325" t="s">
        <v>1355</v>
      </c>
      <c r="D221" s="325" t="s">
        <v>20</v>
      </c>
      <c r="E221" s="326">
        <v>0.28000000000000003</v>
      </c>
      <c r="F221" s="331">
        <v>66.260000000000005</v>
      </c>
      <c r="G221" s="328"/>
      <c r="H221" s="328"/>
    </row>
    <row r="222" spans="1:9" ht="11.1" customHeight="1" outlineLevel="1">
      <c r="A222" s="325" t="s">
        <v>1302</v>
      </c>
      <c r="B222" s="325" t="s">
        <v>1356</v>
      </c>
      <c r="C222" s="325" t="s">
        <v>1357</v>
      </c>
      <c r="D222" s="325" t="s">
        <v>12</v>
      </c>
      <c r="E222" s="326">
        <v>5</v>
      </c>
      <c r="F222" s="327">
        <v>1130</v>
      </c>
      <c r="G222" s="328"/>
      <c r="H222" s="328" t="s">
        <v>1358</v>
      </c>
      <c r="I222" s="324" t="s">
        <v>1307</v>
      </c>
    </row>
    <row r="223" spans="1:9" ht="11.1" customHeight="1" outlineLevel="1">
      <c r="A223" s="325" t="s">
        <v>1067</v>
      </c>
      <c r="B223" s="325" t="s">
        <v>1359</v>
      </c>
      <c r="C223" s="325" t="s">
        <v>1360</v>
      </c>
      <c r="D223" s="325" t="s">
        <v>12</v>
      </c>
      <c r="E223" s="326">
        <v>258.66000000000003</v>
      </c>
      <c r="F223" s="327">
        <v>100974.28</v>
      </c>
      <c r="G223" s="328"/>
      <c r="H223" s="328" t="s">
        <v>1358</v>
      </c>
      <c r="I223" s="324" t="s">
        <v>1307</v>
      </c>
    </row>
    <row r="224" spans="1:9" ht="11.1" customHeight="1" outlineLevel="1">
      <c r="A224" s="325" t="s">
        <v>1302</v>
      </c>
      <c r="B224" s="325" t="s">
        <v>1359</v>
      </c>
      <c r="C224" s="325" t="s">
        <v>1360</v>
      </c>
      <c r="D224" s="325" t="s">
        <v>12</v>
      </c>
      <c r="E224" s="326">
        <v>115.2</v>
      </c>
      <c r="F224" s="327">
        <v>37129.54</v>
      </c>
      <c r="G224" s="328"/>
      <c r="H224" s="328" t="s">
        <v>1358</v>
      </c>
      <c r="I224" s="324" t="s">
        <v>1307</v>
      </c>
    </row>
    <row r="225" spans="1:9" ht="11.1" customHeight="1" outlineLevel="1">
      <c r="A225" s="325" t="s">
        <v>1302</v>
      </c>
      <c r="B225" s="325" t="s">
        <v>1361</v>
      </c>
      <c r="C225" s="325" t="s">
        <v>1362</v>
      </c>
      <c r="D225" s="325" t="s">
        <v>12</v>
      </c>
      <c r="E225" s="326">
        <v>282.3</v>
      </c>
      <c r="F225" s="327">
        <v>89230.37</v>
      </c>
      <c r="G225" s="328"/>
      <c r="H225" s="328" t="s">
        <v>1358</v>
      </c>
      <c r="I225" s="324" t="s">
        <v>1307</v>
      </c>
    </row>
    <row r="226" spans="1:9" ht="11.1" customHeight="1" outlineLevel="1">
      <c r="A226" s="325" t="s">
        <v>1067</v>
      </c>
      <c r="B226" s="325" t="s">
        <v>1361</v>
      </c>
      <c r="C226" s="325" t="s">
        <v>1362</v>
      </c>
      <c r="D226" s="325" t="s">
        <v>12</v>
      </c>
      <c r="E226" s="326">
        <v>967.8</v>
      </c>
      <c r="F226" s="327">
        <v>377299.29</v>
      </c>
      <c r="G226" s="328"/>
      <c r="H226" s="328" t="s">
        <v>1358</v>
      </c>
      <c r="I226" s="324" t="s">
        <v>1307</v>
      </c>
    </row>
    <row r="227" spans="1:9" ht="11.1" customHeight="1" outlineLevel="1">
      <c r="A227" s="325" t="s">
        <v>1302</v>
      </c>
      <c r="B227" s="325" t="s">
        <v>1363</v>
      </c>
      <c r="C227" s="325" t="s">
        <v>1364</v>
      </c>
      <c r="D227" s="325" t="s">
        <v>886</v>
      </c>
      <c r="E227" s="326">
        <v>0.48</v>
      </c>
      <c r="F227" s="327">
        <v>13028.66</v>
      </c>
      <c r="G227" s="328"/>
      <c r="H227" s="328" t="s">
        <v>549</v>
      </c>
      <c r="I227" s="329" t="s">
        <v>289</v>
      </c>
    </row>
    <row r="228" spans="1:9" ht="11.1" customHeight="1" outlineLevel="1">
      <c r="A228" s="325" t="s">
        <v>1067</v>
      </c>
      <c r="B228" s="325" t="s">
        <v>1363</v>
      </c>
      <c r="C228" s="325" t="s">
        <v>1364</v>
      </c>
      <c r="D228" s="325" t="s">
        <v>886</v>
      </c>
      <c r="E228" s="326">
        <v>1.1599999999999999</v>
      </c>
      <c r="F228" s="327">
        <v>28588.48</v>
      </c>
      <c r="G228" s="328"/>
      <c r="H228" s="328" t="s">
        <v>549</v>
      </c>
      <c r="I228" s="329" t="s">
        <v>289</v>
      </c>
    </row>
    <row r="229" spans="1:9" ht="11.1" customHeight="1" outlineLevel="1">
      <c r="A229" s="325" t="s">
        <v>1067</v>
      </c>
      <c r="B229" s="325" t="s">
        <v>1365</v>
      </c>
      <c r="C229" s="325" t="s">
        <v>1366</v>
      </c>
      <c r="D229" s="325" t="s">
        <v>886</v>
      </c>
      <c r="E229" s="326">
        <v>1.19</v>
      </c>
      <c r="F229" s="327">
        <v>46958.89</v>
      </c>
      <c r="G229" s="328"/>
      <c r="H229" s="328" t="s">
        <v>549</v>
      </c>
      <c r="I229" s="329" t="s">
        <v>289</v>
      </c>
    </row>
    <row r="230" spans="1:9" ht="11.1" customHeight="1" outlineLevel="1">
      <c r="A230" s="325" t="s">
        <v>1302</v>
      </c>
      <c r="B230" s="325" t="s">
        <v>1365</v>
      </c>
      <c r="C230" s="325" t="s">
        <v>1366</v>
      </c>
      <c r="D230" s="325" t="s">
        <v>886</v>
      </c>
      <c r="E230" s="326">
        <v>0.51600000000000001</v>
      </c>
      <c r="F230" s="327">
        <v>22632.99</v>
      </c>
      <c r="G230" s="328"/>
      <c r="H230" s="328" t="s">
        <v>549</v>
      </c>
      <c r="I230" s="329" t="s">
        <v>289</v>
      </c>
    </row>
    <row r="231" spans="1:9" ht="11.1" customHeight="1" outlineLevel="1">
      <c r="A231" s="325" t="s">
        <v>1067</v>
      </c>
      <c r="B231" s="325" t="s">
        <v>1367</v>
      </c>
      <c r="C231" s="325" t="s">
        <v>1368</v>
      </c>
      <c r="D231" s="325" t="s">
        <v>886</v>
      </c>
      <c r="E231" s="326">
        <v>0.16</v>
      </c>
      <c r="F231" s="327">
        <v>9524.5400000000009</v>
      </c>
      <c r="G231" s="328"/>
      <c r="H231" s="328" t="s">
        <v>549</v>
      </c>
      <c r="I231" s="329" t="s">
        <v>289</v>
      </c>
    </row>
    <row r="232" spans="1:9" ht="11.1" customHeight="1" outlineLevel="1">
      <c r="A232" s="325" t="s">
        <v>1302</v>
      </c>
      <c r="B232" s="325" t="s">
        <v>1367</v>
      </c>
      <c r="C232" s="325" t="s">
        <v>1368</v>
      </c>
      <c r="D232" s="325" t="s">
        <v>886</v>
      </c>
      <c r="E232" s="326">
        <v>0.24199999999999999</v>
      </c>
      <c r="F232" s="327">
        <v>16406.46</v>
      </c>
      <c r="G232" s="328"/>
      <c r="H232" s="328" t="s">
        <v>549</v>
      </c>
      <c r="I232" s="329" t="s">
        <v>289</v>
      </c>
    </row>
    <row r="233" spans="1:9" ht="11.1" customHeight="1" outlineLevel="1">
      <c r="A233" s="325" t="s">
        <v>1302</v>
      </c>
      <c r="B233" s="325" t="s">
        <v>1369</v>
      </c>
      <c r="C233" s="325" t="s">
        <v>1370</v>
      </c>
      <c r="D233" s="325" t="s">
        <v>20</v>
      </c>
      <c r="E233" s="326">
        <v>1</v>
      </c>
      <c r="F233" s="331">
        <v>377.87</v>
      </c>
      <c r="G233" s="328"/>
      <c r="H233" s="328" t="s">
        <v>563</v>
      </c>
      <c r="I233" s="329" t="s">
        <v>289</v>
      </c>
    </row>
    <row r="234" spans="1:9" ht="11.1" customHeight="1" outlineLevel="1">
      <c r="A234" s="325" t="s">
        <v>1067</v>
      </c>
      <c r="B234" s="325" t="s">
        <v>1369</v>
      </c>
      <c r="C234" s="325" t="s">
        <v>1370</v>
      </c>
      <c r="D234" s="325" t="s">
        <v>20</v>
      </c>
      <c r="E234" s="326">
        <v>51</v>
      </c>
      <c r="F234" s="327">
        <v>8111.94</v>
      </c>
      <c r="G234" s="328"/>
      <c r="H234" s="328" t="s">
        <v>563</v>
      </c>
      <c r="I234" s="329" t="s">
        <v>289</v>
      </c>
    </row>
    <row r="235" spans="1:9" ht="11.1" customHeight="1" outlineLevel="1">
      <c r="A235" s="325" t="s">
        <v>1302</v>
      </c>
      <c r="B235" s="325" t="s">
        <v>1371</v>
      </c>
      <c r="C235" s="325" t="s">
        <v>1372</v>
      </c>
      <c r="D235" s="325" t="s">
        <v>20</v>
      </c>
      <c r="E235" s="326">
        <v>0.7</v>
      </c>
      <c r="F235" s="331">
        <v>47.53</v>
      </c>
      <c r="G235" s="328"/>
      <c r="H235" s="160" t="s">
        <v>1225</v>
      </c>
      <c r="I235" s="329" t="s">
        <v>289</v>
      </c>
    </row>
    <row r="236" spans="1:9" ht="11.1" customHeight="1" outlineLevel="1">
      <c r="A236" s="325" t="s">
        <v>1067</v>
      </c>
      <c r="B236" s="325" t="s">
        <v>1371</v>
      </c>
      <c r="C236" s="325" t="s">
        <v>1372</v>
      </c>
      <c r="D236" s="325" t="s">
        <v>20</v>
      </c>
      <c r="E236" s="326">
        <v>0.7</v>
      </c>
      <c r="F236" s="331">
        <v>56.87</v>
      </c>
      <c r="G236" s="328"/>
      <c r="H236" s="160" t="s">
        <v>1225</v>
      </c>
      <c r="I236" s="329" t="s">
        <v>289</v>
      </c>
    </row>
    <row r="237" spans="1:9" ht="11.1" customHeight="1" outlineLevel="1">
      <c r="A237" s="325" t="s">
        <v>1067</v>
      </c>
      <c r="B237" s="325" t="s">
        <v>1373</v>
      </c>
      <c r="C237" s="325" t="s">
        <v>1374</v>
      </c>
      <c r="D237" s="325" t="s">
        <v>20</v>
      </c>
      <c r="E237" s="326">
        <v>0.2</v>
      </c>
      <c r="F237" s="331">
        <v>8.9499999999999993</v>
      </c>
      <c r="G237" s="328"/>
      <c r="H237" s="160" t="s">
        <v>1225</v>
      </c>
      <c r="I237" s="329" t="s">
        <v>289</v>
      </c>
    </row>
    <row r="238" spans="1:9" ht="11.1" customHeight="1" outlineLevel="1">
      <c r="A238" s="325" t="s">
        <v>1067</v>
      </c>
      <c r="B238" s="325" t="s">
        <v>1375</v>
      </c>
      <c r="C238" s="325" t="s">
        <v>1376</v>
      </c>
      <c r="D238" s="325" t="s">
        <v>20</v>
      </c>
      <c r="E238" s="326">
        <v>11</v>
      </c>
      <c r="F238" s="327">
        <v>3840.37</v>
      </c>
      <c r="G238" s="328"/>
      <c r="H238" s="160" t="s">
        <v>577</v>
      </c>
      <c r="I238" s="329" t="s">
        <v>289</v>
      </c>
    </row>
    <row r="239" spans="1:9" ht="11.1" customHeight="1" outlineLevel="1">
      <c r="A239" s="325" t="s">
        <v>1067</v>
      </c>
      <c r="B239" s="325" t="s">
        <v>1377</v>
      </c>
      <c r="C239" s="325" t="s">
        <v>1378</v>
      </c>
      <c r="D239" s="325" t="s">
        <v>20</v>
      </c>
      <c r="E239" s="326">
        <v>25</v>
      </c>
      <c r="F239" s="327">
        <v>2499.27</v>
      </c>
      <c r="G239" s="328"/>
      <c r="H239" s="160" t="s">
        <v>577</v>
      </c>
      <c r="I239" s="329" t="s">
        <v>289</v>
      </c>
    </row>
    <row r="240" spans="1:9" ht="11.1" customHeight="1" outlineLevel="1">
      <c r="A240" s="325" t="s">
        <v>1302</v>
      </c>
      <c r="B240" s="325" t="s">
        <v>1377</v>
      </c>
      <c r="C240" s="325" t="s">
        <v>1378</v>
      </c>
      <c r="D240" s="325" t="s">
        <v>20</v>
      </c>
      <c r="E240" s="326">
        <v>3</v>
      </c>
      <c r="F240" s="331">
        <v>253.94</v>
      </c>
      <c r="G240" s="328"/>
      <c r="H240" s="160" t="s">
        <v>577</v>
      </c>
      <c r="I240" s="329" t="s">
        <v>289</v>
      </c>
    </row>
    <row r="241" spans="1:9" ht="11.1" customHeight="1" outlineLevel="1">
      <c r="A241" s="325" t="s">
        <v>1067</v>
      </c>
      <c r="B241" s="325" t="s">
        <v>1379</v>
      </c>
      <c r="C241" s="325" t="s">
        <v>1380</v>
      </c>
      <c r="D241" s="325" t="s">
        <v>20</v>
      </c>
      <c r="E241" s="326">
        <v>6</v>
      </c>
      <c r="F241" s="331">
        <v>747.15</v>
      </c>
      <c r="G241" s="328"/>
      <c r="H241" s="160" t="s">
        <v>577</v>
      </c>
      <c r="I241" s="329" t="s">
        <v>289</v>
      </c>
    </row>
    <row r="242" spans="1:9" ht="11.1" customHeight="1" outlineLevel="1">
      <c r="A242" s="325" t="s">
        <v>1067</v>
      </c>
      <c r="B242" s="325" t="s">
        <v>1381</v>
      </c>
      <c r="C242" s="325" t="s">
        <v>1382</v>
      </c>
      <c r="D242" s="325" t="s">
        <v>20</v>
      </c>
      <c r="E242" s="326">
        <v>10</v>
      </c>
      <c r="F242" s="327">
        <v>29991.67</v>
      </c>
      <c r="G242" s="328"/>
      <c r="H242" s="174" t="s">
        <v>1383</v>
      </c>
      <c r="I242" s="329" t="s">
        <v>425</v>
      </c>
    </row>
    <row r="243" spans="1:9" ht="11.1" customHeight="1" outlineLevel="1">
      <c r="A243" s="325" t="s">
        <v>1067</v>
      </c>
      <c r="B243" s="325" t="s">
        <v>1384</v>
      </c>
      <c r="C243" s="325" t="s">
        <v>1385</v>
      </c>
      <c r="D243" s="325" t="s">
        <v>20</v>
      </c>
      <c r="E243" s="326">
        <v>58</v>
      </c>
      <c r="F243" s="327">
        <v>5220.1000000000004</v>
      </c>
      <c r="G243" s="328"/>
      <c r="H243" s="328" t="s">
        <v>1386</v>
      </c>
      <c r="I243" s="324" t="s">
        <v>1070</v>
      </c>
    </row>
    <row r="244" spans="1:9" ht="11.1" customHeight="1" outlineLevel="1">
      <c r="A244" s="325" t="s">
        <v>1067</v>
      </c>
      <c r="B244" s="325" t="s">
        <v>1387</v>
      </c>
      <c r="C244" s="325" t="s">
        <v>1388</v>
      </c>
      <c r="D244" s="325" t="s">
        <v>20</v>
      </c>
      <c r="E244" s="326">
        <v>7</v>
      </c>
      <c r="F244" s="331">
        <v>108.5</v>
      </c>
      <c r="G244" s="328"/>
      <c r="H244" s="328" t="s">
        <v>1386</v>
      </c>
      <c r="I244" s="324" t="s">
        <v>1070</v>
      </c>
    </row>
    <row r="245" spans="1:9" ht="11.1" customHeight="1" outlineLevel="1">
      <c r="A245" s="325" t="s">
        <v>1302</v>
      </c>
      <c r="B245" s="325" t="s">
        <v>1387</v>
      </c>
      <c r="C245" s="325" t="s">
        <v>1388</v>
      </c>
      <c r="D245" s="325" t="s">
        <v>20</v>
      </c>
      <c r="E245" s="326">
        <v>2</v>
      </c>
      <c r="F245" s="331">
        <v>31</v>
      </c>
      <c r="G245" s="328"/>
      <c r="H245" s="328" t="s">
        <v>1386</v>
      </c>
      <c r="I245" s="324" t="s">
        <v>1070</v>
      </c>
    </row>
    <row r="246" spans="1:9" ht="11.1" customHeight="1" outlineLevel="1">
      <c r="A246" s="325" t="s">
        <v>1067</v>
      </c>
      <c r="B246" s="325" t="s">
        <v>1389</v>
      </c>
      <c r="C246" s="325" t="s">
        <v>571</v>
      </c>
      <c r="D246" s="325" t="s">
        <v>12</v>
      </c>
      <c r="E246" s="326">
        <v>26.004999999999999</v>
      </c>
      <c r="F246" s="327">
        <v>129637.34</v>
      </c>
      <c r="G246" s="328"/>
      <c r="H246" s="160" t="s">
        <v>571</v>
      </c>
      <c r="I246" s="174" t="s">
        <v>1073</v>
      </c>
    </row>
    <row r="247" spans="1:9" ht="11.1" customHeight="1" outlineLevel="1">
      <c r="A247" s="325" t="s">
        <v>1302</v>
      </c>
      <c r="B247" s="325" t="s">
        <v>1390</v>
      </c>
      <c r="C247" s="325" t="s">
        <v>1391</v>
      </c>
      <c r="D247" s="325" t="s">
        <v>14</v>
      </c>
      <c r="E247" s="326">
        <v>35</v>
      </c>
      <c r="F247" s="327">
        <v>4593.1400000000003</v>
      </c>
      <c r="G247" s="328"/>
      <c r="H247" s="174" t="s">
        <v>670</v>
      </c>
      <c r="I247" s="324" t="s">
        <v>1087</v>
      </c>
    </row>
    <row r="248" spans="1:9" ht="11.1" customHeight="1" outlineLevel="1">
      <c r="A248" s="325" t="s">
        <v>1302</v>
      </c>
      <c r="B248" s="325" t="s">
        <v>1392</v>
      </c>
      <c r="C248" s="325" t="s">
        <v>1393</v>
      </c>
      <c r="D248" s="325" t="s">
        <v>20</v>
      </c>
      <c r="E248" s="326">
        <v>7</v>
      </c>
      <c r="F248" s="327">
        <v>54736.46</v>
      </c>
      <c r="G248" s="328"/>
      <c r="H248" s="174" t="s">
        <v>1054</v>
      </c>
      <c r="I248" s="324" t="s">
        <v>1070</v>
      </c>
    </row>
    <row r="249" spans="1:9" ht="11.1" customHeight="1" outlineLevel="1">
      <c r="A249" s="325" t="s">
        <v>1067</v>
      </c>
      <c r="B249" s="325" t="s">
        <v>1392</v>
      </c>
      <c r="C249" s="325" t="s">
        <v>1393</v>
      </c>
      <c r="D249" s="325" t="s">
        <v>20</v>
      </c>
      <c r="E249" s="326">
        <v>6</v>
      </c>
      <c r="F249" s="327">
        <v>45098</v>
      </c>
      <c r="G249" s="328"/>
      <c r="H249" s="174" t="s">
        <v>1054</v>
      </c>
      <c r="I249" s="324" t="s">
        <v>1070</v>
      </c>
    </row>
    <row r="250" spans="1:9" ht="11.1" customHeight="1" outlineLevel="1">
      <c r="A250" s="325" t="s">
        <v>1302</v>
      </c>
      <c r="B250" s="325" t="s">
        <v>1394</v>
      </c>
      <c r="C250" s="325" t="s">
        <v>1395</v>
      </c>
      <c r="D250" s="325" t="s">
        <v>20</v>
      </c>
      <c r="E250" s="326">
        <v>650</v>
      </c>
      <c r="F250" s="331">
        <v>279.5</v>
      </c>
      <c r="G250" s="328"/>
      <c r="H250" s="160" t="s">
        <v>537</v>
      </c>
      <c r="I250" s="324" t="s">
        <v>1307</v>
      </c>
    </row>
    <row r="251" spans="1:9" ht="11.1" customHeight="1" outlineLevel="1">
      <c r="A251" s="325" t="s">
        <v>1067</v>
      </c>
      <c r="B251" s="325" t="s">
        <v>1394</v>
      </c>
      <c r="C251" s="325" t="s">
        <v>1395</v>
      </c>
      <c r="D251" s="325" t="s">
        <v>20</v>
      </c>
      <c r="E251" s="335">
        <v>1200</v>
      </c>
      <c r="F251" s="331">
        <v>516</v>
      </c>
      <c r="G251" s="328"/>
      <c r="H251" s="160" t="s">
        <v>537</v>
      </c>
      <c r="I251" s="324" t="s">
        <v>1307</v>
      </c>
    </row>
    <row r="252" spans="1:9" ht="11.1" customHeight="1" outlineLevel="1">
      <c r="A252" s="325" t="s">
        <v>1067</v>
      </c>
      <c r="B252" s="325" t="s">
        <v>1396</v>
      </c>
      <c r="C252" s="325" t="s">
        <v>1397</v>
      </c>
      <c r="D252" s="325" t="s">
        <v>20</v>
      </c>
      <c r="E252" s="326">
        <v>215</v>
      </c>
      <c r="F252" s="331">
        <v>305.69</v>
      </c>
      <c r="G252" s="328"/>
      <c r="H252" s="160" t="s">
        <v>537</v>
      </c>
      <c r="I252" s="324" t="s">
        <v>1307</v>
      </c>
    </row>
    <row r="253" spans="1:9" ht="11.1" customHeight="1" outlineLevel="1">
      <c r="A253" s="325" t="s">
        <v>1302</v>
      </c>
      <c r="B253" s="325" t="s">
        <v>1396</v>
      </c>
      <c r="C253" s="325" t="s">
        <v>1397</v>
      </c>
      <c r="D253" s="325" t="s">
        <v>20</v>
      </c>
      <c r="E253" s="326">
        <v>89</v>
      </c>
      <c r="F253" s="331">
        <v>103.09</v>
      </c>
      <c r="G253" s="328"/>
      <c r="H253" s="160" t="s">
        <v>537</v>
      </c>
      <c r="I253" s="324" t="s">
        <v>1307</v>
      </c>
    </row>
    <row r="254" spans="1:9" ht="11.1" customHeight="1" outlineLevel="1">
      <c r="A254" s="325" t="s">
        <v>1302</v>
      </c>
      <c r="B254" s="325" t="s">
        <v>1398</v>
      </c>
      <c r="C254" s="325" t="s">
        <v>1399</v>
      </c>
      <c r="D254" s="325" t="s">
        <v>20</v>
      </c>
      <c r="E254" s="326">
        <v>67</v>
      </c>
      <c r="F254" s="331">
        <v>125.21</v>
      </c>
      <c r="G254" s="328"/>
      <c r="H254" s="160" t="s">
        <v>537</v>
      </c>
      <c r="I254" s="324" t="s">
        <v>1307</v>
      </c>
    </row>
    <row r="255" spans="1:9" ht="11.1" customHeight="1" outlineLevel="1">
      <c r="A255" s="325" t="s">
        <v>1067</v>
      </c>
      <c r="B255" s="325" t="s">
        <v>1400</v>
      </c>
      <c r="C255" s="325" t="s">
        <v>1401</v>
      </c>
      <c r="D255" s="325" t="s">
        <v>20</v>
      </c>
      <c r="E255" s="335">
        <v>1200</v>
      </c>
      <c r="F255" s="331">
        <v>516</v>
      </c>
      <c r="G255" s="328"/>
      <c r="H255" s="160" t="s">
        <v>537</v>
      </c>
      <c r="I255" s="324" t="s">
        <v>1307</v>
      </c>
    </row>
    <row r="256" spans="1:9" ht="11.1" customHeight="1" outlineLevel="1">
      <c r="A256" s="325" t="s">
        <v>1067</v>
      </c>
      <c r="B256" s="325" t="s">
        <v>1402</v>
      </c>
      <c r="C256" s="325" t="s">
        <v>1403</v>
      </c>
      <c r="D256" s="325" t="s">
        <v>20</v>
      </c>
      <c r="E256" s="326">
        <v>12</v>
      </c>
      <c r="F256" s="327">
        <v>2846.67</v>
      </c>
      <c r="G256" s="328"/>
      <c r="H256" s="328" t="s">
        <v>1147</v>
      </c>
      <c r="I256" s="324" t="s">
        <v>21</v>
      </c>
    </row>
    <row r="257" spans="1:9" ht="11.1" customHeight="1" outlineLevel="1">
      <c r="A257" s="325" t="s">
        <v>1067</v>
      </c>
      <c r="B257" s="325" t="s">
        <v>1404</v>
      </c>
      <c r="C257" s="325" t="s">
        <v>913</v>
      </c>
      <c r="D257" s="325" t="s">
        <v>20</v>
      </c>
      <c r="E257" s="326">
        <v>1</v>
      </c>
      <c r="F257" s="327">
        <v>2819</v>
      </c>
      <c r="G257" s="328"/>
      <c r="H257" s="328" t="s">
        <v>1405</v>
      </c>
      <c r="I257" s="324" t="s">
        <v>1307</v>
      </c>
    </row>
    <row r="258" spans="1:9" ht="11.1" customHeight="1" outlineLevel="1">
      <c r="A258" s="325" t="s">
        <v>1067</v>
      </c>
      <c r="B258" s="325" t="s">
        <v>1406</v>
      </c>
      <c r="C258" s="325" t="s">
        <v>1407</v>
      </c>
      <c r="D258" s="325" t="s">
        <v>20</v>
      </c>
      <c r="E258" s="326">
        <v>6</v>
      </c>
      <c r="F258" s="327">
        <v>1039.3</v>
      </c>
      <c r="G258" s="328"/>
      <c r="H258" s="160" t="s">
        <v>561</v>
      </c>
      <c r="I258" s="324" t="s">
        <v>1070</v>
      </c>
    </row>
    <row r="259" spans="1:9" ht="11.1" customHeight="1" outlineLevel="1">
      <c r="A259" s="325" t="s">
        <v>1302</v>
      </c>
      <c r="B259" s="325" t="s">
        <v>1408</v>
      </c>
      <c r="C259" s="325" t="s">
        <v>1409</v>
      </c>
      <c r="D259" s="325" t="s">
        <v>20</v>
      </c>
      <c r="E259" s="326">
        <v>2</v>
      </c>
      <c r="F259" s="331">
        <v>241.04</v>
      </c>
      <c r="G259" s="328"/>
      <c r="H259" s="160" t="s">
        <v>561</v>
      </c>
      <c r="I259" s="324" t="s">
        <v>1070</v>
      </c>
    </row>
    <row r="260" spans="1:9" ht="11.1" customHeight="1" outlineLevel="1">
      <c r="A260" s="325" t="s">
        <v>1067</v>
      </c>
      <c r="B260" s="325" t="s">
        <v>1408</v>
      </c>
      <c r="C260" s="325" t="s">
        <v>1409</v>
      </c>
      <c r="D260" s="325" t="s">
        <v>20</v>
      </c>
      <c r="E260" s="326">
        <v>17</v>
      </c>
      <c r="F260" s="327">
        <v>2628.82</v>
      </c>
      <c r="G260" s="328"/>
      <c r="H260" s="160" t="s">
        <v>561</v>
      </c>
      <c r="I260" s="324" t="s">
        <v>1070</v>
      </c>
    </row>
    <row r="261" spans="1:9" ht="11.1" customHeight="1" outlineLevel="1">
      <c r="A261" s="325" t="s">
        <v>1302</v>
      </c>
      <c r="B261" s="325" t="s">
        <v>1410</v>
      </c>
      <c r="C261" s="325" t="s">
        <v>1411</v>
      </c>
      <c r="D261" s="325" t="s">
        <v>20</v>
      </c>
      <c r="E261" s="326">
        <v>2</v>
      </c>
      <c r="F261" s="331">
        <v>217.17</v>
      </c>
      <c r="G261" s="328"/>
      <c r="H261" s="160" t="s">
        <v>561</v>
      </c>
      <c r="I261" s="324" t="s">
        <v>1070</v>
      </c>
    </row>
    <row r="262" spans="1:9" ht="11.1" customHeight="1" outlineLevel="1">
      <c r="A262" s="325" t="s">
        <v>1067</v>
      </c>
      <c r="B262" s="325" t="s">
        <v>1410</v>
      </c>
      <c r="C262" s="325" t="s">
        <v>1411</v>
      </c>
      <c r="D262" s="325" t="s">
        <v>20</v>
      </c>
      <c r="E262" s="326">
        <v>13</v>
      </c>
      <c r="F262" s="327">
        <v>1507.71</v>
      </c>
      <c r="G262" s="328"/>
      <c r="H262" s="160" t="s">
        <v>561</v>
      </c>
      <c r="I262" s="324" t="s">
        <v>1070</v>
      </c>
    </row>
    <row r="263" spans="1:9" ht="11.1" customHeight="1" outlineLevel="1">
      <c r="A263" s="325" t="s">
        <v>1067</v>
      </c>
      <c r="B263" s="325" t="s">
        <v>1412</v>
      </c>
      <c r="C263" s="325" t="s">
        <v>1413</v>
      </c>
      <c r="D263" s="325" t="s">
        <v>1305</v>
      </c>
      <c r="E263" s="326">
        <v>1</v>
      </c>
      <c r="F263" s="331">
        <v>220</v>
      </c>
      <c r="G263" s="328"/>
      <c r="H263" s="160" t="s">
        <v>1414</v>
      </c>
      <c r="I263" s="329" t="s">
        <v>289</v>
      </c>
    </row>
    <row r="264" spans="1:9" ht="11.1" customHeight="1" outlineLevel="1">
      <c r="A264" s="325" t="s">
        <v>1067</v>
      </c>
      <c r="B264" s="325" t="s">
        <v>1415</v>
      </c>
      <c r="C264" s="325" t="s">
        <v>1416</v>
      </c>
      <c r="D264" s="325" t="s">
        <v>20</v>
      </c>
      <c r="E264" s="326">
        <v>3</v>
      </c>
      <c r="F264" s="331">
        <v>777.46</v>
      </c>
      <c r="G264" s="328"/>
      <c r="H264" s="328" t="s">
        <v>1417</v>
      </c>
      <c r="I264" s="329" t="s">
        <v>289</v>
      </c>
    </row>
    <row r="265" spans="1:9" ht="11.1" customHeight="1" outlineLevel="1">
      <c r="A265" s="325" t="s">
        <v>1302</v>
      </c>
      <c r="B265" s="325" t="s">
        <v>1418</v>
      </c>
      <c r="C265" s="325" t="s">
        <v>1419</v>
      </c>
      <c r="D265" s="325" t="s">
        <v>20</v>
      </c>
      <c r="E265" s="326">
        <v>2</v>
      </c>
      <c r="F265" s="331">
        <v>430.79</v>
      </c>
      <c r="G265" s="328"/>
      <c r="H265" s="328" t="s">
        <v>1417</v>
      </c>
      <c r="I265" s="329" t="s">
        <v>289</v>
      </c>
    </row>
    <row r="266" spans="1:9" ht="11.1" customHeight="1" outlineLevel="1">
      <c r="A266" s="325" t="s">
        <v>1067</v>
      </c>
      <c r="B266" s="325" t="s">
        <v>1418</v>
      </c>
      <c r="C266" s="325" t="s">
        <v>1419</v>
      </c>
      <c r="D266" s="325" t="s">
        <v>20</v>
      </c>
      <c r="E266" s="326">
        <v>11</v>
      </c>
      <c r="F266" s="327">
        <v>2420.34</v>
      </c>
      <c r="G266" s="328"/>
      <c r="H266" s="328" t="s">
        <v>1417</v>
      </c>
      <c r="I266" s="329" t="s">
        <v>289</v>
      </c>
    </row>
    <row r="267" spans="1:9" ht="11.1" customHeight="1" outlineLevel="1">
      <c r="A267" s="325" t="s">
        <v>1067</v>
      </c>
      <c r="B267" s="325" t="s">
        <v>1420</v>
      </c>
      <c r="C267" s="325" t="s">
        <v>1421</v>
      </c>
      <c r="D267" s="325" t="s">
        <v>20</v>
      </c>
      <c r="E267" s="326">
        <v>1</v>
      </c>
      <c r="F267" s="331">
        <v>152</v>
      </c>
      <c r="G267" s="328"/>
      <c r="H267" s="328" t="s">
        <v>1417</v>
      </c>
      <c r="I267" s="329" t="s">
        <v>289</v>
      </c>
    </row>
    <row r="268" spans="1:9" ht="11.1" customHeight="1" outlineLevel="1">
      <c r="A268" s="325" t="s">
        <v>1067</v>
      </c>
      <c r="B268" s="325" t="s">
        <v>1422</v>
      </c>
      <c r="C268" s="325" t="s">
        <v>1423</v>
      </c>
      <c r="D268" s="325" t="s">
        <v>20</v>
      </c>
      <c r="E268" s="326">
        <v>7</v>
      </c>
      <c r="F268" s="327">
        <v>3661</v>
      </c>
      <c r="G268" s="328"/>
      <c r="H268" s="160" t="s">
        <v>605</v>
      </c>
      <c r="I268" s="324" t="s">
        <v>1087</v>
      </c>
    </row>
    <row r="269" spans="1:9" ht="11.1" customHeight="1" outlineLevel="1">
      <c r="A269" s="325" t="s">
        <v>1067</v>
      </c>
      <c r="B269" s="325" t="s">
        <v>1424</v>
      </c>
      <c r="C269" s="325" t="s">
        <v>1425</v>
      </c>
      <c r="D269" s="325" t="s">
        <v>20</v>
      </c>
      <c r="E269" s="326">
        <v>4</v>
      </c>
      <c r="F269" s="327">
        <v>1956</v>
      </c>
      <c r="G269" s="328"/>
      <c r="H269" s="160" t="s">
        <v>605</v>
      </c>
      <c r="I269" s="324" t="s">
        <v>1087</v>
      </c>
    </row>
    <row r="270" spans="1:9" ht="11.1" customHeight="1" outlineLevel="1">
      <c r="A270" s="325" t="s">
        <v>1302</v>
      </c>
      <c r="B270" s="325" t="s">
        <v>1426</v>
      </c>
      <c r="C270" s="325" t="s">
        <v>1427</v>
      </c>
      <c r="D270" s="325" t="s">
        <v>20</v>
      </c>
      <c r="E270" s="326">
        <v>3</v>
      </c>
      <c r="F270" s="327">
        <v>18401.259999999998</v>
      </c>
      <c r="G270" s="328"/>
      <c r="H270" s="160" t="s">
        <v>568</v>
      </c>
      <c r="I270" s="324" t="s">
        <v>1073</v>
      </c>
    </row>
    <row r="271" spans="1:9" ht="11.1" customHeight="1" outlineLevel="1">
      <c r="A271" s="325" t="s">
        <v>1067</v>
      </c>
      <c r="B271" s="325" t="s">
        <v>1426</v>
      </c>
      <c r="C271" s="325" t="s">
        <v>1427</v>
      </c>
      <c r="D271" s="325" t="s">
        <v>20</v>
      </c>
      <c r="E271" s="326">
        <v>8</v>
      </c>
      <c r="F271" s="327">
        <v>49458.36</v>
      </c>
      <c r="G271" s="328"/>
      <c r="H271" s="160" t="s">
        <v>568</v>
      </c>
      <c r="I271" s="324" t="s">
        <v>1073</v>
      </c>
    </row>
    <row r="272" spans="1:9" ht="11.1" customHeight="1" outlineLevel="1">
      <c r="A272" s="325" t="s">
        <v>1302</v>
      </c>
      <c r="B272" s="325" t="s">
        <v>1428</v>
      </c>
      <c r="C272" s="325" t="s">
        <v>1429</v>
      </c>
      <c r="D272" s="325" t="s">
        <v>20</v>
      </c>
      <c r="E272" s="328"/>
      <c r="F272" s="331">
        <v>-22.11</v>
      </c>
      <c r="G272" s="328"/>
      <c r="H272" s="160" t="s">
        <v>1430</v>
      </c>
      <c r="I272" s="324" t="s">
        <v>1073</v>
      </c>
    </row>
    <row r="273" spans="1:9" ht="11.1" customHeight="1" outlineLevel="1">
      <c r="A273" s="325" t="s">
        <v>1067</v>
      </c>
      <c r="B273" s="325" t="s">
        <v>1431</v>
      </c>
      <c r="C273" s="325" t="s">
        <v>1432</v>
      </c>
      <c r="D273" s="325" t="s">
        <v>20</v>
      </c>
      <c r="E273" s="326">
        <v>9</v>
      </c>
      <c r="F273" s="327">
        <v>19542.25</v>
      </c>
      <c r="G273" s="328"/>
      <c r="H273" s="160" t="s">
        <v>1430</v>
      </c>
      <c r="I273" s="324" t="s">
        <v>1073</v>
      </c>
    </row>
    <row r="274" spans="1:9" ht="11.1" customHeight="1" outlineLevel="1">
      <c r="A274" s="325" t="s">
        <v>1302</v>
      </c>
      <c r="B274" s="325" t="s">
        <v>1431</v>
      </c>
      <c r="C274" s="325" t="s">
        <v>1432</v>
      </c>
      <c r="D274" s="325" t="s">
        <v>20</v>
      </c>
      <c r="E274" s="326">
        <v>6</v>
      </c>
      <c r="F274" s="327">
        <v>13357.35</v>
      </c>
      <c r="G274" s="328"/>
      <c r="H274" s="160" t="s">
        <v>1430</v>
      </c>
      <c r="I274" s="324" t="s">
        <v>1073</v>
      </c>
    </row>
    <row r="275" spans="1:9" ht="11.1" customHeight="1" outlineLevel="1">
      <c r="A275" s="325" t="s">
        <v>1302</v>
      </c>
      <c r="B275" s="325" t="s">
        <v>1433</v>
      </c>
      <c r="C275" s="325" t="s">
        <v>1434</v>
      </c>
      <c r="D275" s="325" t="s">
        <v>20</v>
      </c>
      <c r="E275" s="326">
        <v>18</v>
      </c>
      <c r="F275" s="327">
        <v>39992.04</v>
      </c>
      <c r="G275" s="328"/>
      <c r="H275" s="160" t="s">
        <v>1430</v>
      </c>
      <c r="I275" s="324" t="s">
        <v>1073</v>
      </c>
    </row>
    <row r="276" spans="1:9" ht="11.1" customHeight="1" outlineLevel="1">
      <c r="A276" s="325" t="s">
        <v>1067</v>
      </c>
      <c r="B276" s="325" t="s">
        <v>1433</v>
      </c>
      <c r="C276" s="325" t="s">
        <v>1434</v>
      </c>
      <c r="D276" s="325" t="s">
        <v>20</v>
      </c>
      <c r="E276" s="326">
        <v>27</v>
      </c>
      <c r="F276" s="327">
        <v>58626.75</v>
      </c>
      <c r="G276" s="328"/>
      <c r="H276" s="160" t="s">
        <v>1430</v>
      </c>
      <c r="I276" s="324" t="s">
        <v>1073</v>
      </c>
    </row>
    <row r="277" spans="1:9" ht="11.1" customHeight="1" outlineLevel="1">
      <c r="A277" s="325" t="s">
        <v>1302</v>
      </c>
      <c r="B277" s="325" t="s">
        <v>1435</v>
      </c>
      <c r="C277" s="325" t="s">
        <v>1436</v>
      </c>
      <c r="D277" s="325" t="s">
        <v>20</v>
      </c>
      <c r="E277" s="326">
        <v>2</v>
      </c>
      <c r="F277" s="331">
        <v>127.4</v>
      </c>
      <c r="G277" s="328"/>
      <c r="H277" s="160" t="s">
        <v>1437</v>
      </c>
      <c r="I277" s="324" t="s">
        <v>1307</v>
      </c>
    </row>
    <row r="278" spans="1:9" ht="11.1" customHeight="1" outlineLevel="1">
      <c r="A278" s="325" t="s">
        <v>1302</v>
      </c>
      <c r="B278" s="325" t="s">
        <v>1438</v>
      </c>
      <c r="C278" s="325" t="s">
        <v>1439</v>
      </c>
      <c r="D278" s="325" t="s">
        <v>20</v>
      </c>
      <c r="E278" s="326">
        <v>76</v>
      </c>
      <c r="F278" s="327">
        <v>5598.46</v>
      </c>
      <c r="G278" s="328"/>
      <c r="H278" s="160" t="s">
        <v>1440</v>
      </c>
      <c r="I278" s="324" t="s">
        <v>1105</v>
      </c>
    </row>
    <row r="279" spans="1:9" ht="11.1" customHeight="1" outlineLevel="1">
      <c r="A279" s="325" t="s">
        <v>1067</v>
      </c>
      <c r="B279" s="325" t="s">
        <v>1438</v>
      </c>
      <c r="C279" s="325" t="s">
        <v>1439</v>
      </c>
      <c r="D279" s="325" t="s">
        <v>20</v>
      </c>
      <c r="E279" s="326">
        <v>120</v>
      </c>
      <c r="F279" s="327">
        <v>9750</v>
      </c>
      <c r="G279" s="328"/>
      <c r="H279" s="160" t="s">
        <v>1440</v>
      </c>
      <c r="I279" s="324" t="s">
        <v>1105</v>
      </c>
    </row>
    <row r="280" spans="1:9" ht="11.1" customHeight="1" outlineLevel="1">
      <c r="A280" s="325" t="s">
        <v>1302</v>
      </c>
      <c r="B280" s="325" t="s">
        <v>1441</v>
      </c>
      <c r="C280" s="325" t="s">
        <v>1442</v>
      </c>
      <c r="D280" s="325" t="s">
        <v>20</v>
      </c>
      <c r="E280" s="326">
        <v>6</v>
      </c>
      <c r="F280" s="331">
        <v>734.77</v>
      </c>
      <c r="G280" s="328"/>
      <c r="H280" s="160" t="s">
        <v>1443</v>
      </c>
      <c r="I280" s="324" t="s">
        <v>1105</v>
      </c>
    </row>
    <row r="281" spans="1:9" ht="11.1" customHeight="1" outlineLevel="1">
      <c r="A281" s="325" t="s">
        <v>1067</v>
      </c>
      <c r="B281" s="325" t="s">
        <v>1441</v>
      </c>
      <c r="C281" s="325" t="s">
        <v>1442</v>
      </c>
      <c r="D281" s="325" t="s">
        <v>20</v>
      </c>
      <c r="E281" s="326">
        <v>48</v>
      </c>
      <c r="F281" s="327">
        <v>6531.86</v>
      </c>
      <c r="G281" s="328"/>
      <c r="H281" s="160" t="s">
        <v>1443</v>
      </c>
      <c r="I281" s="324" t="s">
        <v>1105</v>
      </c>
    </row>
    <row r="282" spans="1:9" ht="11.1" customHeight="1" outlineLevel="1">
      <c r="A282" s="325" t="s">
        <v>1067</v>
      </c>
      <c r="B282" s="325" t="s">
        <v>1444</v>
      </c>
      <c r="C282" s="325" t="s">
        <v>1445</v>
      </c>
      <c r="D282" s="325" t="s">
        <v>20</v>
      </c>
      <c r="E282" s="326">
        <v>1</v>
      </c>
      <c r="F282" s="327">
        <v>1082.25</v>
      </c>
      <c r="G282" s="328"/>
      <c r="H282" s="174" t="s">
        <v>1446</v>
      </c>
      <c r="I282" s="324" t="s">
        <v>425</v>
      </c>
    </row>
    <row r="283" spans="1:9" ht="11.1" customHeight="1" outlineLevel="1">
      <c r="A283" s="325" t="s">
        <v>1067</v>
      </c>
      <c r="B283" s="325" t="s">
        <v>1447</v>
      </c>
      <c r="C283" s="325" t="s">
        <v>1448</v>
      </c>
      <c r="D283" s="325" t="s">
        <v>20</v>
      </c>
      <c r="E283" s="326">
        <v>14</v>
      </c>
      <c r="F283" s="327">
        <v>9467</v>
      </c>
      <c r="G283" s="328"/>
      <c r="H283" s="174" t="s">
        <v>1446</v>
      </c>
      <c r="I283" s="324" t="s">
        <v>425</v>
      </c>
    </row>
    <row r="284" spans="1:9" ht="11.1" customHeight="1" outlineLevel="1">
      <c r="A284" s="325" t="s">
        <v>1067</v>
      </c>
      <c r="B284" s="325" t="s">
        <v>1449</v>
      </c>
      <c r="C284" s="325" t="s">
        <v>1450</v>
      </c>
      <c r="D284" s="325" t="s">
        <v>20</v>
      </c>
      <c r="E284" s="326">
        <v>14</v>
      </c>
      <c r="F284" s="327">
        <v>17164.5</v>
      </c>
      <c r="G284" s="328"/>
      <c r="H284" s="174" t="s">
        <v>1446</v>
      </c>
      <c r="I284" s="324" t="s">
        <v>425</v>
      </c>
    </row>
    <row r="285" spans="1:9" ht="11.1" customHeight="1" outlineLevel="1">
      <c r="A285" s="325" t="s">
        <v>1067</v>
      </c>
      <c r="B285" s="325" t="s">
        <v>1451</v>
      </c>
      <c r="C285" s="325" t="s">
        <v>1452</v>
      </c>
      <c r="D285" s="325" t="s">
        <v>20</v>
      </c>
      <c r="E285" s="326">
        <v>3</v>
      </c>
      <c r="F285" s="327">
        <v>3795</v>
      </c>
      <c r="G285" s="328"/>
      <c r="H285" s="328" t="s">
        <v>1453</v>
      </c>
      <c r="I285" s="324" t="s">
        <v>1070</v>
      </c>
    </row>
    <row r="286" spans="1:9" ht="11.1" customHeight="1" outlineLevel="1">
      <c r="A286" s="325" t="s">
        <v>1067</v>
      </c>
      <c r="B286" s="325" t="s">
        <v>1137</v>
      </c>
      <c r="C286" s="325" t="s">
        <v>1138</v>
      </c>
      <c r="D286" s="325" t="s">
        <v>20</v>
      </c>
      <c r="E286" s="326">
        <v>12</v>
      </c>
      <c r="F286" s="331">
        <v>894.3</v>
      </c>
      <c r="G286" s="328"/>
      <c r="H286" s="328" t="s">
        <v>1086</v>
      </c>
      <c r="I286" s="324" t="s">
        <v>1087</v>
      </c>
    </row>
    <row r="287" spans="1:9" ht="11.1" customHeight="1" outlineLevel="1">
      <c r="A287" s="325" t="s">
        <v>1302</v>
      </c>
      <c r="B287" s="325" t="s">
        <v>1454</v>
      </c>
      <c r="C287" s="325" t="s">
        <v>1455</v>
      </c>
      <c r="D287" s="325" t="s">
        <v>912</v>
      </c>
      <c r="E287" s="326">
        <v>7.4999999999999997E-2</v>
      </c>
      <c r="F287" s="327">
        <v>2014.13</v>
      </c>
      <c r="G287" s="328"/>
      <c r="H287" s="160" t="s">
        <v>542</v>
      </c>
      <c r="I287" s="324" t="s">
        <v>1307</v>
      </c>
    </row>
    <row r="288" spans="1:9" ht="11.1" customHeight="1" outlineLevel="1">
      <c r="A288" s="325" t="s">
        <v>1302</v>
      </c>
      <c r="B288" s="325" t="s">
        <v>1456</v>
      </c>
      <c r="C288" s="325" t="s">
        <v>1457</v>
      </c>
      <c r="D288" s="325" t="s">
        <v>912</v>
      </c>
      <c r="E288" s="326">
        <v>0.219</v>
      </c>
      <c r="F288" s="327">
        <v>5881.25</v>
      </c>
      <c r="G288" s="328"/>
      <c r="H288" s="160" t="s">
        <v>542</v>
      </c>
      <c r="I288" s="324" t="s">
        <v>1307</v>
      </c>
    </row>
    <row r="289" spans="1:9" ht="11.1" customHeight="1" outlineLevel="1">
      <c r="A289" s="325" t="s">
        <v>1067</v>
      </c>
      <c r="B289" s="325" t="s">
        <v>1458</v>
      </c>
      <c r="C289" s="325" t="s">
        <v>1459</v>
      </c>
      <c r="D289" s="325" t="s">
        <v>912</v>
      </c>
      <c r="E289" s="326">
        <v>13.978</v>
      </c>
      <c r="F289" s="327">
        <v>409876.66</v>
      </c>
      <c r="G289" s="328"/>
      <c r="H289" s="160" t="s">
        <v>542</v>
      </c>
      <c r="I289" s="324" t="s">
        <v>1307</v>
      </c>
    </row>
    <row r="290" spans="1:9" ht="11.1" customHeight="1" outlineLevel="1">
      <c r="A290" s="325" t="s">
        <v>1302</v>
      </c>
      <c r="B290" s="325" t="s">
        <v>1458</v>
      </c>
      <c r="C290" s="325" t="s">
        <v>1459</v>
      </c>
      <c r="D290" s="325" t="s">
        <v>912</v>
      </c>
      <c r="E290" s="326">
        <v>9.8580000000000005</v>
      </c>
      <c r="F290" s="327">
        <v>245348.42</v>
      </c>
      <c r="G290" s="328"/>
      <c r="H290" s="160" t="s">
        <v>542</v>
      </c>
      <c r="I290" s="324" t="s">
        <v>1307</v>
      </c>
    </row>
    <row r="291" spans="1:9" ht="11.1" customHeight="1" outlineLevel="1">
      <c r="A291" s="325" t="s">
        <v>1302</v>
      </c>
      <c r="B291" s="325" t="s">
        <v>1460</v>
      </c>
      <c r="C291" s="325" t="s">
        <v>1461</v>
      </c>
      <c r="D291" s="325" t="s">
        <v>1220</v>
      </c>
      <c r="E291" s="326">
        <v>7.1999999999999995E-2</v>
      </c>
      <c r="F291" s="327">
        <v>1073.96</v>
      </c>
      <c r="G291" s="328"/>
      <c r="H291" s="160" t="s">
        <v>542</v>
      </c>
      <c r="I291" s="324" t="s">
        <v>1307</v>
      </c>
    </row>
    <row r="292" spans="1:9" ht="11.1" customHeight="1" outlineLevel="1">
      <c r="A292" s="325" t="s">
        <v>1067</v>
      </c>
      <c r="B292" s="325" t="s">
        <v>1462</v>
      </c>
      <c r="C292" s="325" t="s">
        <v>1463</v>
      </c>
      <c r="D292" s="325" t="s">
        <v>20</v>
      </c>
      <c r="E292" s="326">
        <v>90</v>
      </c>
      <c r="F292" s="327">
        <v>40112.5</v>
      </c>
      <c r="G292" s="328"/>
      <c r="H292" s="336" t="s">
        <v>1464</v>
      </c>
      <c r="I292" s="324" t="s">
        <v>1073</v>
      </c>
    </row>
    <row r="293" spans="1:9" ht="11.1" customHeight="1" outlineLevel="1">
      <c r="A293" s="325" t="s">
        <v>1302</v>
      </c>
      <c r="B293" s="325" t="s">
        <v>1462</v>
      </c>
      <c r="C293" s="325" t="s">
        <v>1463</v>
      </c>
      <c r="D293" s="325" t="s">
        <v>20</v>
      </c>
      <c r="E293" s="326">
        <v>30</v>
      </c>
      <c r="F293" s="327">
        <v>14328</v>
      </c>
      <c r="G293" s="328"/>
      <c r="H293" s="336" t="s">
        <v>1464</v>
      </c>
      <c r="I293" s="324" t="s">
        <v>1073</v>
      </c>
    </row>
    <row r="294" spans="1:9" ht="11.1" customHeight="1" outlineLevel="1">
      <c r="A294" s="325" t="s">
        <v>1302</v>
      </c>
      <c r="B294" s="325" t="s">
        <v>1465</v>
      </c>
      <c r="C294" s="325" t="s">
        <v>1466</v>
      </c>
      <c r="D294" s="325" t="s">
        <v>912</v>
      </c>
      <c r="E294" s="326">
        <v>0.73599999999999999</v>
      </c>
      <c r="F294" s="327">
        <v>17747.169999999998</v>
      </c>
      <c r="G294" s="328"/>
      <c r="H294" s="160" t="s">
        <v>542</v>
      </c>
      <c r="I294" s="324" t="s">
        <v>1307</v>
      </c>
    </row>
    <row r="295" spans="1:9" ht="11.1" customHeight="1" outlineLevel="1">
      <c r="A295" s="325" t="s">
        <v>1302</v>
      </c>
      <c r="B295" s="325" t="s">
        <v>1467</v>
      </c>
      <c r="C295" s="325" t="s">
        <v>1468</v>
      </c>
      <c r="D295" s="325" t="s">
        <v>912</v>
      </c>
      <c r="E295" s="326">
        <v>5.8000000000000003E-2</v>
      </c>
      <c r="F295" s="331">
        <v>604.16999999999996</v>
      </c>
      <c r="G295" s="328"/>
      <c r="H295" s="160" t="s">
        <v>542</v>
      </c>
      <c r="I295" s="324" t="s">
        <v>1307</v>
      </c>
    </row>
    <row r="296" spans="1:9" ht="11.1" customHeight="1" outlineLevel="1">
      <c r="A296" s="325" t="s">
        <v>1067</v>
      </c>
      <c r="B296" s="325" t="s">
        <v>1469</v>
      </c>
      <c r="C296" s="325" t="s">
        <v>1470</v>
      </c>
      <c r="D296" s="325" t="s">
        <v>912</v>
      </c>
      <c r="E296" s="326">
        <v>0.05</v>
      </c>
      <c r="F296" s="331">
        <v>895.83</v>
      </c>
      <c r="G296" s="328"/>
      <c r="H296" s="160" t="s">
        <v>542</v>
      </c>
      <c r="I296" s="324" t="s">
        <v>1307</v>
      </c>
    </row>
    <row r="297" spans="1:9" ht="11.1" customHeight="1" outlineLevel="1">
      <c r="A297" s="325" t="s">
        <v>1067</v>
      </c>
      <c r="B297" s="325" t="s">
        <v>1471</v>
      </c>
      <c r="C297" s="325" t="s">
        <v>1472</v>
      </c>
      <c r="D297" s="325" t="s">
        <v>886</v>
      </c>
      <c r="E297" s="326">
        <v>7.0000000000000001E-3</v>
      </c>
      <c r="F297" s="331">
        <v>245</v>
      </c>
      <c r="G297" s="328"/>
      <c r="H297" s="328" t="s">
        <v>549</v>
      </c>
      <c r="I297" s="324" t="s">
        <v>289</v>
      </c>
    </row>
    <row r="298" spans="1:9" ht="11.1" customHeight="1" outlineLevel="1">
      <c r="A298" s="325" t="s">
        <v>1302</v>
      </c>
      <c r="B298" s="325" t="s">
        <v>1471</v>
      </c>
      <c r="C298" s="325" t="s">
        <v>1472</v>
      </c>
      <c r="D298" s="325" t="s">
        <v>886</v>
      </c>
      <c r="E298" s="326">
        <v>1E-3</v>
      </c>
      <c r="F298" s="331">
        <v>40.799999999999997</v>
      </c>
      <c r="G298" s="328"/>
      <c r="H298" s="328" t="s">
        <v>549</v>
      </c>
      <c r="I298" s="324" t="s">
        <v>289</v>
      </c>
    </row>
    <row r="299" spans="1:9" ht="11.1" customHeight="1" outlineLevel="1">
      <c r="A299" s="325" t="s">
        <v>1067</v>
      </c>
      <c r="B299" s="325" t="s">
        <v>1473</v>
      </c>
      <c r="C299" s="325" t="s">
        <v>1474</v>
      </c>
      <c r="D299" s="325" t="s">
        <v>20</v>
      </c>
      <c r="E299" s="326">
        <v>13</v>
      </c>
      <c r="F299" s="327">
        <v>183911.11</v>
      </c>
      <c r="G299" s="328"/>
      <c r="H299" s="160" t="s">
        <v>1475</v>
      </c>
      <c r="I299" s="324" t="s">
        <v>1070</v>
      </c>
    </row>
    <row r="300" spans="1:9" ht="11.1" customHeight="1" outlineLevel="1">
      <c r="A300" s="325" t="s">
        <v>1302</v>
      </c>
      <c r="B300" s="325" t="s">
        <v>1473</v>
      </c>
      <c r="C300" s="325" t="s">
        <v>1474</v>
      </c>
      <c r="D300" s="325" t="s">
        <v>20</v>
      </c>
      <c r="E300" s="326">
        <v>1</v>
      </c>
      <c r="F300" s="327">
        <v>11034.46</v>
      </c>
      <c r="G300" s="328"/>
      <c r="H300" s="160" t="s">
        <v>1475</v>
      </c>
      <c r="I300" s="324" t="s">
        <v>1070</v>
      </c>
    </row>
    <row r="301" spans="1:9" ht="11.1" customHeight="1" outlineLevel="1">
      <c r="A301" s="325" t="s">
        <v>1067</v>
      </c>
      <c r="B301" s="325" t="s">
        <v>1476</v>
      </c>
      <c r="C301" s="325" t="s">
        <v>1477</v>
      </c>
      <c r="D301" s="325" t="s">
        <v>20</v>
      </c>
      <c r="E301" s="326">
        <v>11</v>
      </c>
      <c r="F301" s="327">
        <v>35740.86</v>
      </c>
      <c r="G301" s="328"/>
      <c r="H301" s="174" t="s">
        <v>1478</v>
      </c>
      <c r="I301" s="324" t="s">
        <v>425</v>
      </c>
    </row>
    <row r="302" spans="1:9" ht="11.1" customHeight="1" outlineLevel="1">
      <c r="A302" s="325" t="s">
        <v>1067</v>
      </c>
      <c r="B302" s="325" t="s">
        <v>1479</v>
      </c>
      <c r="C302" s="325" t="s">
        <v>1480</v>
      </c>
      <c r="D302" s="325" t="s">
        <v>20</v>
      </c>
      <c r="E302" s="326">
        <v>10</v>
      </c>
      <c r="F302" s="327">
        <v>7408.33</v>
      </c>
      <c r="G302" s="328"/>
      <c r="H302" s="174" t="s">
        <v>1480</v>
      </c>
      <c r="I302" s="324" t="s">
        <v>425</v>
      </c>
    </row>
    <row r="303" spans="1:9" ht="11.1" customHeight="1" outlineLevel="1">
      <c r="A303" s="325" t="s">
        <v>1067</v>
      </c>
      <c r="B303" s="325" t="s">
        <v>1481</v>
      </c>
      <c r="C303" s="325" t="s">
        <v>1482</v>
      </c>
      <c r="D303" s="325" t="s">
        <v>20</v>
      </c>
      <c r="E303" s="326">
        <v>1</v>
      </c>
      <c r="F303" s="331">
        <v>144.09</v>
      </c>
      <c r="G303" s="328"/>
      <c r="H303" s="328" t="s">
        <v>1086</v>
      </c>
      <c r="I303" s="324" t="s">
        <v>1087</v>
      </c>
    </row>
    <row r="304" spans="1:9" ht="11.1" customHeight="1" outlineLevel="1">
      <c r="A304" s="325" t="s">
        <v>1302</v>
      </c>
      <c r="B304" s="325" t="s">
        <v>1483</v>
      </c>
      <c r="C304" s="325" t="s">
        <v>1484</v>
      </c>
      <c r="D304" s="325" t="s">
        <v>14</v>
      </c>
      <c r="E304" s="326">
        <v>3</v>
      </c>
      <c r="F304" s="331">
        <v>234.99</v>
      </c>
      <c r="G304" s="328"/>
      <c r="H304" s="328" t="s">
        <v>1086</v>
      </c>
      <c r="I304" s="324" t="s">
        <v>1087</v>
      </c>
    </row>
    <row r="305" spans="1:9" ht="11.1" customHeight="1" outlineLevel="1">
      <c r="A305" s="325" t="s">
        <v>1067</v>
      </c>
      <c r="B305" s="325" t="s">
        <v>1485</v>
      </c>
      <c r="C305" s="325" t="s">
        <v>1486</v>
      </c>
      <c r="D305" s="325" t="s">
        <v>20</v>
      </c>
      <c r="E305" s="326">
        <v>32</v>
      </c>
      <c r="F305" s="327">
        <v>38028.080000000002</v>
      </c>
      <c r="G305" s="328"/>
      <c r="H305" s="160" t="s">
        <v>567</v>
      </c>
      <c r="I305" s="324" t="s">
        <v>1105</v>
      </c>
    </row>
    <row r="306" spans="1:9" ht="11.1" customHeight="1" outlineLevel="1">
      <c r="A306" s="325" t="s">
        <v>1067</v>
      </c>
      <c r="B306" s="325" t="s">
        <v>1487</v>
      </c>
      <c r="C306" s="325" t="s">
        <v>1488</v>
      </c>
      <c r="D306" s="325" t="s">
        <v>20</v>
      </c>
      <c r="E306" s="326">
        <v>20</v>
      </c>
      <c r="F306" s="331">
        <v>200</v>
      </c>
      <c r="G306" s="328"/>
      <c r="H306" s="160" t="s">
        <v>1489</v>
      </c>
      <c r="I306" s="324" t="s">
        <v>1307</v>
      </c>
    </row>
    <row r="307" spans="1:9" ht="11.1" customHeight="1" outlineLevel="1">
      <c r="A307" s="325" t="s">
        <v>1302</v>
      </c>
      <c r="B307" s="325" t="s">
        <v>1490</v>
      </c>
      <c r="C307" s="325" t="s">
        <v>1491</v>
      </c>
      <c r="D307" s="325" t="s">
        <v>20</v>
      </c>
      <c r="E307" s="326">
        <v>1</v>
      </c>
      <c r="F307" s="331">
        <v>13.41</v>
      </c>
      <c r="G307" s="328"/>
      <c r="H307" s="160" t="s">
        <v>1489</v>
      </c>
      <c r="I307" s="324" t="s">
        <v>1307</v>
      </c>
    </row>
    <row r="308" spans="1:9" ht="11.1" customHeight="1" outlineLevel="1">
      <c r="A308" s="325" t="s">
        <v>1067</v>
      </c>
      <c r="B308" s="325" t="s">
        <v>1490</v>
      </c>
      <c r="C308" s="325" t="s">
        <v>1491</v>
      </c>
      <c r="D308" s="325" t="s">
        <v>20</v>
      </c>
      <c r="E308" s="326">
        <v>40</v>
      </c>
      <c r="F308" s="331">
        <v>517.97</v>
      </c>
      <c r="G308" s="328"/>
      <c r="H308" s="160" t="s">
        <v>1489</v>
      </c>
      <c r="I308" s="324" t="s">
        <v>1307</v>
      </c>
    </row>
    <row r="309" spans="1:9" ht="11.1" customHeight="1" outlineLevel="1">
      <c r="A309" s="325" t="s">
        <v>1067</v>
      </c>
      <c r="B309" s="325" t="s">
        <v>1492</v>
      </c>
      <c r="C309" s="325" t="s">
        <v>1493</v>
      </c>
      <c r="D309" s="325" t="s">
        <v>20</v>
      </c>
      <c r="E309" s="326">
        <v>3</v>
      </c>
      <c r="F309" s="331">
        <v>158.4</v>
      </c>
      <c r="G309" s="328"/>
      <c r="H309" s="160" t="s">
        <v>1145</v>
      </c>
      <c r="I309" s="324" t="s">
        <v>1070</v>
      </c>
    </row>
    <row r="310" spans="1:9" ht="11.1" customHeight="1" outlineLevel="1">
      <c r="A310" s="325" t="s">
        <v>1067</v>
      </c>
      <c r="B310" s="325" t="s">
        <v>1143</v>
      </c>
      <c r="C310" s="325" t="s">
        <v>1144</v>
      </c>
      <c r="D310" s="325" t="s">
        <v>20</v>
      </c>
      <c r="E310" s="326">
        <v>23</v>
      </c>
      <c r="F310" s="327">
        <v>1929.7</v>
      </c>
      <c r="G310" s="328"/>
      <c r="H310" s="160" t="s">
        <v>1145</v>
      </c>
      <c r="I310" s="324" t="s">
        <v>1070</v>
      </c>
    </row>
    <row r="311" spans="1:9" ht="11.1" customHeight="1" outlineLevel="1">
      <c r="A311" s="325" t="s">
        <v>1302</v>
      </c>
      <c r="B311" s="325" t="s">
        <v>1143</v>
      </c>
      <c r="C311" s="325" t="s">
        <v>1144</v>
      </c>
      <c r="D311" s="325" t="s">
        <v>20</v>
      </c>
      <c r="E311" s="326">
        <v>1</v>
      </c>
      <c r="F311" s="331">
        <v>65.459999999999994</v>
      </c>
      <c r="G311" s="328"/>
      <c r="H311" s="160" t="s">
        <v>1145</v>
      </c>
      <c r="I311" s="324" t="s">
        <v>1070</v>
      </c>
    </row>
    <row r="312" spans="1:9" ht="11.1" customHeight="1" outlineLevel="1">
      <c r="A312" s="325" t="s">
        <v>1067</v>
      </c>
      <c r="B312" s="325" t="s">
        <v>1494</v>
      </c>
      <c r="C312" s="325" t="s">
        <v>1495</v>
      </c>
      <c r="D312" s="325" t="s">
        <v>20</v>
      </c>
      <c r="E312" s="326">
        <v>31</v>
      </c>
      <c r="F312" s="327">
        <v>2578.3000000000002</v>
      </c>
      <c r="G312" s="328"/>
      <c r="H312" s="160" t="s">
        <v>1496</v>
      </c>
      <c r="I312" s="324" t="s">
        <v>1105</v>
      </c>
    </row>
    <row r="313" spans="1:9" ht="11.1" customHeight="1" outlineLevel="1">
      <c r="A313" s="325" t="s">
        <v>1067</v>
      </c>
      <c r="B313" s="325" t="s">
        <v>1497</v>
      </c>
      <c r="C313" s="325" t="s">
        <v>1498</v>
      </c>
      <c r="D313" s="325" t="s">
        <v>20</v>
      </c>
      <c r="E313" s="326">
        <v>11</v>
      </c>
      <c r="F313" s="327">
        <v>1177</v>
      </c>
      <c r="G313" s="328"/>
      <c r="H313" s="328" t="s">
        <v>1499</v>
      </c>
      <c r="I313" s="324" t="s">
        <v>1070</v>
      </c>
    </row>
    <row r="314" spans="1:9" ht="11.1" customHeight="1" outlineLevel="1">
      <c r="A314" s="325" t="s">
        <v>1067</v>
      </c>
      <c r="B314" s="325" t="s">
        <v>1500</v>
      </c>
      <c r="C314" s="325" t="s">
        <v>1501</v>
      </c>
      <c r="D314" s="325" t="s">
        <v>20</v>
      </c>
      <c r="E314" s="326">
        <v>13</v>
      </c>
      <c r="F314" s="331">
        <v>344.76</v>
      </c>
      <c r="G314" s="328"/>
      <c r="H314" s="160" t="s">
        <v>807</v>
      </c>
      <c r="I314" s="324" t="s">
        <v>1070</v>
      </c>
    </row>
    <row r="315" spans="1:9" ht="11.1" customHeight="1" outlineLevel="1">
      <c r="A315" s="325" t="s">
        <v>1302</v>
      </c>
      <c r="B315" s="325" t="s">
        <v>1502</v>
      </c>
      <c r="C315" s="325" t="s">
        <v>1503</v>
      </c>
      <c r="D315" s="325" t="s">
        <v>20</v>
      </c>
      <c r="E315" s="326">
        <v>18</v>
      </c>
      <c r="F315" s="331">
        <v>183.51</v>
      </c>
      <c r="G315" s="328"/>
      <c r="H315" s="160" t="s">
        <v>807</v>
      </c>
      <c r="I315" s="324" t="s">
        <v>1105</v>
      </c>
    </row>
    <row r="316" spans="1:9" ht="11.1" customHeight="1" outlineLevel="1">
      <c r="A316" s="325" t="s">
        <v>1067</v>
      </c>
      <c r="B316" s="325" t="s">
        <v>1502</v>
      </c>
      <c r="C316" s="325" t="s">
        <v>1503</v>
      </c>
      <c r="D316" s="325" t="s">
        <v>20</v>
      </c>
      <c r="E316" s="326">
        <v>243</v>
      </c>
      <c r="F316" s="327">
        <v>2768.9</v>
      </c>
      <c r="G316" s="328"/>
      <c r="H316" s="160" t="s">
        <v>807</v>
      </c>
      <c r="I316" s="324" t="s">
        <v>1105</v>
      </c>
    </row>
    <row r="317" spans="1:9" ht="11.1" customHeight="1" outlineLevel="1">
      <c r="A317" s="325" t="s">
        <v>1302</v>
      </c>
      <c r="B317" s="325" t="s">
        <v>1504</v>
      </c>
      <c r="C317" s="325" t="s">
        <v>1505</v>
      </c>
      <c r="D317" s="325" t="s">
        <v>20</v>
      </c>
      <c r="E317" s="326">
        <v>18</v>
      </c>
      <c r="F317" s="331">
        <v>183.51</v>
      </c>
      <c r="G317" s="328"/>
      <c r="H317" s="160" t="s">
        <v>807</v>
      </c>
      <c r="I317" s="324" t="s">
        <v>1105</v>
      </c>
    </row>
    <row r="318" spans="1:9" ht="11.1" customHeight="1" outlineLevel="1">
      <c r="A318" s="325" t="s">
        <v>1067</v>
      </c>
      <c r="B318" s="325" t="s">
        <v>1504</v>
      </c>
      <c r="C318" s="325" t="s">
        <v>1505</v>
      </c>
      <c r="D318" s="325" t="s">
        <v>20</v>
      </c>
      <c r="E318" s="326">
        <v>242</v>
      </c>
      <c r="F318" s="327">
        <v>2756.91</v>
      </c>
      <c r="G318" s="328"/>
      <c r="H318" s="160" t="s">
        <v>807</v>
      </c>
      <c r="I318" s="324" t="s">
        <v>1105</v>
      </c>
    </row>
    <row r="319" spans="1:9" ht="11.1" customHeight="1" outlineLevel="1">
      <c r="A319" s="325" t="s">
        <v>1067</v>
      </c>
      <c r="B319" s="325" t="s">
        <v>1506</v>
      </c>
      <c r="C319" s="325" t="s">
        <v>1507</v>
      </c>
      <c r="D319" s="325" t="s">
        <v>20</v>
      </c>
      <c r="E319" s="326">
        <v>5</v>
      </c>
      <c r="F319" s="327">
        <v>5381.43</v>
      </c>
      <c r="G319" s="328"/>
      <c r="H319" s="160" t="s">
        <v>1508</v>
      </c>
      <c r="I319" s="324" t="s">
        <v>1070</v>
      </c>
    </row>
    <row r="320" spans="1:9" ht="11.1" customHeight="1" outlineLevel="1">
      <c r="A320" s="325" t="s">
        <v>1302</v>
      </c>
      <c r="B320" s="325" t="s">
        <v>1506</v>
      </c>
      <c r="C320" s="325" t="s">
        <v>1507</v>
      </c>
      <c r="D320" s="325" t="s">
        <v>20</v>
      </c>
      <c r="E320" s="326">
        <v>6</v>
      </c>
      <c r="F320" s="327">
        <v>8245.5300000000007</v>
      </c>
      <c r="G320" s="328"/>
      <c r="H320" s="160" t="s">
        <v>1508</v>
      </c>
      <c r="I320" s="324" t="s">
        <v>1070</v>
      </c>
    </row>
    <row r="321" spans="1:9" ht="11.1" customHeight="1" outlineLevel="1">
      <c r="A321" s="325" t="s">
        <v>1302</v>
      </c>
      <c r="B321" s="325" t="s">
        <v>1509</v>
      </c>
      <c r="C321" s="325" t="s">
        <v>1510</v>
      </c>
      <c r="D321" s="325" t="s">
        <v>12</v>
      </c>
      <c r="E321" s="326">
        <v>11.32</v>
      </c>
      <c r="F321" s="327">
        <v>5506.95</v>
      </c>
      <c r="G321" s="328"/>
      <c r="H321" s="160" t="s">
        <v>1511</v>
      </c>
      <c r="I321" s="324" t="s">
        <v>1307</v>
      </c>
    </row>
    <row r="322" spans="1:9" ht="11.1" customHeight="1" outlineLevel="1">
      <c r="A322" s="325" t="s">
        <v>1067</v>
      </c>
      <c r="B322" s="325" t="s">
        <v>1512</v>
      </c>
      <c r="C322" s="325" t="s">
        <v>1513</v>
      </c>
      <c r="D322" s="325" t="s">
        <v>20</v>
      </c>
      <c r="E322" s="326">
        <v>1</v>
      </c>
      <c r="F322" s="331">
        <v>387</v>
      </c>
      <c r="G322" s="328"/>
      <c r="H322" s="160" t="s">
        <v>1514</v>
      </c>
      <c r="I322" s="324" t="s">
        <v>289</v>
      </c>
    </row>
    <row r="323" spans="1:9" ht="11.1" customHeight="1" outlineLevel="1">
      <c r="A323" s="325" t="s">
        <v>1067</v>
      </c>
      <c r="B323" s="325" t="s">
        <v>1515</v>
      </c>
      <c r="C323" s="325" t="s">
        <v>1516</v>
      </c>
      <c r="D323" s="325" t="s">
        <v>20</v>
      </c>
      <c r="E323" s="326">
        <v>2</v>
      </c>
      <c r="F323" s="331">
        <v>525.15</v>
      </c>
      <c r="G323" s="328"/>
      <c r="H323" s="160" t="s">
        <v>1514</v>
      </c>
      <c r="I323" s="324" t="s">
        <v>289</v>
      </c>
    </row>
    <row r="324" spans="1:9" ht="11.1" customHeight="1" outlineLevel="1">
      <c r="A324" s="325" t="s">
        <v>1067</v>
      </c>
      <c r="B324" s="325" t="s">
        <v>1517</v>
      </c>
      <c r="C324" s="325" t="s">
        <v>1518</v>
      </c>
      <c r="D324" s="325" t="s">
        <v>1519</v>
      </c>
      <c r="E324" s="326">
        <v>48.5</v>
      </c>
      <c r="F324" s="327">
        <v>3559.45</v>
      </c>
      <c r="G324" s="328"/>
      <c r="H324" s="160" t="s">
        <v>1520</v>
      </c>
      <c r="I324" s="324" t="s">
        <v>289</v>
      </c>
    </row>
    <row r="325" spans="1:9" ht="11.1" customHeight="1" outlineLevel="1">
      <c r="A325" s="325" t="s">
        <v>1302</v>
      </c>
      <c r="B325" s="325" t="s">
        <v>1517</v>
      </c>
      <c r="C325" s="325" t="s">
        <v>1518</v>
      </c>
      <c r="D325" s="325" t="s">
        <v>1519</v>
      </c>
      <c r="E325" s="326">
        <v>10.5</v>
      </c>
      <c r="F325" s="331">
        <v>808.69</v>
      </c>
      <c r="G325" s="328"/>
      <c r="H325" s="160" t="s">
        <v>1520</v>
      </c>
      <c r="I325" s="324" t="s">
        <v>289</v>
      </c>
    </row>
    <row r="326" spans="1:9" ht="11.1" customHeight="1" outlineLevel="1">
      <c r="A326" s="325" t="s">
        <v>1067</v>
      </c>
      <c r="B326" s="325" t="s">
        <v>1521</v>
      </c>
      <c r="C326" s="325" t="s">
        <v>1522</v>
      </c>
      <c r="D326" s="325" t="s">
        <v>20</v>
      </c>
      <c r="E326" s="326">
        <v>1</v>
      </c>
      <c r="F326" s="331">
        <v>180</v>
      </c>
      <c r="G326" s="328"/>
      <c r="H326" s="328" t="s">
        <v>1147</v>
      </c>
      <c r="I326" s="324" t="s">
        <v>21</v>
      </c>
    </row>
    <row r="327" spans="1:9" ht="11.1" customHeight="1" outlineLevel="1">
      <c r="A327" s="325" t="s">
        <v>1302</v>
      </c>
      <c r="B327" s="325" t="s">
        <v>1523</v>
      </c>
      <c r="C327" s="325" t="s">
        <v>1524</v>
      </c>
      <c r="D327" s="325" t="s">
        <v>12</v>
      </c>
      <c r="E327" s="326">
        <v>0.625</v>
      </c>
      <c r="F327" s="331">
        <v>468.13</v>
      </c>
      <c r="G327" s="328"/>
      <c r="H327" s="328" t="s">
        <v>876</v>
      </c>
      <c r="I327" s="324" t="s">
        <v>1307</v>
      </c>
    </row>
    <row r="328" spans="1:9" ht="11.1" customHeight="1" outlineLevel="1">
      <c r="A328" s="325" t="s">
        <v>1067</v>
      </c>
      <c r="B328" s="325" t="s">
        <v>1523</v>
      </c>
      <c r="C328" s="325" t="s">
        <v>1524</v>
      </c>
      <c r="D328" s="325" t="s">
        <v>12</v>
      </c>
      <c r="E328" s="326">
        <v>8.8999999999999996E-2</v>
      </c>
      <c r="F328" s="331">
        <v>41.8</v>
      </c>
      <c r="G328" s="328"/>
      <c r="H328" s="328" t="s">
        <v>876</v>
      </c>
      <c r="I328" s="324" t="s">
        <v>1307</v>
      </c>
    </row>
    <row r="329" spans="1:9" ht="11.1" customHeight="1" outlineLevel="1">
      <c r="A329" s="325" t="s">
        <v>1067</v>
      </c>
      <c r="B329" s="325" t="s">
        <v>1525</v>
      </c>
      <c r="C329" s="325" t="s">
        <v>1526</v>
      </c>
      <c r="D329" s="325" t="s">
        <v>20</v>
      </c>
      <c r="E329" s="326">
        <v>10</v>
      </c>
      <c r="F329" s="327">
        <v>11760</v>
      </c>
      <c r="G329" s="328"/>
      <c r="H329" s="174" t="s">
        <v>672</v>
      </c>
      <c r="I329" s="324" t="s">
        <v>425</v>
      </c>
    </row>
    <row r="330" spans="1:9" ht="11.1" customHeight="1" outlineLevel="1">
      <c r="A330" s="325" t="s">
        <v>1067</v>
      </c>
      <c r="B330" s="325" t="s">
        <v>1527</v>
      </c>
      <c r="C330" s="325" t="s">
        <v>1528</v>
      </c>
      <c r="D330" s="325" t="s">
        <v>20</v>
      </c>
      <c r="E330" s="326">
        <v>4</v>
      </c>
      <c r="F330" s="327">
        <v>2346.66</v>
      </c>
      <c r="G330" s="328"/>
      <c r="H330" s="174" t="s">
        <v>672</v>
      </c>
      <c r="I330" s="324" t="s">
        <v>425</v>
      </c>
    </row>
    <row r="331" spans="1:9" ht="11.1" customHeight="1" outlineLevel="1">
      <c r="A331" s="325" t="s">
        <v>1067</v>
      </c>
      <c r="B331" s="325" t="s">
        <v>1529</v>
      </c>
      <c r="C331" s="325" t="s">
        <v>1530</v>
      </c>
      <c r="D331" s="325" t="s">
        <v>20</v>
      </c>
      <c r="E331" s="326">
        <v>2</v>
      </c>
      <c r="F331" s="327">
        <v>3976.2</v>
      </c>
      <c r="G331" s="328"/>
      <c r="H331" s="160" t="s">
        <v>1531</v>
      </c>
      <c r="I331" s="324" t="s">
        <v>1070</v>
      </c>
    </row>
    <row r="332" spans="1:9" ht="11.1" customHeight="1" outlineLevel="1">
      <c r="A332" s="325" t="s">
        <v>1067</v>
      </c>
      <c r="B332" s="325" t="s">
        <v>1532</v>
      </c>
      <c r="C332" s="325" t="s">
        <v>1533</v>
      </c>
      <c r="D332" s="325" t="s">
        <v>20</v>
      </c>
      <c r="E332" s="326">
        <v>7</v>
      </c>
      <c r="F332" s="327">
        <v>10189.33</v>
      </c>
      <c r="G332" s="328"/>
      <c r="H332" s="328" t="s">
        <v>1453</v>
      </c>
      <c r="I332" s="324" t="s">
        <v>1070</v>
      </c>
    </row>
    <row r="333" spans="1:9" ht="11.1" customHeight="1" outlineLevel="1">
      <c r="A333" s="325" t="s">
        <v>1302</v>
      </c>
      <c r="B333" s="325" t="s">
        <v>1534</v>
      </c>
      <c r="C333" s="325" t="s">
        <v>1535</v>
      </c>
      <c r="D333" s="325" t="s">
        <v>20</v>
      </c>
      <c r="E333" s="326">
        <v>6</v>
      </c>
      <c r="F333" s="331">
        <v>574.53</v>
      </c>
      <c r="G333" s="328"/>
      <c r="H333" s="328" t="s">
        <v>1147</v>
      </c>
      <c r="I333" s="324" t="s">
        <v>21</v>
      </c>
    </row>
    <row r="334" spans="1:9" ht="11.1" customHeight="1" outlineLevel="1">
      <c r="A334" s="325" t="s">
        <v>1302</v>
      </c>
      <c r="B334" s="325" t="s">
        <v>1536</v>
      </c>
      <c r="C334" s="325" t="s">
        <v>1537</v>
      </c>
      <c r="D334" s="325" t="s">
        <v>20</v>
      </c>
      <c r="E334" s="326">
        <v>2</v>
      </c>
      <c r="F334" s="331">
        <v>189.33</v>
      </c>
      <c r="G334" s="328"/>
      <c r="H334" s="328" t="s">
        <v>1147</v>
      </c>
      <c r="I334" s="324" t="s">
        <v>21</v>
      </c>
    </row>
    <row r="335" spans="1:9" ht="11.1" customHeight="1" outlineLevel="1">
      <c r="A335" s="325" t="s">
        <v>1067</v>
      </c>
      <c r="B335" s="325" t="s">
        <v>1536</v>
      </c>
      <c r="C335" s="325" t="s">
        <v>1537</v>
      </c>
      <c r="D335" s="325" t="s">
        <v>20</v>
      </c>
      <c r="E335" s="326">
        <v>1</v>
      </c>
      <c r="F335" s="331">
        <v>232</v>
      </c>
      <c r="G335" s="328"/>
      <c r="H335" s="328" t="s">
        <v>1147</v>
      </c>
      <c r="I335" s="324" t="s">
        <v>21</v>
      </c>
    </row>
    <row r="336" spans="1:9" ht="11.1" customHeight="1" outlineLevel="1">
      <c r="A336" s="325" t="s">
        <v>1067</v>
      </c>
      <c r="B336" s="325" t="s">
        <v>1538</v>
      </c>
      <c r="C336" s="325" t="s">
        <v>1539</v>
      </c>
      <c r="D336" s="325" t="s">
        <v>20</v>
      </c>
      <c r="E336" s="326">
        <v>3</v>
      </c>
      <c r="F336" s="331">
        <v>24</v>
      </c>
      <c r="G336" s="328"/>
      <c r="H336" s="328" t="s">
        <v>1540</v>
      </c>
      <c r="I336" s="324" t="s">
        <v>289</v>
      </c>
    </row>
    <row r="337" spans="1:9" ht="11.1" customHeight="1" outlineLevel="1">
      <c r="A337" s="325" t="s">
        <v>1067</v>
      </c>
      <c r="B337" s="325" t="s">
        <v>1541</v>
      </c>
      <c r="C337" s="325" t="s">
        <v>491</v>
      </c>
      <c r="D337" s="325" t="s">
        <v>20</v>
      </c>
      <c r="E337" s="326">
        <v>60</v>
      </c>
      <c r="F337" s="331">
        <v>314.67</v>
      </c>
      <c r="G337" s="328"/>
      <c r="H337" s="160" t="s">
        <v>1540</v>
      </c>
      <c r="I337" s="324" t="s">
        <v>289</v>
      </c>
    </row>
    <row r="338" spans="1:9" ht="11.1" customHeight="1" outlineLevel="1">
      <c r="A338" s="325" t="s">
        <v>1302</v>
      </c>
      <c r="B338" s="325" t="s">
        <v>1541</v>
      </c>
      <c r="C338" s="325" t="s">
        <v>491</v>
      </c>
      <c r="D338" s="325" t="s">
        <v>20</v>
      </c>
      <c r="E338" s="326">
        <v>34</v>
      </c>
      <c r="F338" s="331">
        <v>182.82</v>
      </c>
      <c r="G338" s="328"/>
      <c r="H338" s="160" t="s">
        <v>1540</v>
      </c>
      <c r="I338" s="324" t="s">
        <v>289</v>
      </c>
    </row>
    <row r="339" spans="1:9" ht="11.1" customHeight="1" outlineLevel="1">
      <c r="A339" s="325" t="s">
        <v>1067</v>
      </c>
      <c r="B339" s="325" t="s">
        <v>1542</v>
      </c>
      <c r="C339" s="325" t="s">
        <v>492</v>
      </c>
      <c r="D339" s="325" t="s">
        <v>20</v>
      </c>
      <c r="E339" s="326">
        <v>90</v>
      </c>
      <c r="F339" s="331">
        <v>495.9</v>
      </c>
      <c r="G339" s="328"/>
      <c r="H339" s="160" t="s">
        <v>1540</v>
      </c>
      <c r="I339" s="324" t="s">
        <v>289</v>
      </c>
    </row>
    <row r="340" spans="1:9" ht="11.1" customHeight="1" outlineLevel="1">
      <c r="A340" s="325" t="s">
        <v>1302</v>
      </c>
      <c r="B340" s="325" t="s">
        <v>1542</v>
      </c>
      <c r="C340" s="325" t="s">
        <v>492</v>
      </c>
      <c r="D340" s="325" t="s">
        <v>20</v>
      </c>
      <c r="E340" s="326">
        <v>56</v>
      </c>
      <c r="F340" s="331">
        <v>410.44</v>
      </c>
      <c r="G340" s="328"/>
      <c r="H340" s="160" t="s">
        <v>1540</v>
      </c>
      <c r="I340" s="324" t="s">
        <v>289</v>
      </c>
    </row>
    <row r="341" spans="1:9" ht="11.1" customHeight="1" outlineLevel="1">
      <c r="A341" s="325" t="s">
        <v>1067</v>
      </c>
      <c r="B341" s="325" t="s">
        <v>1543</v>
      </c>
      <c r="C341" s="325" t="s">
        <v>493</v>
      </c>
      <c r="D341" s="325" t="s">
        <v>20</v>
      </c>
      <c r="E341" s="326">
        <v>42</v>
      </c>
      <c r="F341" s="331">
        <v>326.05</v>
      </c>
      <c r="G341" s="328"/>
      <c r="H341" s="160" t="s">
        <v>1540</v>
      </c>
      <c r="I341" s="324" t="s">
        <v>289</v>
      </c>
    </row>
    <row r="342" spans="1:9" ht="11.1" customHeight="1" outlineLevel="1">
      <c r="A342" s="325" t="s">
        <v>1302</v>
      </c>
      <c r="B342" s="325" t="s">
        <v>1543</v>
      </c>
      <c r="C342" s="325" t="s">
        <v>493</v>
      </c>
      <c r="D342" s="325" t="s">
        <v>20</v>
      </c>
      <c r="E342" s="326">
        <v>1</v>
      </c>
      <c r="F342" s="331">
        <v>10.56</v>
      </c>
      <c r="G342" s="328"/>
      <c r="H342" s="160" t="s">
        <v>1540</v>
      </c>
      <c r="I342" s="324" t="s">
        <v>289</v>
      </c>
    </row>
    <row r="343" spans="1:9" ht="11.1" customHeight="1" outlineLevel="1">
      <c r="A343" s="325" t="s">
        <v>1067</v>
      </c>
      <c r="B343" s="325" t="s">
        <v>1544</v>
      </c>
      <c r="C343" s="325" t="s">
        <v>1545</v>
      </c>
      <c r="D343" s="325" t="s">
        <v>20</v>
      </c>
      <c r="E343" s="326">
        <v>39</v>
      </c>
      <c r="F343" s="327">
        <v>9658.48</v>
      </c>
      <c r="G343" s="328"/>
      <c r="H343" s="174" t="s">
        <v>1546</v>
      </c>
      <c r="I343" s="324" t="s">
        <v>289</v>
      </c>
    </row>
    <row r="344" spans="1:9" ht="11.1" customHeight="1" outlineLevel="1">
      <c r="A344" s="325" t="s">
        <v>1302</v>
      </c>
      <c r="B344" s="325" t="s">
        <v>1547</v>
      </c>
      <c r="C344" s="325" t="s">
        <v>1548</v>
      </c>
      <c r="D344" s="325" t="s">
        <v>20</v>
      </c>
      <c r="E344" s="326">
        <v>9</v>
      </c>
      <c r="F344" s="327">
        <v>1722.08</v>
      </c>
      <c r="G344" s="328"/>
      <c r="H344" s="328" t="s">
        <v>565</v>
      </c>
      <c r="I344" s="324" t="s">
        <v>1105</v>
      </c>
    </row>
    <row r="345" spans="1:9" ht="11.1" customHeight="1" outlineLevel="1">
      <c r="A345" s="325" t="s">
        <v>1067</v>
      </c>
      <c r="B345" s="325" t="s">
        <v>1549</v>
      </c>
      <c r="C345" s="325" t="s">
        <v>1550</v>
      </c>
      <c r="D345" s="325" t="s">
        <v>20</v>
      </c>
      <c r="E345" s="326">
        <v>44</v>
      </c>
      <c r="F345" s="327">
        <v>9124.7800000000007</v>
      </c>
      <c r="G345" s="328"/>
      <c r="H345" s="328" t="s">
        <v>565</v>
      </c>
      <c r="I345" s="324" t="s">
        <v>1105</v>
      </c>
    </row>
    <row r="346" spans="1:9" ht="11.1" customHeight="1" outlineLevel="1">
      <c r="A346" s="325" t="s">
        <v>1067</v>
      </c>
      <c r="B346" s="325" t="s">
        <v>1551</v>
      </c>
      <c r="C346" s="325" t="s">
        <v>1552</v>
      </c>
      <c r="D346" s="325" t="s">
        <v>20</v>
      </c>
      <c r="E346" s="326">
        <v>80</v>
      </c>
      <c r="F346" s="327">
        <v>6866.49</v>
      </c>
      <c r="G346" s="328"/>
      <c r="H346" s="328" t="s">
        <v>565</v>
      </c>
      <c r="I346" s="324" t="s">
        <v>1105</v>
      </c>
    </row>
    <row r="347" spans="1:9" ht="11.1" customHeight="1" outlineLevel="1">
      <c r="A347" s="325" t="s">
        <v>1302</v>
      </c>
      <c r="B347" s="325" t="s">
        <v>1553</v>
      </c>
      <c r="C347" s="325" t="s">
        <v>1554</v>
      </c>
      <c r="D347" s="325" t="s">
        <v>20</v>
      </c>
      <c r="E347" s="326">
        <v>2</v>
      </c>
      <c r="F347" s="331">
        <v>6.31</v>
      </c>
      <c r="G347" s="328"/>
      <c r="H347" s="328" t="s">
        <v>1555</v>
      </c>
      <c r="I347" s="324" t="s">
        <v>1070</v>
      </c>
    </row>
    <row r="348" spans="1:9" ht="11.1" customHeight="1" outlineLevel="1">
      <c r="A348" s="325" t="s">
        <v>1067</v>
      </c>
      <c r="B348" s="325" t="s">
        <v>1556</v>
      </c>
      <c r="C348" s="325" t="s">
        <v>1557</v>
      </c>
      <c r="D348" s="325" t="s">
        <v>1558</v>
      </c>
      <c r="E348" s="326">
        <v>12</v>
      </c>
      <c r="F348" s="327">
        <v>223248</v>
      </c>
      <c r="G348" s="328"/>
      <c r="H348" s="325" t="s">
        <v>1557</v>
      </c>
      <c r="I348" s="324" t="s">
        <v>1105</v>
      </c>
    </row>
    <row r="349" spans="1:9" ht="11.1" customHeight="1" outlineLevel="1">
      <c r="A349" s="325" t="s">
        <v>1067</v>
      </c>
      <c r="B349" s="325" t="s">
        <v>1559</v>
      </c>
      <c r="C349" s="325" t="s">
        <v>1560</v>
      </c>
      <c r="D349" s="325" t="s">
        <v>20</v>
      </c>
      <c r="E349" s="326">
        <v>30</v>
      </c>
      <c r="F349" s="331">
        <v>417</v>
      </c>
      <c r="G349" s="328"/>
      <c r="H349" s="160" t="s">
        <v>1561</v>
      </c>
      <c r="I349" s="324" t="s">
        <v>1105</v>
      </c>
    </row>
    <row r="350" spans="1:9" ht="11.1" customHeight="1" outlineLevel="1">
      <c r="A350" s="325" t="s">
        <v>1302</v>
      </c>
      <c r="B350" s="325" t="s">
        <v>1562</v>
      </c>
      <c r="C350" s="325" t="s">
        <v>1563</v>
      </c>
      <c r="D350" s="325" t="s">
        <v>20</v>
      </c>
      <c r="E350" s="326">
        <v>6</v>
      </c>
      <c r="F350" s="331">
        <v>84.91</v>
      </c>
      <c r="G350" s="328"/>
      <c r="H350" s="160" t="s">
        <v>1561</v>
      </c>
      <c r="I350" s="324" t="s">
        <v>1105</v>
      </c>
    </row>
    <row r="351" spans="1:9" ht="11.1" customHeight="1" outlineLevel="1">
      <c r="A351" s="325" t="s">
        <v>1302</v>
      </c>
      <c r="B351" s="325" t="s">
        <v>1564</v>
      </c>
      <c r="C351" s="325" t="s">
        <v>1565</v>
      </c>
      <c r="D351" s="325" t="s">
        <v>20</v>
      </c>
      <c r="E351" s="326">
        <v>5</v>
      </c>
      <c r="F351" s="331">
        <v>542</v>
      </c>
      <c r="G351" s="328"/>
      <c r="H351" s="328" t="s">
        <v>1566</v>
      </c>
      <c r="I351" s="324" t="s">
        <v>1105</v>
      </c>
    </row>
    <row r="352" spans="1:9" ht="11.1" customHeight="1" outlineLevel="1">
      <c r="A352" s="325" t="s">
        <v>1067</v>
      </c>
      <c r="B352" s="325" t="s">
        <v>1567</v>
      </c>
      <c r="C352" s="325" t="s">
        <v>1568</v>
      </c>
      <c r="D352" s="325" t="s">
        <v>20</v>
      </c>
      <c r="E352" s="326">
        <v>1</v>
      </c>
      <c r="F352" s="331">
        <v>516</v>
      </c>
      <c r="G352" s="328"/>
      <c r="H352" s="325" t="s">
        <v>1568</v>
      </c>
      <c r="I352" s="324" t="s">
        <v>1105</v>
      </c>
    </row>
    <row r="353" spans="1:9" ht="11.1" customHeight="1" outlineLevel="1">
      <c r="A353" s="325" t="s">
        <v>1067</v>
      </c>
      <c r="B353" s="325" t="s">
        <v>1569</v>
      </c>
      <c r="C353" s="325" t="s">
        <v>832</v>
      </c>
      <c r="D353" s="325" t="s">
        <v>20</v>
      </c>
      <c r="E353" s="326">
        <v>19</v>
      </c>
      <c r="F353" s="327">
        <v>310900.83</v>
      </c>
      <c r="G353" s="328"/>
      <c r="H353" s="174" t="s">
        <v>1570</v>
      </c>
      <c r="I353" s="324" t="s">
        <v>425</v>
      </c>
    </row>
    <row r="354" spans="1:9" ht="11.1" customHeight="1" outlineLevel="1">
      <c r="A354" s="325" t="s">
        <v>1302</v>
      </c>
      <c r="B354" s="325" t="s">
        <v>1571</v>
      </c>
      <c r="C354" s="325" t="s">
        <v>1572</v>
      </c>
      <c r="D354" s="325" t="s">
        <v>20</v>
      </c>
      <c r="E354" s="326">
        <v>11</v>
      </c>
      <c r="F354" s="331">
        <v>169.84</v>
      </c>
      <c r="G354" s="328"/>
      <c r="H354" s="160" t="s">
        <v>1573</v>
      </c>
      <c r="I354" s="324" t="s">
        <v>289</v>
      </c>
    </row>
    <row r="355" spans="1:9" ht="11.1" customHeight="1" outlineLevel="1">
      <c r="A355" s="325" t="s">
        <v>1067</v>
      </c>
      <c r="B355" s="325" t="s">
        <v>1571</v>
      </c>
      <c r="C355" s="325" t="s">
        <v>1572</v>
      </c>
      <c r="D355" s="325" t="s">
        <v>20</v>
      </c>
      <c r="E355" s="326">
        <v>35</v>
      </c>
      <c r="F355" s="331">
        <v>483.47</v>
      </c>
      <c r="G355" s="328"/>
      <c r="H355" s="160" t="s">
        <v>1573</v>
      </c>
      <c r="I355" s="324" t="s">
        <v>289</v>
      </c>
    </row>
    <row r="356" spans="1:9" ht="11.1" customHeight="1" outlineLevel="1">
      <c r="A356" s="325" t="s">
        <v>1067</v>
      </c>
      <c r="B356" s="325" t="s">
        <v>1574</v>
      </c>
      <c r="C356" s="325" t="s">
        <v>1575</v>
      </c>
      <c r="D356" s="325" t="s">
        <v>20</v>
      </c>
      <c r="E356" s="326">
        <v>2</v>
      </c>
      <c r="F356" s="331">
        <v>329.5</v>
      </c>
      <c r="G356" s="328"/>
      <c r="H356" s="160" t="s">
        <v>632</v>
      </c>
      <c r="I356" s="324" t="s">
        <v>289</v>
      </c>
    </row>
    <row r="357" spans="1:9" ht="11.1" customHeight="1" outlineLevel="1">
      <c r="A357" s="325" t="s">
        <v>1302</v>
      </c>
      <c r="B357" s="325" t="s">
        <v>1574</v>
      </c>
      <c r="C357" s="325" t="s">
        <v>1575</v>
      </c>
      <c r="D357" s="325" t="s">
        <v>20</v>
      </c>
      <c r="E357" s="326">
        <v>2</v>
      </c>
      <c r="F357" s="331">
        <v>335.88</v>
      </c>
      <c r="G357" s="328"/>
      <c r="H357" s="160" t="s">
        <v>632</v>
      </c>
      <c r="I357" s="324" t="s">
        <v>289</v>
      </c>
    </row>
    <row r="358" spans="1:9" ht="11.1" customHeight="1" outlineLevel="1">
      <c r="A358" s="325" t="s">
        <v>1067</v>
      </c>
      <c r="B358" s="325" t="s">
        <v>1576</v>
      </c>
      <c r="C358" s="325" t="s">
        <v>1577</v>
      </c>
      <c r="D358" s="325" t="s">
        <v>20</v>
      </c>
      <c r="E358" s="326">
        <v>6</v>
      </c>
      <c r="F358" s="331">
        <v>89.17</v>
      </c>
      <c r="G358" s="328"/>
      <c r="H358" s="160" t="s">
        <v>632</v>
      </c>
      <c r="I358" s="324" t="s">
        <v>289</v>
      </c>
    </row>
    <row r="359" spans="1:9" ht="11.1" customHeight="1" outlineLevel="1">
      <c r="A359" s="325" t="s">
        <v>1302</v>
      </c>
      <c r="B359" s="325" t="s">
        <v>1576</v>
      </c>
      <c r="C359" s="325" t="s">
        <v>1577</v>
      </c>
      <c r="D359" s="325" t="s">
        <v>20</v>
      </c>
      <c r="E359" s="326">
        <v>4</v>
      </c>
      <c r="F359" s="331">
        <v>60.88</v>
      </c>
      <c r="G359" s="328"/>
      <c r="H359" s="160" t="s">
        <v>632</v>
      </c>
      <c r="I359" s="324" t="s">
        <v>289</v>
      </c>
    </row>
    <row r="360" spans="1:9" ht="11.1" customHeight="1" outlineLevel="1">
      <c r="A360" s="325" t="s">
        <v>1067</v>
      </c>
      <c r="B360" s="325" t="s">
        <v>1578</v>
      </c>
      <c r="C360" s="325" t="s">
        <v>1579</v>
      </c>
      <c r="D360" s="325" t="s">
        <v>20</v>
      </c>
      <c r="E360" s="326">
        <v>1</v>
      </c>
      <c r="F360" s="331">
        <v>27.61</v>
      </c>
      <c r="G360" s="328"/>
      <c r="H360" s="160" t="s">
        <v>632</v>
      </c>
      <c r="I360" s="324" t="s">
        <v>289</v>
      </c>
    </row>
    <row r="361" spans="1:9" ht="11.1" customHeight="1" outlineLevel="1">
      <c r="A361" s="325" t="s">
        <v>1067</v>
      </c>
      <c r="B361" s="325" t="s">
        <v>1580</v>
      </c>
      <c r="C361" s="325" t="s">
        <v>1581</v>
      </c>
      <c r="D361" s="325" t="s">
        <v>20</v>
      </c>
      <c r="E361" s="326">
        <v>1</v>
      </c>
      <c r="F361" s="331">
        <v>22</v>
      </c>
      <c r="G361" s="328"/>
      <c r="H361" s="160" t="s">
        <v>632</v>
      </c>
      <c r="I361" s="324" t="s">
        <v>289</v>
      </c>
    </row>
    <row r="362" spans="1:9" ht="11.1" customHeight="1" outlineLevel="1">
      <c r="A362" s="325" t="s">
        <v>1067</v>
      </c>
      <c r="B362" s="325" t="s">
        <v>1582</v>
      </c>
      <c r="C362" s="325" t="s">
        <v>1583</v>
      </c>
      <c r="D362" s="325" t="s">
        <v>20</v>
      </c>
      <c r="E362" s="326">
        <v>1</v>
      </c>
      <c r="F362" s="331">
        <v>32</v>
      </c>
      <c r="G362" s="328"/>
      <c r="H362" s="160" t="s">
        <v>632</v>
      </c>
      <c r="I362" s="324" t="s">
        <v>289</v>
      </c>
    </row>
    <row r="363" spans="1:9" ht="11.1" customHeight="1" outlineLevel="1">
      <c r="A363" s="325" t="s">
        <v>1067</v>
      </c>
      <c r="B363" s="325" t="s">
        <v>1584</v>
      </c>
      <c r="C363" s="325" t="s">
        <v>1585</v>
      </c>
      <c r="D363" s="325" t="s">
        <v>20</v>
      </c>
      <c r="E363" s="326">
        <v>12</v>
      </c>
      <c r="F363" s="327">
        <v>6895.92</v>
      </c>
      <c r="G363" s="328"/>
      <c r="H363" s="328" t="s">
        <v>1586</v>
      </c>
      <c r="I363" s="324" t="s">
        <v>289</v>
      </c>
    </row>
    <row r="364" spans="1:9" ht="11.1" customHeight="1" outlineLevel="1">
      <c r="A364" s="325" t="s">
        <v>1067</v>
      </c>
      <c r="B364" s="325" t="s">
        <v>1587</v>
      </c>
      <c r="C364" s="325" t="s">
        <v>1588</v>
      </c>
      <c r="D364" s="325" t="s">
        <v>20</v>
      </c>
      <c r="E364" s="326">
        <v>12</v>
      </c>
      <c r="F364" s="327">
        <v>1714.96</v>
      </c>
      <c r="G364" s="328"/>
      <c r="H364" s="160" t="s">
        <v>1589</v>
      </c>
      <c r="I364" s="324" t="s">
        <v>1070</v>
      </c>
    </row>
    <row r="365" spans="1:9" ht="11.1" customHeight="1" outlineLevel="1">
      <c r="A365" s="325" t="s">
        <v>1067</v>
      </c>
      <c r="B365" s="325" t="s">
        <v>1590</v>
      </c>
      <c r="C365" s="325" t="s">
        <v>1591</v>
      </c>
      <c r="D365" s="325" t="s">
        <v>20</v>
      </c>
      <c r="E365" s="326">
        <v>3</v>
      </c>
      <c r="F365" s="327">
        <v>3606</v>
      </c>
      <c r="G365" s="328"/>
      <c r="H365" s="174" t="s">
        <v>1592</v>
      </c>
      <c r="I365" s="324" t="s">
        <v>1070</v>
      </c>
    </row>
    <row r="366" spans="1:9" ht="11.1" customHeight="1" outlineLevel="1">
      <c r="A366" s="325" t="s">
        <v>1067</v>
      </c>
      <c r="B366" s="325" t="s">
        <v>1593</v>
      </c>
      <c r="C366" s="325" t="s">
        <v>1594</v>
      </c>
      <c r="D366" s="325" t="s">
        <v>20</v>
      </c>
      <c r="E366" s="326">
        <v>1</v>
      </c>
      <c r="F366" s="327">
        <v>1988.1</v>
      </c>
      <c r="G366" s="328"/>
      <c r="H366" s="160" t="s">
        <v>1595</v>
      </c>
      <c r="I366" s="324" t="s">
        <v>1070</v>
      </c>
    </row>
    <row r="367" spans="1:9" ht="11.1" customHeight="1" outlineLevel="1">
      <c r="A367" s="325" t="s">
        <v>1302</v>
      </c>
      <c r="B367" s="325" t="s">
        <v>1596</v>
      </c>
      <c r="C367" s="325" t="s">
        <v>1597</v>
      </c>
      <c r="D367" s="325" t="s">
        <v>20</v>
      </c>
      <c r="E367" s="326">
        <v>1</v>
      </c>
      <c r="F367" s="331">
        <v>40.78</v>
      </c>
      <c r="G367" s="328"/>
      <c r="H367" s="328" t="s">
        <v>536</v>
      </c>
      <c r="I367" s="324" t="s">
        <v>1070</v>
      </c>
    </row>
    <row r="368" spans="1:9" ht="11.1" customHeight="1" outlineLevel="1">
      <c r="A368" s="325" t="s">
        <v>1067</v>
      </c>
      <c r="B368" s="325" t="s">
        <v>1598</v>
      </c>
      <c r="C368" s="325" t="s">
        <v>1599</v>
      </c>
      <c r="D368" s="325" t="s">
        <v>20</v>
      </c>
      <c r="E368" s="326">
        <v>11</v>
      </c>
      <c r="F368" s="327">
        <v>16958.330000000002</v>
      </c>
      <c r="G368" s="328"/>
      <c r="H368" s="325" t="s">
        <v>1599</v>
      </c>
      <c r="I368" s="324" t="s">
        <v>425</v>
      </c>
    </row>
    <row r="369" spans="1:9" ht="11.1" customHeight="1" outlineLevel="1">
      <c r="A369" s="325" t="s">
        <v>1302</v>
      </c>
      <c r="B369" s="325" t="s">
        <v>1600</v>
      </c>
      <c r="C369" s="325" t="s">
        <v>1601</v>
      </c>
      <c r="D369" s="325" t="s">
        <v>517</v>
      </c>
      <c r="E369" s="326">
        <v>3.0000000000000001E-3</v>
      </c>
      <c r="F369" s="331">
        <v>89.67</v>
      </c>
      <c r="G369" s="328"/>
      <c r="H369" s="328" t="s">
        <v>1602</v>
      </c>
      <c r="I369" s="324" t="s">
        <v>289</v>
      </c>
    </row>
    <row r="370" spans="1:9" ht="11.1" customHeight="1" outlineLevel="1">
      <c r="A370" s="325" t="s">
        <v>1302</v>
      </c>
      <c r="B370" s="325" t="s">
        <v>1603</v>
      </c>
      <c r="C370" s="325" t="s">
        <v>1604</v>
      </c>
      <c r="D370" s="325" t="s">
        <v>20</v>
      </c>
      <c r="E370" s="326">
        <v>22</v>
      </c>
      <c r="F370" s="331">
        <v>204.59</v>
      </c>
      <c r="G370" s="328"/>
      <c r="H370" s="328" t="s">
        <v>1605</v>
      </c>
      <c r="I370" s="324" t="s">
        <v>1307</v>
      </c>
    </row>
    <row r="371" spans="1:9" ht="11.1" customHeight="1" outlineLevel="1">
      <c r="A371" s="325" t="s">
        <v>1067</v>
      </c>
      <c r="B371" s="325" t="s">
        <v>1603</v>
      </c>
      <c r="C371" s="325" t="s">
        <v>1604</v>
      </c>
      <c r="D371" s="325" t="s">
        <v>20</v>
      </c>
      <c r="E371" s="326">
        <v>247</v>
      </c>
      <c r="F371" s="327">
        <v>2852.78</v>
      </c>
      <c r="G371" s="328"/>
      <c r="H371" s="328" t="s">
        <v>1605</v>
      </c>
      <c r="I371" s="324" t="s">
        <v>1307</v>
      </c>
    </row>
    <row r="372" spans="1:9" ht="11.1" customHeight="1" outlineLevel="1">
      <c r="A372" s="325" t="s">
        <v>1302</v>
      </c>
      <c r="B372" s="325" t="s">
        <v>1606</v>
      </c>
      <c r="C372" s="325" t="s">
        <v>1607</v>
      </c>
      <c r="D372" s="325" t="s">
        <v>20</v>
      </c>
      <c r="E372" s="326">
        <v>1</v>
      </c>
      <c r="F372" s="331">
        <v>10.76</v>
      </c>
      <c r="G372" s="328"/>
      <c r="H372" s="328" t="s">
        <v>1605</v>
      </c>
      <c r="I372" s="324" t="s">
        <v>1307</v>
      </c>
    </row>
    <row r="373" spans="1:9" ht="11.1" customHeight="1" outlineLevel="1">
      <c r="A373" s="325" t="s">
        <v>1067</v>
      </c>
      <c r="B373" s="325" t="s">
        <v>1606</v>
      </c>
      <c r="C373" s="325" t="s">
        <v>1607</v>
      </c>
      <c r="D373" s="325" t="s">
        <v>20</v>
      </c>
      <c r="E373" s="326">
        <v>76</v>
      </c>
      <c r="F373" s="331">
        <v>872.2</v>
      </c>
      <c r="G373" s="328"/>
      <c r="H373" s="328" t="s">
        <v>1605</v>
      </c>
      <c r="I373" s="324" t="s">
        <v>1307</v>
      </c>
    </row>
    <row r="374" spans="1:9" ht="11.1" customHeight="1" outlineLevel="1">
      <c r="A374" s="325" t="s">
        <v>1302</v>
      </c>
      <c r="B374" s="325" t="s">
        <v>1608</v>
      </c>
      <c r="C374" s="325" t="s">
        <v>1609</v>
      </c>
      <c r="D374" s="325" t="s">
        <v>20</v>
      </c>
      <c r="E374" s="326">
        <v>355</v>
      </c>
      <c r="F374" s="328"/>
      <c r="G374" s="328"/>
      <c r="H374" s="160" t="s">
        <v>1029</v>
      </c>
      <c r="I374" s="324" t="s">
        <v>1087</v>
      </c>
    </row>
    <row r="375" spans="1:9" ht="11.1" customHeight="1" outlineLevel="1">
      <c r="A375" s="325" t="s">
        <v>1302</v>
      </c>
      <c r="B375" s="325" t="s">
        <v>1610</v>
      </c>
      <c r="C375" s="325" t="s">
        <v>1611</v>
      </c>
      <c r="D375" s="325" t="s">
        <v>295</v>
      </c>
      <c r="E375" s="326">
        <v>196</v>
      </c>
      <c r="F375" s="327">
        <v>3994.48</v>
      </c>
      <c r="G375" s="328"/>
      <c r="H375" s="160" t="s">
        <v>1029</v>
      </c>
      <c r="I375" s="324" t="s">
        <v>1087</v>
      </c>
    </row>
    <row r="376" spans="1:9" ht="11.1" customHeight="1" outlineLevel="1">
      <c r="A376" s="325" t="s">
        <v>1067</v>
      </c>
      <c r="B376" s="325" t="s">
        <v>1612</v>
      </c>
      <c r="C376" s="325" t="s">
        <v>1613</v>
      </c>
      <c r="D376" s="325" t="s">
        <v>20</v>
      </c>
      <c r="E376" s="326">
        <v>224</v>
      </c>
      <c r="F376" s="327">
        <v>6209.28</v>
      </c>
      <c r="G376" s="328"/>
      <c r="H376" s="160" t="s">
        <v>1029</v>
      </c>
      <c r="I376" s="324" t="s">
        <v>1087</v>
      </c>
    </row>
    <row r="377" spans="1:9" ht="11.1" customHeight="1" outlineLevel="1">
      <c r="A377" s="325" t="s">
        <v>1302</v>
      </c>
      <c r="B377" s="325" t="s">
        <v>1612</v>
      </c>
      <c r="C377" s="325" t="s">
        <v>1613</v>
      </c>
      <c r="D377" s="325" t="s">
        <v>20</v>
      </c>
      <c r="E377" s="326">
        <v>110</v>
      </c>
      <c r="F377" s="327">
        <v>3049.2</v>
      </c>
      <c r="G377" s="328"/>
      <c r="H377" s="160" t="s">
        <v>1029</v>
      </c>
      <c r="I377" s="324" t="s">
        <v>1087</v>
      </c>
    </row>
    <row r="378" spans="1:9" ht="11.1" customHeight="1" outlineLevel="1">
      <c r="A378" s="325" t="s">
        <v>1302</v>
      </c>
      <c r="B378" s="325" t="s">
        <v>1614</v>
      </c>
      <c r="C378" s="325" t="s">
        <v>1615</v>
      </c>
      <c r="D378" s="325" t="s">
        <v>20</v>
      </c>
      <c r="E378" s="326">
        <v>121</v>
      </c>
      <c r="F378" s="331">
        <v>779.24</v>
      </c>
      <c r="G378" s="328"/>
      <c r="H378" s="160" t="s">
        <v>1029</v>
      </c>
      <c r="I378" s="324" t="s">
        <v>1087</v>
      </c>
    </row>
    <row r="379" spans="1:9" ht="11.1" customHeight="1" outlineLevel="1">
      <c r="A379" s="325" t="s">
        <v>1067</v>
      </c>
      <c r="B379" s="325" t="s">
        <v>1616</v>
      </c>
      <c r="C379" s="325" t="s">
        <v>1617</v>
      </c>
      <c r="D379" s="325" t="s">
        <v>20</v>
      </c>
      <c r="E379" s="326">
        <v>6</v>
      </c>
      <c r="F379" s="331">
        <v>22.79</v>
      </c>
      <c r="G379" s="328"/>
      <c r="H379" s="160" t="s">
        <v>1618</v>
      </c>
      <c r="I379" s="324" t="s">
        <v>1070</v>
      </c>
    </row>
    <row r="380" spans="1:9" ht="11.1" customHeight="1" outlineLevel="1">
      <c r="A380" s="325" t="s">
        <v>1302</v>
      </c>
      <c r="B380" s="325" t="s">
        <v>1619</v>
      </c>
      <c r="C380" s="325" t="s">
        <v>1620</v>
      </c>
      <c r="D380" s="325" t="s">
        <v>295</v>
      </c>
      <c r="E380" s="326">
        <v>28</v>
      </c>
      <c r="F380" s="331">
        <v>543.78</v>
      </c>
      <c r="G380" s="328"/>
      <c r="H380" s="328" t="s">
        <v>1621</v>
      </c>
      <c r="I380" s="324" t="s">
        <v>1307</v>
      </c>
    </row>
    <row r="381" spans="1:9" ht="11.1" customHeight="1" outlineLevel="1">
      <c r="A381" s="325" t="s">
        <v>1067</v>
      </c>
      <c r="B381" s="325" t="s">
        <v>1622</v>
      </c>
      <c r="C381" s="325" t="s">
        <v>1623</v>
      </c>
      <c r="D381" s="325" t="s">
        <v>1558</v>
      </c>
      <c r="E381" s="326">
        <v>11</v>
      </c>
      <c r="F381" s="327">
        <v>244487</v>
      </c>
      <c r="G381" s="328"/>
      <c r="H381" s="174" t="s">
        <v>1624</v>
      </c>
      <c r="I381" s="324" t="s">
        <v>425</v>
      </c>
    </row>
    <row r="382" spans="1:9" ht="11.1" customHeight="1" outlineLevel="1">
      <c r="A382" s="325" t="s">
        <v>1302</v>
      </c>
      <c r="B382" s="325" t="s">
        <v>1622</v>
      </c>
      <c r="C382" s="325" t="s">
        <v>1623</v>
      </c>
      <c r="D382" s="325" t="s">
        <v>1558</v>
      </c>
      <c r="E382" s="326">
        <v>3</v>
      </c>
      <c r="F382" s="327">
        <v>56341.45</v>
      </c>
      <c r="G382" s="328"/>
      <c r="H382" s="174" t="s">
        <v>1624</v>
      </c>
      <c r="I382" s="324" t="s">
        <v>425</v>
      </c>
    </row>
    <row r="383" spans="1:9" ht="11.1" customHeight="1" outlineLevel="1">
      <c r="A383" s="325" t="s">
        <v>1302</v>
      </c>
      <c r="B383" s="325" t="s">
        <v>1625</v>
      </c>
      <c r="C383" s="325" t="s">
        <v>1626</v>
      </c>
      <c r="D383" s="325" t="s">
        <v>20</v>
      </c>
      <c r="E383" s="326">
        <v>104.2</v>
      </c>
      <c r="F383" s="327">
        <v>54399.54</v>
      </c>
      <c r="G383" s="328"/>
      <c r="H383" s="328" t="s">
        <v>1086</v>
      </c>
      <c r="I383" s="324" t="s">
        <v>1307</v>
      </c>
    </row>
    <row r="384" spans="1:9" ht="11.1" customHeight="1" outlineLevel="1">
      <c r="A384" s="325" t="s">
        <v>1067</v>
      </c>
      <c r="B384" s="325" t="s">
        <v>1625</v>
      </c>
      <c r="C384" s="325" t="s">
        <v>1626</v>
      </c>
      <c r="D384" s="325" t="s">
        <v>20</v>
      </c>
      <c r="E384" s="326">
        <v>120</v>
      </c>
      <c r="F384" s="327">
        <v>47107.74</v>
      </c>
      <c r="G384" s="328"/>
      <c r="H384" s="328" t="s">
        <v>1086</v>
      </c>
      <c r="I384" s="324" t="s">
        <v>1307</v>
      </c>
    </row>
    <row r="385" spans="1:9" ht="11.1" customHeight="1" outlineLevel="1">
      <c r="A385" s="325" t="s">
        <v>1067</v>
      </c>
      <c r="B385" s="325" t="s">
        <v>1627</v>
      </c>
      <c r="C385" s="325" t="s">
        <v>1628</v>
      </c>
      <c r="D385" s="325" t="s">
        <v>20</v>
      </c>
      <c r="E385" s="326">
        <v>37</v>
      </c>
      <c r="F385" s="327">
        <v>10445.94</v>
      </c>
      <c r="G385" s="328"/>
      <c r="H385" s="328" t="s">
        <v>1629</v>
      </c>
      <c r="I385" s="324" t="s">
        <v>425</v>
      </c>
    </row>
    <row r="386" spans="1:9" ht="11.1" customHeight="1" outlineLevel="1">
      <c r="A386" s="325" t="s">
        <v>1302</v>
      </c>
      <c r="B386" s="325" t="s">
        <v>1630</v>
      </c>
      <c r="C386" s="325" t="s">
        <v>1631</v>
      </c>
      <c r="D386" s="325" t="s">
        <v>20</v>
      </c>
      <c r="E386" s="326">
        <v>6</v>
      </c>
      <c r="F386" s="331">
        <v>280.63</v>
      </c>
      <c r="G386" s="328"/>
      <c r="H386" s="160" t="s">
        <v>551</v>
      </c>
      <c r="I386" s="324" t="s">
        <v>289</v>
      </c>
    </row>
    <row r="387" spans="1:9" ht="11.1" customHeight="1" outlineLevel="1">
      <c r="A387" s="325" t="s">
        <v>1067</v>
      </c>
      <c r="B387" s="325" t="s">
        <v>1630</v>
      </c>
      <c r="C387" s="325" t="s">
        <v>1631</v>
      </c>
      <c r="D387" s="325" t="s">
        <v>20</v>
      </c>
      <c r="E387" s="326">
        <v>37</v>
      </c>
      <c r="F387" s="327">
        <v>1848.62</v>
      </c>
      <c r="G387" s="328"/>
      <c r="H387" s="160" t="s">
        <v>551</v>
      </c>
      <c r="I387" s="324" t="s">
        <v>289</v>
      </c>
    </row>
    <row r="388" spans="1:9" ht="11.1" customHeight="1" outlineLevel="1">
      <c r="A388" s="325" t="s">
        <v>1067</v>
      </c>
      <c r="B388" s="325" t="s">
        <v>1632</v>
      </c>
      <c r="C388" s="325" t="s">
        <v>1633</v>
      </c>
      <c r="D388" s="325" t="s">
        <v>20</v>
      </c>
      <c r="E388" s="326">
        <v>10</v>
      </c>
      <c r="F388" s="331">
        <v>468.8</v>
      </c>
      <c r="G388" s="328"/>
      <c r="H388" s="160" t="s">
        <v>551</v>
      </c>
      <c r="I388" s="324" t="s">
        <v>289</v>
      </c>
    </row>
    <row r="389" spans="1:9" ht="11.1" customHeight="1" outlineLevel="1">
      <c r="A389" s="325" t="s">
        <v>1302</v>
      </c>
      <c r="B389" s="325" t="s">
        <v>1634</v>
      </c>
      <c r="C389" s="325" t="s">
        <v>1635</v>
      </c>
      <c r="D389" s="325" t="s">
        <v>1115</v>
      </c>
      <c r="E389" s="326">
        <v>2.7E-2</v>
      </c>
      <c r="F389" s="331">
        <v>779.04</v>
      </c>
      <c r="G389" s="328"/>
      <c r="H389" s="328" t="s">
        <v>1162</v>
      </c>
      <c r="I389" s="324" t="s">
        <v>1087</v>
      </c>
    </row>
    <row r="390" spans="1:9" ht="11.1" customHeight="1" outlineLevel="1">
      <c r="A390" s="325" t="s">
        <v>1067</v>
      </c>
      <c r="B390" s="325" t="s">
        <v>1636</v>
      </c>
      <c r="C390" s="325" t="s">
        <v>1637</v>
      </c>
      <c r="D390" s="325" t="s">
        <v>14</v>
      </c>
      <c r="E390" s="326">
        <v>3</v>
      </c>
      <c r="F390" s="331">
        <v>231.24</v>
      </c>
      <c r="G390" s="328"/>
      <c r="H390" s="328" t="s">
        <v>1638</v>
      </c>
      <c r="I390" s="324" t="s">
        <v>1087</v>
      </c>
    </row>
    <row r="391" spans="1:9" ht="11.1" customHeight="1" outlineLevel="1">
      <c r="A391" s="325" t="s">
        <v>1067</v>
      </c>
      <c r="B391" s="325" t="s">
        <v>1639</v>
      </c>
      <c r="C391" s="325" t="s">
        <v>1640</v>
      </c>
      <c r="D391" s="325" t="s">
        <v>1115</v>
      </c>
      <c r="E391" s="326">
        <v>5.5E-2</v>
      </c>
      <c r="F391" s="327">
        <v>1512.63</v>
      </c>
      <c r="G391" s="328"/>
      <c r="H391" s="328" t="s">
        <v>1641</v>
      </c>
      <c r="I391" s="324" t="s">
        <v>1087</v>
      </c>
    </row>
    <row r="392" spans="1:9" ht="11.1" customHeight="1" outlineLevel="1">
      <c r="A392" s="325" t="s">
        <v>1302</v>
      </c>
      <c r="B392" s="325" t="s">
        <v>1639</v>
      </c>
      <c r="C392" s="325" t="s">
        <v>1640</v>
      </c>
      <c r="D392" s="325" t="s">
        <v>1115</v>
      </c>
      <c r="E392" s="326">
        <v>0.38500000000000001</v>
      </c>
      <c r="F392" s="327">
        <v>12809.92</v>
      </c>
      <c r="G392" s="328"/>
      <c r="H392" s="328" t="s">
        <v>1641</v>
      </c>
      <c r="I392" s="324" t="s">
        <v>1087</v>
      </c>
    </row>
    <row r="393" spans="1:9" ht="11.1" customHeight="1" outlineLevel="1">
      <c r="A393" s="325" t="s">
        <v>1067</v>
      </c>
      <c r="B393" s="325" t="s">
        <v>1642</v>
      </c>
      <c r="C393" s="325" t="s">
        <v>1643</v>
      </c>
      <c r="D393" s="325" t="s">
        <v>20</v>
      </c>
      <c r="E393" s="326">
        <v>6</v>
      </c>
      <c r="F393" s="327">
        <v>4468.74</v>
      </c>
      <c r="G393" s="328"/>
      <c r="H393" s="328" t="s">
        <v>1644</v>
      </c>
      <c r="I393" s="324" t="s">
        <v>1087</v>
      </c>
    </row>
    <row r="394" spans="1:9" ht="11.1" customHeight="1" outlineLevel="1">
      <c r="A394" s="325" t="s">
        <v>1067</v>
      </c>
      <c r="B394" s="325" t="s">
        <v>1645</v>
      </c>
      <c r="C394" s="325" t="s">
        <v>1646</v>
      </c>
      <c r="D394" s="325" t="s">
        <v>20</v>
      </c>
      <c r="E394" s="326">
        <v>303</v>
      </c>
      <c r="F394" s="327">
        <v>120580.74</v>
      </c>
      <c r="G394" s="328"/>
      <c r="H394" s="336" t="s">
        <v>1464</v>
      </c>
      <c r="I394" s="324" t="s">
        <v>1073</v>
      </c>
    </row>
    <row r="395" spans="1:9" ht="11.1" customHeight="1" outlineLevel="1">
      <c r="A395" s="325" t="s">
        <v>1302</v>
      </c>
      <c r="B395" s="325" t="s">
        <v>1645</v>
      </c>
      <c r="C395" s="325" t="s">
        <v>1646</v>
      </c>
      <c r="D395" s="325" t="s">
        <v>20</v>
      </c>
      <c r="E395" s="326">
        <v>0.998</v>
      </c>
      <c r="F395" s="331">
        <v>364.17</v>
      </c>
      <c r="G395" s="328"/>
      <c r="H395" s="336" t="s">
        <v>1464</v>
      </c>
      <c r="I395" s="324" t="s">
        <v>1073</v>
      </c>
    </row>
    <row r="396" spans="1:9" ht="11.1" customHeight="1" outlineLevel="1">
      <c r="A396" s="325" t="s">
        <v>1067</v>
      </c>
      <c r="B396" s="325" t="s">
        <v>1647</v>
      </c>
      <c r="C396" s="325" t="s">
        <v>1648</v>
      </c>
      <c r="D396" s="325" t="s">
        <v>20</v>
      </c>
      <c r="E396" s="326">
        <v>13</v>
      </c>
      <c r="F396" s="327">
        <v>108250</v>
      </c>
      <c r="G396" s="328"/>
      <c r="H396" s="174" t="s">
        <v>1649</v>
      </c>
      <c r="I396" s="324" t="s">
        <v>425</v>
      </c>
    </row>
    <row r="397" spans="1:9" ht="11.1" customHeight="1" outlineLevel="1">
      <c r="A397" s="325" t="s">
        <v>1067</v>
      </c>
      <c r="B397" s="325" t="s">
        <v>1650</v>
      </c>
      <c r="C397" s="325" t="s">
        <v>1651</v>
      </c>
      <c r="D397" s="325" t="s">
        <v>20</v>
      </c>
      <c r="E397" s="326">
        <v>9</v>
      </c>
      <c r="F397" s="327">
        <v>45249.99</v>
      </c>
      <c r="G397" s="328"/>
      <c r="H397" s="174" t="s">
        <v>1652</v>
      </c>
      <c r="I397" s="324" t="s">
        <v>425</v>
      </c>
    </row>
    <row r="398" spans="1:9" ht="11.1" customHeight="1" outlineLevel="1">
      <c r="A398" s="325" t="s">
        <v>1302</v>
      </c>
      <c r="B398" s="325" t="s">
        <v>1163</v>
      </c>
      <c r="C398" s="325" t="s">
        <v>1164</v>
      </c>
      <c r="D398" s="325" t="s">
        <v>20</v>
      </c>
      <c r="E398" s="326">
        <v>12</v>
      </c>
      <c r="F398" s="327">
        <v>3568.69</v>
      </c>
      <c r="G398" s="328"/>
      <c r="H398" s="328" t="s">
        <v>1165</v>
      </c>
      <c r="I398" s="324" t="s">
        <v>1105</v>
      </c>
    </row>
    <row r="399" spans="1:9" ht="11.1" customHeight="1" outlineLevel="1">
      <c r="A399" s="325" t="s">
        <v>1067</v>
      </c>
      <c r="B399" s="325" t="s">
        <v>1163</v>
      </c>
      <c r="C399" s="325" t="s">
        <v>1164</v>
      </c>
      <c r="D399" s="325" t="s">
        <v>20</v>
      </c>
      <c r="E399" s="326">
        <v>26</v>
      </c>
      <c r="F399" s="327">
        <v>8250.35</v>
      </c>
      <c r="G399" s="328"/>
      <c r="H399" s="328" t="s">
        <v>1165</v>
      </c>
      <c r="I399" s="324" t="s">
        <v>1105</v>
      </c>
    </row>
    <row r="400" spans="1:9" ht="11.1" customHeight="1" outlineLevel="1">
      <c r="A400" s="325" t="s">
        <v>1302</v>
      </c>
      <c r="B400" s="325" t="s">
        <v>1653</v>
      </c>
      <c r="C400" s="325" t="s">
        <v>1654</v>
      </c>
      <c r="D400" s="325" t="s">
        <v>20</v>
      </c>
      <c r="E400" s="326">
        <v>7</v>
      </c>
      <c r="F400" s="327">
        <v>2081.71</v>
      </c>
      <c r="G400" s="328"/>
      <c r="H400" s="328" t="s">
        <v>1655</v>
      </c>
      <c r="I400" s="324" t="s">
        <v>1105</v>
      </c>
    </row>
    <row r="401" spans="1:9" ht="11.1" customHeight="1" outlineLevel="1">
      <c r="A401" s="325" t="s">
        <v>1067</v>
      </c>
      <c r="B401" s="325" t="s">
        <v>1653</v>
      </c>
      <c r="C401" s="325" t="s">
        <v>1654</v>
      </c>
      <c r="D401" s="325" t="s">
        <v>20</v>
      </c>
      <c r="E401" s="326">
        <v>26</v>
      </c>
      <c r="F401" s="327">
        <v>8250.2999999999993</v>
      </c>
      <c r="G401" s="328"/>
      <c r="H401" s="328" t="s">
        <v>1655</v>
      </c>
      <c r="I401" s="324" t="s">
        <v>1105</v>
      </c>
    </row>
    <row r="402" spans="1:9" ht="11.1" customHeight="1" outlineLevel="1">
      <c r="A402" s="325" t="s">
        <v>1302</v>
      </c>
      <c r="B402" s="325" t="s">
        <v>1656</v>
      </c>
      <c r="C402" s="325" t="s">
        <v>610</v>
      </c>
      <c r="D402" s="325" t="s">
        <v>12</v>
      </c>
      <c r="E402" s="326">
        <v>14.791</v>
      </c>
      <c r="F402" s="327">
        <v>5707.05</v>
      </c>
      <c r="G402" s="328"/>
      <c r="H402" s="325" t="s">
        <v>610</v>
      </c>
      <c r="I402" s="324" t="s">
        <v>1307</v>
      </c>
    </row>
    <row r="403" spans="1:9" ht="11.1" customHeight="1" outlineLevel="1">
      <c r="A403" s="325" t="s">
        <v>1067</v>
      </c>
      <c r="B403" s="325" t="s">
        <v>1656</v>
      </c>
      <c r="C403" s="325" t="s">
        <v>610</v>
      </c>
      <c r="D403" s="325" t="s">
        <v>12</v>
      </c>
      <c r="E403" s="326">
        <v>221.75</v>
      </c>
      <c r="F403" s="327">
        <v>90398.7</v>
      </c>
      <c r="G403" s="328"/>
      <c r="H403" s="325" t="s">
        <v>610</v>
      </c>
      <c r="I403" s="324" t="s">
        <v>1307</v>
      </c>
    </row>
    <row r="404" spans="1:9" ht="11.1" customHeight="1" outlineLevel="1">
      <c r="A404" s="325" t="s">
        <v>1067</v>
      </c>
      <c r="B404" s="325" t="s">
        <v>1657</v>
      </c>
      <c r="C404" s="325" t="s">
        <v>915</v>
      </c>
      <c r="D404" s="325" t="s">
        <v>20</v>
      </c>
      <c r="E404" s="326">
        <v>5</v>
      </c>
      <c r="F404" s="327">
        <v>2865</v>
      </c>
      <c r="G404" s="328"/>
      <c r="H404" s="328" t="s">
        <v>1658</v>
      </c>
      <c r="I404" s="324" t="s">
        <v>1307</v>
      </c>
    </row>
    <row r="405" spans="1:9" ht="11.1" customHeight="1" outlineLevel="1">
      <c r="A405" s="325" t="s">
        <v>1067</v>
      </c>
      <c r="B405" s="325" t="s">
        <v>1659</v>
      </c>
      <c r="C405" s="325" t="s">
        <v>1660</v>
      </c>
      <c r="D405" s="325" t="s">
        <v>20</v>
      </c>
      <c r="E405" s="326">
        <v>4</v>
      </c>
      <c r="F405" s="331">
        <v>316</v>
      </c>
      <c r="G405" s="328"/>
      <c r="H405" s="160" t="s">
        <v>1661</v>
      </c>
      <c r="I405" s="324" t="s">
        <v>1070</v>
      </c>
    </row>
    <row r="406" spans="1:9" ht="11.1" customHeight="1" outlineLevel="1">
      <c r="A406" s="325" t="s">
        <v>1302</v>
      </c>
      <c r="B406" s="325" t="s">
        <v>1662</v>
      </c>
      <c r="C406" s="325" t="s">
        <v>1663</v>
      </c>
      <c r="D406" s="325" t="s">
        <v>20</v>
      </c>
      <c r="E406" s="326">
        <v>0.04</v>
      </c>
      <c r="F406" s="331">
        <v>59.52</v>
      </c>
      <c r="G406" s="328"/>
      <c r="H406" s="328" t="s">
        <v>1664</v>
      </c>
      <c r="I406" s="324" t="s">
        <v>1307</v>
      </c>
    </row>
    <row r="407" spans="1:9" ht="11.1" customHeight="1" outlineLevel="1">
      <c r="A407" s="325" t="s">
        <v>1067</v>
      </c>
      <c r="B407" s="325" t="s">
        <v>1662</v>
      </c>
      <c r="C407" s="325" t="s">
        <v>1663</v>
      </c>
      <c r="D407" s="325" t="s">
        <v>20</v>
      </c>
      <c r="E407" s="326">
        <v>3.92</v>
      </c>
      <c r="F407" s="327">
        <v>5832.96</v>
      </c>
      <c r="G407" s="328"/>
      <c r="H407" s="328" t="s">
        <v>1664</v>
      </c>
      <c r="I407" s="324" t="s">
        <v>1307</v>
      </c>
    </row>
    <row r="408" spans="1:9" ht="11.1" customHeight="1" outlineLevel="1">
      <c r="A408" s="325" t="s">
        <v>1067</v>
      </c>
      <c r="B408" s="325" t="s">
        <v>1665</v>
      </c>
      <c r="C408" s="325" t="s">
        <v>1666</v>
      </c>
      <c r="D408" s="325" t="s">
        <v>20</v>
      </c>
      <c r="E408" s="326">
        <v>4</v>
      </c>
      <c r="F408" s="327">
        <v>1726.3</v>
      </c>
      <c r="G408" s="328"/>
      <c r="H408" s="328" t="s">
        <v>1664</v>
      </c>
      <c r="I408" s="324" t="s">
        <v>1307</v>
      </c>
    </row>
    <row r="409" spans="1:9" ht="11.1" customHeight="1" outlineLevel="1">
      <c r="A409" s="325" t="s">
        <v>1067</v>
      </c>
      <c r="B409" s="325" t="s">
        <v>1667</v>
      </c>
      <c r="C409" s="325" t="s">
        <v>1668</v>
      </c>
      <c r="D409" s="325" t="s">
        <v>20</v>
      </c>
      <c r="E409" s="326">
        <v>14</v>
      </c>
      <c r="F409" s="327">
        <v>56700</v>
      </c>
      <c r="G409" s="328"/>
      <c r="H409" s="174" t="s">
        <v>1669</v>
      </c>
      <c r="I409" s="324" t="s">
        <v>425</v>
      </c>
    </row>
    <row r="410" spans="1:9" ht="11.1" customHeight="1" outlineLevel="1">
      <c r="A410" s="325" t="s">
        <v>1067</v>
      </c>
      <c r="B410" s="325" t="s">
        <v>1670</v>
      </c>
      <c r="C410" s="325" t="s">
        <v>1671</v>
      </c>
      <c r="D410" s="325" t="s">
        <v>20</v>
      </c>
      <c r="E410" s="326">
        <v>34</v>
      </c>
      <c r="F410" s="327">
        <v>91460</v>
      </c>
      <c r="G410" s="328"/>
      <c r="H410" s="174" t="s">
        <v>1669</v>
      </c>
      <c r="I410" s="324" t="s">
        <v>425</v>
      </c>
    </row>
    <row r="411" spans="1:9" ht="11.1" customHeight="1" outlineLevel="1">
      <c r="A411" s="325" t="s">
        <v>1302</v>
      </c>
      <c r="B411" s="325" t="s">
        <v>1672</v>
      </c>
      <c r="C411" s="325" t="s">
        <v>1673</v>
      </c>
      <c r="D411" s="325" t="s">
        <v>20</v>
      </c>
      <c r="E411" s="326">
        <v>28</v>
      </c>
      <c r="F411" s="327">
        <v>45937.5</v>
      </c>
      <c r="G411" s="328"/>
      <c r="H411" s="160" t="s">
        <v>567</v>
      </c>
      <c r="I411" s="324" t="s">
        <v>1105</v>
      </c>
    </row>
    <row r="412" spans="1:9" ht="11.1" customHeight="1" outlineLevel="1">
      <c r="A412" s="325" t="s">
        <v>1067</v>
      </c>
      <c r="B412" s="325" t="s">
        <v>1674</v>
      </c>
      <c r="C412" s="325" t="s">
        <v>1675</v>
      </c>
      <c r="D412" s="325" t="s">
        <v>12</v>
      </c>
      <c r="E412" s="326">
        <v>659.85</v>
      </c>
      <c r="F412" s="327">
        <v>31284.95</v>
      </c>
      <c r="G412" s="328"/>
      <c r="H412" s="160" t="s">
        <v>567</v>
      </c>
      <c r="I412" s="324" t="s">
        <v>1105</v>
      </c>
    </row>
    <row r="413" spans="1:9" ht="11.1" customHeight="1" outlineLevel="1">
      <c r="A413" s="325" t="s">
        <v>1302</v>
      </c>
      <c r="B413" s="325" t="s">
        <v>1674</v>
      </c>
      <c r="C413" s="325" t="s">
        <v>1675</v>
      </c>
      <c r="D413" s="325" t="s">
        <v>12</v>
      </c>
      <c r="E413" s="326">
        <v>44.15</v>
      </c>
      <c r="F413" s="327">
        <v>1176.78</v>
      </c>
      <c r="G413" s="328"/>
      <c r="H413" s="160" t="s">
        <v>567</v>
      </c>
      <c r="I413" s="324" t="s">
        <v>1105</v>
      </c>
    </row>
    <row r="414" spans="1:9" ht="11.1" customHeight="1" outlineLevel="1">
      <c r="A414" s="325" t="s">
        <v>1067</v>
      </c>
      <c r="B414" s="325" t="s">
        <v>1676</v>
      </c>
      <c r="C414" s="325" t="s">
        <v>1677</v>
      </c>
      <c r="D414" s="325" t="s">
        <v>20</v>
      </c>
      <c r="E414" s="326">
        <v>4</v>
      </c>
      <c r="F414" s="331">
        <v>619.54999999999995</v>
      </c>
      <c r="G414" s="328"/>
      <c r="H414" s="336" t="s">
        <v>1464</v>
      </c>
      <c r="I414" s="324" t="s">
        <v>1073</v>
      </c>
    </row>
    <row r="415" spans="1:9" ht="11.1" customHeight="1" outlineLevel="1">
      <c r="A415" s="325" t="s">
        <v>1067</v>
      </c>
      <c r="B415" s="325" t="s">
        <v>1678</v>
      </c>
      <c r="C415" s="325" t="s">
        <v>1679</v>
      </c>
      <c r="D415" s="325" t="s">
        <v>20</v>
      </c>
      <c r="E415" s="326">
        <v>18</v>
      </c>
      <c r="F415" s="327">
        <v>5352.91</v>
      </c>
      <c r="G415" s="328"/>
      <c r="H415" s="336" t="s">
        <v>1464</v>
      </c>
      <c r="I415" s="324" t="s">
        <v>1073</v>
      </c>
    </row>
    <row r="416" spans="1:9" ht="11.1" customHeight="1" outlineLevel="1">
      <c r="A416" s="325" t="s">
        <v>1302</v>
      </c>
      <c r="B416" s="325" t="s">
        <v>1680</v>
      </c>
      <c r="C416" s="325" t="s">
        <v>1681</v>
      </c>
      <c r="D416" s="325" t="s">
        <v>20</v>
      </c>
      <c r="E416" s="326">
        <v>2</v>
      </c>
      <c r="F416" s="331">
        <v>112.41</v>
      </c>
      <c r="G416" s="328"/>
      <c r="H416" s="160" t="s">
        <v>560</v>
      </c>
      <c r="I416" s="324" t="s">
        <v>1070</v>
      </c>
    </row>
    <row r="417" spans="1:9" ht="11.1" customHeight="1" outlineLevel="1">
      <c r="A417" s="325" t="s">
        <v>1067</v>
      </c>
      <c r="B417" s="325" t="s">
        <v>1680</v>
      </c>
      <c r="C417" s="325" t="s">
        <v>1681</v>
      </c>
      <c r="D417" s="325" t="s">
        <v>20</v>
      </c>
      <c r="E417" s="326">
        <v>4</v>
      </c>
      <c r="F417" s="331">
        <v>240.8</v>
      </c>
      <c r="G417" s="328"/>
      <c r="H417" s="160" t="s">
        <v>560</v>
      </c>
      <c r="I417" s="324" t="s">
        <v>1070</v>
      </c>
    </row>
    <row r="418" spans="1:9" ht="11.1" customHeight="1" outlineLevel="1">
      <c r="A418" s="325" t="s">
        <v>1067</v>
      </c>
      <c r="B418" s="325" t="s">
        <v>1682</v>
      </c>
      <c r="C418" s="325" t="s">
        <v>1683</v>
      </c>
      <c r="D418" s="325" t="s">
        <v>20</v>
      </c>
      <c r="E418" s="326">
        <v>11</v>
      </c>
      <c r="F418" s="327">
        <v>1100</v>
      </c>
      <c r="G418" s="328"/>
      <c r="H418" s="160" t="s">
        <v>560</v>
      </c>
      <c r="I418" s="324" t="s">
        <v>1070</v>
      </c>
    </row>
    <row r="419" spans="1:9" ht="11.1" customHeight="1" outlineLevel="1">
      <c r="A419" s="325" t="s">
        <v>1302</v>
      </c>
      <c r="B419" s="325" t="s">
        <v>1682</v>
      </c>
      <c r="C419" s="325" t="s">
        <v>1683</v>
      </c>
      <c r="D419" s="325" t="s">
        <v>20</v>
      </c>
      <c r="E419" s="326">
        <v>11</v>
      </c>
      <c r="F419" s="331">
        <v>324.23</v>
      </c>
      <c r="G419" s="328"/>
      <c r="H419" s="160" t="s">
        <v>560</v>
      </c>
      <c r="I419" s="324" t="s">
        <v>1070</v>
      </c>
    </row>
    <row r="420" spans="1:9" ht="11.1" customHeight="1" outlineLevel="1">
      <c r="A420" s="325" t="s">
        <v>1302</v>
      </c>
      <c r="B420" s="325" t="s">
        <v>1684</v>
      </c>
      <c r="C420" s="325" t="s">
        <v>1685</v>
      </c>
      <c r="D420" s="325" t="s">
        <v>20</v>
      </c>
      <c r="E420" s="326">
        <v>1</v>
      </c>
      <c r="F420" s="331">
        <v>17.28</v>
      </c>
      <c r="G420" s="328"/>
      <c r="H420" s="160" t="s">
        <v>560</v>
      </c>
      <c r="I420" s="324" t="s">
        <v>1070</v>
      </c>
    </row>
    <row r="421" spans="1:9" ht="11.1" customHeight="1" outlineLevel="1">
      <c r="A421" s="325" t="s">
        <v>1067</v>
      </c>
      <c r="B421" s="325" t="s">
        <v>1684</v>
      </c>
      <c r="C421" s="325" t="s">
        <v>1685</v>
      </c>
      <c r="D421" s="325" t="s">
        <v>20</v>
      </c>
      <c r="E421" s="326">
        <v>5</v>
      </c>
      <c r="F421" s="331">
        <v>24.5</v>
      </c>
      <c r="G421" s="328"/>
      <c r="H421" s="160" t="s">
        <v>560</v>
      </c>
      <c r="I421" s="324" t="s">
        <v>1070</v>
      </c>
    </row>
    <row r="422" spans="1:9" ht="11.1" customHeight="1" outlineLevel="1">
      <c r="A422" s="325" t="s">
        <v>1067</v>
      </c>
      <c r="B422" s="325" t="s">
        <v>1686</v>
      </c>
      <c r="C422" s="325" t="s">
        <v>1687</v>
      </c>
      <c r="D422" s="325" t="s">
        <v>20</v>
      </c>
      <c r="E422" s="326">
        <v>1</v>
      </c>
      <c r="F422" s="331">
        <v>113.25</v>
      </c>
      <c r="G422" s="328"/>
      <c r="H422" s="328" t="s">
        <v>1147</v>
      </c>
      <c r="I422" s="324" t="s">
        <v>21</v>
      </c>
    </row>
    <row r="423" spans="1:9" ht="11.1" customHeight="1" outlineLevel="1">
      <c r="A423" s="325" t="s">
        <v>1067</v>
      </c>
      <c r="B423" s="325" t="s">
        <v>1688</v>
      </c>
      <c r="C423" s="325" t="s">
        <v>1689</v>
      </c>
      <c r="D423" s="325" t="s">
        <v>20</v>
      </c>
      <c r="E423" s="326">
        <v>16</v>
      </c>
      <c r="F423" s="327">
        <v>4608</v>
      </c>
      <c r="G423" s="328"/>
      <c r="H423" s="336" t="s">
        <v>1464</v>
      </c>
      <c r="I423" s="324" t="s">
        <v>1073</v>
      </c>
    </row>
    <row r="424" spans="1:9" ht="11.1" customHeight="1" outlineLevel="1">
      <c r="A424" s="325" t="s">
        <v>1302</v>
      </c>
      <c r="B424" s="325" t="s">
        <v>1690</v>
      </c>
      <c r="C424" s="325" t="s">
        <v>1691</v>
      </c>
      <c r="D424" s="325" t="s">
        <v>20</v>
      </c>
      <c r="E424" s="326">
        <v>4</v>
      </c>
      <c r="F424" s="331">
        <v>349.2</v>
      </c>
      <c r="G424" s="328"/>
      <c r="H424" s="328" t="s">
        <v>1692</v>
      </c>
      <c r="I424" s="324" t="s">
        <v>1307</v>
      </c>
    </row>
    <row r="425" spans="1:9" ht="11.1" customHeight="1" outlineLevel="1">
      <c r="A425" s="325" t="s">
        <v>1302</v>
      </c>
      <c r="B425" s="325" t="s">
        <v>1693</v>
      </c>
      <c r="C425" s="325" t="s">
        <v>1694</v>
      </c>
      <c r="D425" s="325" t="s">
        <v>20</v>
      </c>
      <c r="E425" s="326">
        <v>1</v>
      </c>
      <c r="F425" s="327">
        <v>3738</v>
      </c>
      <c r="G425" s="328"/>
      <c r="H425" s="328" t="s">
        <v>1695</v>
      </c>
      <c r="I425" s="324" t="s">
        <v>1070</v>
      </c>
    </row>
    <row r="426" spans="1:9" ht="11.1" customHeight="1" outlineLevel="1">
      <c r="A426" s="325" t="s">
        <v>1067</v>
      </c>
      <c r="B426" s="325" t="s">
        <v>1696</v>
      </c>
      <c r="C426" s="325" t="s">
        <v>1697</v>
      </c>
      <c r="D426" s="325" t="s">
        <v>20</v>
      </c>
      <c r="E426" s="326">
        <v>7</v>
      </c>
      <c r="F426" s="331">
        <v>290.60000000000002</v>
      </c>
      <c r="G426" s="328"/>
      <c r="H426" s="328" t="s">
        <v>1698</v>
      </c>
      <c r="I426" s="324" t="s">
        <v>1070</v>
      </c>
    </row>
    <row r="427" spans="1:9" ht="11.1" customHeight="1" outlineLevel="1">
      <c r="A427" s="325" t="s">
        <v>1302</v>
      </c>
      <c r="B427" s="325" t="s">
        <v>1696</v>
      </c>
      <c r="C427" s="325" t="s">
        <v>1697</v>
      </c>
      <c r="D427" s="325" t="s">
        <v>20</v>
      </c>
      <c r="E427" s="326">
        <v>1</v>
      </c>
      <c r="F427" s="331">
        <v>35.020000000000003</v>
      </c>
      <c r="G427" s="328"/>
      <c r="H427" s="328" t="s">
        <v>1698</v>
      </c>
      <c r="I427" s="324" t="s">
        <v>1070</v>
      </c>
    </row>
    <row r="428" spans="1:9" ht="11.1" customHeight="1" outlineLevel="1">
      <c r="A428" s="325" t="s">
        <v>1067</v>
      </c>
      <c r="B428" s="325" t="s">
        <v>1699</v>
      </c>
      <c r="C428" s="325" t="s">
        <v>1700</v>
      </c>
      <c r="D428" s="325" t="s">
        <v>20</v>
      </c>
      <c r="E428" s="326">
        <v>6</v>
      </c>
      <c r="F428" s="331">
        <v>114</v>
      </c>
      <c r="G428" s="328"/>
      <c r="H428" s="160" t="s">
        <v>1701</v>
      </c>
      <c r="I428" s="324" t="s">
        <v>1070</v>
      </c>
    </row>
    <row r="429" spans="1:9" ht="11.1" customHeight="1" outlineLevel="1">
      <c r="A429" s="325" t="s">
        <v>1302</v>
      </c>
      <c r="B429" s="325" t="s">
        <v>1702</v>
      </c>
      <c r="C429" s="325" t="s">
        <v>1703</v>
      </c>
      <c r="D429" s="325" t="s">
        <v>20</v>
      </c>
      <c r="E429" s="326">
        <v>4</v>
      </c>
      <c r="F429" s="327">
        <v>5163.2</v>
      </c>
      <c r="G429" s="328"/>
      <c r="H429" s="174" t="s">
        <v>638</v>
      </c>
      <c r="I429" s="324" t="s">
        <v>425</v>
      </c>
    </row>
    <row r="430" spans="1:9" ht="11.1" customHeight="1" outlineLevel="1">
      <c r="A430" s="325" t="s">
        <v>1067</v>
      </c>
      <c r="B430" s="325" t="s">
        <v>1702</v>
      </c>
      <c r="C430" s="325" t="s">
        <v>1703</v>
      </c>
      <c r="D430" s="325" t="s">
        <v>20</v>
      </c>
      <c r="E430" s="326">
        <v>78</v>
      </c>
      <c r="F430" s="327">
        <v>100682.4</v>
      </c>
      <c r="G430" s="328"/>
      <c r="H430" s="174" t="s">
        <v>638</v>
      </c>
      <c r="I430" s="324" t="s">
        <v>425</v>
      </c>
    </row>
    <row r="431" spans="1:9" ht="11.1" customHeight="1" outlineLevel="1">
      <c r="A431" s="325" t="s">
        <v>1067</v>
      </c>
      <c r="B431" s="325" t="s">
        <v>1704</v>
      </c>
      <c r="C431" s="325" t="s">
        <v>1705</v>
      </c>
      <c r="D431" s="325" t="s">
        <v>20</v>
      </c>
      <c r="E431" s="326">
        <v>1</v>
      </c>
      <c r="F431" s="331">
        <v>94</v>
      </c>
      <c r="G431" s="328"/>
      <c r="H431" s="328" t="s">
        <v>1147</v>
      </c>
      <c r="I431" s="324" t="s">
        <v>21</v>
      </c>
    </row>
    <row r="432" spans="1:9" ht="11.1" customHeight="1" outlineLevel="1">
      <c r="A432" s="325" t="s">
        <v>1067</v>
      </c>
      <c r="B432" s="325" t="s">
        <v>1706</v>
      </c>
      <c r="C432" s="325" t="s">
        <v>1707</v>
      </c>
      <c r="D432" s="325" t="s">
        <v>20</v>
      </c>
      <c r="E432" s="326">
        <v>5</v>
      </c>
      <c r="F432" s="327">
        <v>4456.5</v>
      </c>
      <c r="G432" s="328"/>
      <c r="H432" s="160" t="s">
        <v>1708</v>
      </c>
      <c r="I432" s="324" t="s">
        <v>1070</v>
      </c>
    </row>
    <row r="433" spans="1:9" ht="11.1" customHeight="1" outlineLevel="1">
      <c r="A433" s="325" t="s">
        <v>1302</v>
      </c>
      <c r="B433" s="325" t="s">
        <v>1706</v>
      </c>
      <c r="C433" s="325" t="s">
        <v>1707</v>
      </c>
      <c r="D433" s="325" t="s">
        <v>20</v>
      </c>
      <c r="E433" s="326">
        <v>10</v>
      </c>
      <c r="F433" s="327">
        <v>9379.75</v>
      </c>
      <c r="G433" s="328"/>
      <c r="H433" s="160" t="s">
        <v>1708</v>
      </c>
      <c r="I433" s="324" t="s">
        <v>1070</v>
      </c>
    </row>
    <row r="434" spans="1:9" ht="11.1" customHeight="1" outlineLevel="1">
      <c r="A434" s="325" t="s">
        <v>1302</v>
      </c>
      <c r="B434" s="325" t="s">
        <v>1709</v>
      </c>
      <c r="C434" s="325" t="s">
        <v>1710</v>
      </c>
      <c r="D434" s="325" t="s">
        <v>12</v>
      </c>
      <c r="E434" s="326">
        <v>130.75</v>
      </c>
      <c r="F434" s="327">
        <v>23780.95</v>
      </c>
      <c r="G434" s="328"/>
      <c r="H434" s="328" t="s">
        <v>1711</v>
      </c>
      <c r="I434" s="324" t="s">
        <v>1307</v>
      </c>
    </row>
    <row r="435" spans="1:9" ht="11.1" customHeight="1" outlineLevel="1">
      <c r="A435" s="325" t="s">
        <v>1302</v>
      </c>
      <c r="B435" s="325" t="s">
        <v>1712</v>
      </c>
      <c r="C435" s="325" t="s">
        <v>1713</v>
      </c>
      <c r="D435" s="325" t="s">
        <v>12</v>
      </c>
      <c r="E435" s="326">
        <v>54</v>
      </c>
      <c r="F435" s="327">
        <v>10169.86</v>
      </c>
      <c r="G435" s="328"/>
      <c r="H435" s="328" t="s">
        <v>1711</v>
      </c>
      <c r="I435" s="324" t="s">
        <v>1307</v>
      </c>
    </row>
    <row r="436" spans="1:9" ht="11.1" customHeight="1" outlineLevel="1">
      <c r="A436" s="325" t="s">
        <v>1067</v>
      </c>
      <c r="B436" s="325" t="s">
        <v>1712</v>
      </c>
      <c r="C436" s="325" t="s">
        <v>1713</v>
      </c>
      <c r="D436" s="325" t="s">
        <v>12</v>
      </c>
      <c r="E436" s="326">
        <v>54</v>
      </c>
      <c r="F436" s="327">
        <v>10169.91</v>
      </c>
      <c r="G436" s="328"/>
      <c r="H436" s="328" t="s">
        <v>1711</v>
      </c>
      <c r="I436" s="324" t="s">
        <v>1307</v>
      </c>
    </row>
    <row r="437" spans="1:9" ht="11.1" customHeight="1" outlineLevel="1">
      <c r="A437" s="325" t="s">
        <v>1302</v>
      </c>
      <c r="B437" s="325" t="s">
        <v>1714</v>
      </c>
      <c r="C437" s="325" t="s">
        <v>1715</v>
      </c>
      <c r="D437" s="325" t="s">
        <v>12</v>
      </c>
      <c r="E437" s="326">
        <v>3.6040000000000001</v>
      </c>
      <c r="F437" s="327">
        <v>1079.93</v>
      </c>
      <c r="G437" s="328"/>
      <c r="H437" s="328" t="s">
        <v>1711</v>
      </c>
      <c r="I437" s="324" t="s">
        <v>1307</v>
      </c>
    </row>
    <row r="438" spans="1:9" ht="11.1" customHeight="1" outlineLevel="1">
      <c r="A438" s="325" t="s">
        <v>1302</v>
      </c>
      <c r="B438" s="325" t="s">
        <v>1716</v>
      </c>
      <c r="C438" s="325" t="s">
        <v>1717</v>
      </c>
      <c r="D438" s="325" t="s">
        <v>20</v>
      </c>
      <c r="E438" s="326">
        <v>10</v>
      </c>
      <c r="F438" s="331">
        <v>371.32</v>
      </c>
      <c r="G438" s="328"/>
      <c r="H438" s="328" t="s">
        <v>1718</v>
      </c>
      <c r="I438" s="324" t="s">
        <v>1070</v>
      </c>
    </row>
    <row r="439" spans="1:9" ht="11.1" customHeight="1" outlineLevel="1">
      <c r="A439" s="325" t="s">
        <v>1067</v>
      </c>
      <c r="B439" s="325" t="s">
        <v>1716</v>
      </c>
      <c r="C439" s="325" t="s">
        <v>1717</v>
      </c>
      <c r="D439" s="325" t="s">
        <v>20</v>
      </c>
      <c r="E439" s="326">
        <v>10</v>
      </c>
      <c r="F439" s="331">
        <v>369</v>
      </c>
      <c r="G439" s="328"/>
      <c r="H439" s="328" t="s">
        <v>1718</v>
      </c>
      <c r="I439" s="324" t="s">
        <v>1070</v>
      </c>
    </row>
    <row r="440" spans="1:9" ht="11.1" customHeight="1" outlineLevel="1">
      <c r="A440" s="325" t="s">
        <v>1067</v>
      </c>
      <c r="B440" s="325" t="s">
        <v>1719</v>
      </c>
      <c r="C440" s="325" t="s">
        <v>1720</v>
      </c>
      <c r="D440" s="325" t="s">
        <v>20</v>
      </c>
      <c r="E440" s="326">
        <v>6</v>
      </c>
      <c r="F440" s="331">
        <v>208</v>
      </c>
      <c r="G440" s="328"/>
      <c r="H440" s="328" t="s">
        <v>1718</v>
      </c>
      <c r="I440" s="324" t="s">
        <v>1070</v>
      </c>
    </row>
    <row r="441" spans="1:9" ht="11.1" customHeight="1" outlineLevel="1">
      <c r="A441" s="325" t="s">
        <v>1302</v>
      </c>
      <c r="B441" s="325" t="s">
        <v>1721</v>
      </c>
      <c r="C441" s="325" t="s">
        <v>1722</v>
      </c>
      <c r="D441" s="325" t="s">
        <v>20</v>
      </c>
      <c r="E441" s="326">
        <v>3</v>
      </c>
      <c r="F441" s="331">
        <v>260.14</v>
      </c>
      <c r="G441" s="328"/>
      <c r="H441" s="336" t="s">
        <v>1464</v>
      </c>
      <c r="I441" s="324" t="s">
        <v>1073</v>
      </c>
    </row>
    <row r="442" spans="1:9" ht="11.1" customHeight="1" outlineLevel="1">
      <c r="A442" s="325" t="s">
        <v>1067</v>
      </c>
      <c r="B442" s="325" t="s">
        <v>1721</v>
      </c>
      <c r="C442" s="325" t="s">
        <v>1722</v>
      </c>
      <c r="D442" s="325" t="s">
        <v>20</v>
      </c>
      <c r="E442" s="326">
        <v>57</v>
      </c>
      <c r="F442" s="327">
        <v>7254.22</v>
      </c>
      <c r="G442" s="328"/>
      <c r="H442" s="336" t="s">
        <v>1464</v>
      </c>
      <c r="I442" s="324" t="s">
        <v>1073</v>
      </c>
    </row>
    <row r="443" spans="1:9" ht="11.1" customHeight="1" outlineLevel="1">
      <c r="A443" s="325" t="s">
        <v>1302</v>
      </c>
      <c r="B443" s="325" t="s">
        <v>1723</v>
      </c>
      <c r="C443" s="325" t="s">
        <v>1724</v>
      </c>
      <c r="D443" s="325" t="s">
        <v>20</v>
      </c>
      <c r="E443" s="326">
        <v>4</v>
      </c>
      <c r="F443" s="331">
        <v>952</v>
      </c>
      <c r="G443" s="328"/>
      <c r="H443" s="328" t="s">
        <v>1147</v>
      </c>
      <c r="I443" s="324" t="s">
        <v>21</v>
      </c>
    </row>
    <row r="444" spans="1:9" ht="11.1" customHeight="1" outlineLevel="1">
      <c r="A444" s="325" t="s">
        <v>1067</v>
      </c>
      <c r="B444" s="325" t="s">
        <v>1725</v>
      </c>
      <c r="C444" s="325" t="s">
        <v>1726</v>
      </c>
      <c r="D444" s="325" t="s">
        <v>20</v>
      </c>
      <c r="E444" s="326">
        <v>1</v>
      </c>
      <c r="F444" s="327">
        <v>6500</v>
      </c>
      <c r="G444" s="328"/>
      <c r="H444" s="328" t="s">
        <v>1727</v>
      </c>
      <c r="I444" s="324" t="s">
        <v>425</v>
      </c>
    </row>
    <row r="445" spans="1:9" ht="11.1" customHeight="1" outlineLevel="1">
      <c r="A445" s="325" t="s">
        <v>1302</v>
      </c>
      <c r="B445" s="325" t="s">
        <v>1728</v>
      </c>
      <c r="C445" s="325" t="s">
        <v>1729</v>
      </c>
      <c r="D445" s="325" t="s">
        <v>295</v>
      </c>
      <c r="E445" s="326">
        <v>2.8</v>
      </c>
      <c r="F445" s="331">
        <v>50.77</v>
      </c>
      <c r="G445" s="328"/>
      <c r="H445" s="328" t="s">
        <v>1692</v>
      </c>
      <c r="I445" s="324" t="s">
        <v>1307</v>
      </c>
    </row>
    <row r="446" spans="1:9" ht="11.1" customHeight="1" outlineLevel="1">
      <c r="A446" s="325" t="s">
        <v>1067</v>
      </c>
      <c r="B446" s="325" t="s">
        <v>1730</v>
      </c>
      <c r="C446" s="325" t="s">
        <v>1731</v>
      </c>
      <c r="D446" s="325" t="s">
        <v>20</v>
      </c>
      <c r="E446" s="326">
        <v>33</v>
      </c>
      <c r="F446" s="327">
        <v>19626.52</v>
      </c>
      <c r="G446" s="328"/>
      <c r="H446" s="160" t="s">
        <v>1732</v>
      </c>
      <c r="I446" s="324" t="s">
        <v>1307</v>
      </c>
    </row>
    <row r="447" spans="1:9" ht="11.1" customHeight="1" outlineLevel="1">
      <c r="A447" s="325" t="s">
        <v>1302</v>
      </c>
      <c r="B447" s="325" t="s">
        <v>1730</v>
      </c>
      <c r="C447" s="325" t="s">
        <v>1731</v>
      </c>
      <c r="D447" s="325" t="s">
        <v>20</v>
      </c>
      <c r="E447" s="326">
        <v>3</v>
      </c>
      <c r="F447" s="327">
        <v>1936.31</v>
      </c>
      <c r="G447" s="328"/>
      <c r="H447" s="160" t="s">
        <v>1732</v>
      </c>
      <c r="I447" s="324" t="s">
        <v>1307</v>
      </c>
    </row>
    <row r="448" spans="1:9" ht="11.1" customHeight="1" outlineLevel="1">
      <c r="A448" s="325" t="s">
        <v>1067</v>
      </c>
      <c r="B448" s="325" t="s">
        <v>1733</v>
      </c>
      <c r="C448" s="325" t="s">
        <v>1734</v>
      </c>
      <c r="D448" s="325" t="s">
        <v>20</v>
      </c>
      <c r="E448" s="326">
        <v>141</v>
      </c>
      <c r="F448" s="327">
        <v>102497.59</v>
      </c>
      <c r="G448" s="328"/>
      <c r="H448" s="160" t="s">
        <v>1732</v>
      </c>
      <c r="I448" s="324" t="s">
        <v>1307</v>
      </c>
    </row>
    <row r="449" spans="1:9" ht="11.1" customHeight="1" outlineLevel="1">
      <c r="A449" s="325" t="s">
        <v>1302</v>
      </c>
      <c r="B449" s="325" t="s">
        <v>1733</v>
      </c>
      <c r="C449" s="325" t="s">
        <v>1734</v>
      </c>
      <c r="D449" s="325" t="s">
        <v>20</v>
      </c>
      <c r="E449" s="326">
        <v>32</v>
      </c>
      <c r="F449" s="327">
        <v>19987.36</v>
      </c>
      <c r="G449" s="328"/>
      <c r="H449" s="160" t="s">
        <v>1732</v>
      </c>
      <c r="I449" s="324" t="s">
        <v>1307</v>
      </c>
    </row>
    <row r="450" spans="1:9" ht="11.1" customHeight="1" outlineLevel="1">
      <c r="A450" s="325" t="s">
        <v>1067</v>
      </c>
      <c r="B450" s="325" t="s">
        <v>1735</v>
      </c>
      <c r="C450" s="325" t="s">
        <v>1736</v>
      </c>
      <c r="D450" s="325" t="s">
        <v>20</v>
      </c>
      <c r="E450" s="326">
        <v>109</v>
      </c>
      <c r="F450" s="327">
        <v>101914.84</v>
      </c>
      <c r="G450" s="328"/>
      <c r="H450" s="160" t="s">
        <v>1732</v>
      </c>
      <c r="I450" s="324" t="s">
        <v>1307</v>
      </c>
    </row>
    <row r="451" spans="1:9" ht="11.1" customHeight="1" outlineLevel="1">
      <c r="A451" s="325" t="s">
        <v>1302</v>
      </c>
      <c r="B451" s="325" t="s">
        <v>1735</v>
      </c>
      <c r="C451" s="325" t="s">
        <v>1736</v>
      </c>
      <c r="D451" s="325" t="s">
        <v>20</v>
      </c>
      <c r="E451" s="326">
        <v>2</v>
      </c>
      <c r="F451" s="327">
        <v>1753.56</v>
      </c>
      <c r="G451" s="328"/>
      <c r="H451" s="160" t="s">
        <v>1732</v>
      </c>
      <c r="I451" s="324" t="s">
        <v>1307</v>
      </c>
    </row>
    <row r="452" spans="1:9" ht="11.1" customHeight="1" outlineLevel="1">
      <c r="A452" s="325" t="s">
        <v>1302</v>
      </c>
      <c r="B452" s="325" t="s">
        <v>1737</v>
      </c>
      <c r="C452" s="325" t="s">
        <v>1738</v>
      </c>
      <c r="D452" s="325" t="s">
        <v>20</v>
      </c>
      <c r="E452" s="326">
        <v>7.5</v>
      </c>
      <c r="F452" s="327">
        <v>3931.55</v>
      </c>
      <c r="G452" s="328"/>
      <c r="H452" s="160" t="s">
        <v>1732</v>
      </c>
      <c r="I452" s="324" t="s">
        <v>1307</v>
      </c>
    </row>
    <row r="453" spans="1:9" ht="11.1" customHeight="1" outlineLevel="1">
      <c r="A453" s="325" t="s">
        <v>1067</v>
      </c>
      <c r="B453" s="325" t="s">
        <v>1739</v>
      </c>
      <c r="C453" s="325" t="s">
        <v>1740</v>
      </c>
      <c r="D453" s="325" t="s">
        <v>912</v>
      </c>
      <c r="E453" s="326">
        <v>13.1</v>
      </c>
      <c r="F453" s="327">
        <v>16422.830000000002</v>
      </c>
      <c r="G453" s="328"/>
      <c r="H453" s="160" t="s">
        <v>1030</v>
      </c>
      <c r="I453" s="324" t="s">
        <v>1307</v>
      </c>
    </row>
    <row r="454" spans="1:9" ht="11.1" customHeight="1" outlineLevel="1">
      <c r="A454" s="325" t="s">
        <v>1302</v>
      </c>
      <c r="B454" s="325" t="s">
        <v>1741</v>
      </c>
      <c r="C454" s="325" t="s">
        <v>1742</v>
      </c>
      <c r="D454" s="325" t="s">
        <v>912</v>
      </c>
      <c r="E454" s="326">
        <v>0.245</v>
      </c>
      <c r="F454" s="331">
        <v>888.13</v>
      </c>
      <c r="G454" s="328"/>
      <c r="H454" s="160" t="s">
        <v>1030</v>
      </c>
      <c r="I454" s="324" t="s">
        <v>1307</v>
      </c>
    </row>
    <row r="455" spans="1:9" ht="11.1" customHeight="1" outlineLevel="1">
      <c r="A455" s="325" t="s">
        <v>1302</v>
      </c>
      <c r="B455" s="325" t="s">
        <v>1743</v>
      </c>
      <c r="C455" s="325" t="s">
        <v>1744</v>
      </c>
      <c r="D455" s="325" t="s">
        <v>12</v>
      </c>
      <c r="E455" s="328"/>
      <c r="F455" s="331">
        <v>0.01</v>
      </c>
      <c r="G455" s="328"/>
      <c r="H455" s="328" t="s">
        <v>1745</v>
      </c>
      <c r="I455" s="324" t="s">
        <v>1307</v>
      </c>
    </row>
    <row r="456" spans="1:9" ht="11.1" customHeight="1" outlineLevel="1">
      <c r="A456" s="325" t="s">
        <v>1067</v>
      </c>
      <c r="B456" s="325" t="s">
        <v>1746</v>
      </c>
      <c r="C456" s="325" t="s">
        <v>1747</v>
      </c>
      <c r="D456" s="325" t="s">
        <v>910</v>
      </c>
      <c r="E456" s="326">
        <v>5</v>
      </c>
      <c r="F456" s="327">
        <v>6182.02</v>
      </c>
      <c r="G456" s="328"/>
      <c r="H456" s="160" t="s">
        <v>1748</v>
      </c>
      <c r="I456" s="324" t="s">
        <v>1105</v>
      </c>
    </row>
    <row r="457" spans="1:9" ht="11.1" customHeight="1" outlineLevel="1">
      <c r="A457" s="325" t="s">
        <v>1067</v>
      </c>
      <c r="B457" s="325" t="s">
        <v>1749</v>
      </c>
      <c r="C457" s="325" t="s">
        <v>1750</v>
      </c>
      <c r="D457" s="325" t="s">
        <v>12</v>
      </c>
      <c r="E457" s="326">
        <v>9</v>
      </c>
      <c r="F457" s="331">
        <v>324</v>
      </c>
      <c r="G457" s="328"/>
      <c r="H457" s="328" t="s">
        <v>1147</v>
      </c>
      <c r="I457" s="324" t="s">
        <v>21</v>
      </c>
    </row>
    <row r="458" spans="1:9" ht="11.1" customHeight="1" outlineLevel="1">
      <c r="A458" s="325" t="s">
        <v>1302</v>
      </c>
      <c r="B458" s="325" t="s">
        <v>1749</v>
      </c>
      <c r="C458" s="325" t="s">
        <v>1750</v>
      </c>
      <c r="D458" s="325" t="s">
        <v>12</v>
      </c>
      <c r="E458" s="326">
        <v>1</v>
      </c>
      <c r="F458" s="331">
        <v>36</v>
      </c>
      <c r="G458" s="328"/>
      <c r="H458" s="328" t="s">
        <v>1147</v>
      </c>
      <c r="I458" s="324" t="s">
        <v>21</v>
      </c>
    </row>
    <row r="459" spans="1:9" ht="11.1" customHeight="1" outlineLevel="1">
      <c r="A459" s="325" t="s">
        <v>1302</v>
      </c>
      <c r="B459" s="325" t="s">
        <v>1751</v>
      </c>
      <c r="C459" s="325" t="s">
        <v>1752</v>
      </c>
      <c r="D459" s="325" t="s">
        <v>910</v>
      </c>
      <c r="E459" s="326">
        <v>3</v>
      </c>
      <c r="F459" s="327">
        <v>2412.21</v>
      </c>
      <c r="G459" s="328"/>
      <c r="H459" s="160" t="s">
        <v>1748</v>
      </c>
      <c r="I459" s="324" t="s">
        <v>1105</v>
      </c>
    </row>
    <row r="460" spans="1:9" ht="11.1" customHeight="1" outlineLevel="1">
      <c r="A460" s="325" t="s">
        <v>1067</v>
      </c>
      <c r="B460" s="325" t="s">
        <v>1751</v>
      </c>
      <c r="C460" s="325" t="s">
        <v>1752</v>
      </c>
      <c r="D460" s="325" t="s">
        <v>910</v>
      </c>
      <c r="E460" s="326">
        <v>3</v>
      </c>
      <c r="F460" s="327">
        <v>2367.54</v>
      </c>
      <c r="G460" s="328"/>
      <c r="H460" s="160" t="s">
        <v>1748</v>
      </c>
      <c r="I460" s="324" t="s">
        <v>1105</v>
      </c>
    </row>
    <row r="461" spans="1:9" ht="11.1" customHeight="1" outlineLevel="1">
      <c r="A461" s="325" t="s">
        <v>1067</v>
      </c>
      <c r="B461" s="325" t="s">
        <v>1753</v>
      </c>
      <c r="C461" s="325" t="s">
        <v>544</v>
      </c>
      <c r="D461" s="325" t="s">
        <v>20</v>
      </c>
      <c r="E461" s="326">
        <v>83</v>
      </c>
      <c r="F461" s="327">
        <v>5810.35</v>
      </c>
      <c r="G461" s="328"/>
      <c r="H461" s="160" t="s">
        <v>1754</v>
      </c>
      <c r="I461" s="324" t="s">
        <v>1307</v>
      </c>
    </row>
    <row r="462" spans="1:9" ht="11.1" customHeight="1" outlineLevel="1">
      <c r="A462" s="325" t="s">
        <v>1067</v>
      </c>
      <c r="B462" s="325" t="s">
        <v>1755</v>
      </c>
      <c r="C462" s="325" t="s">
        <v>544</v>
      </c>
      <c r="D462" s="325" t="s">
        <v>1519</v>
      </c>
      <c r="E462" s="326">
        <v>387.5</v>
      </c>
      <c r="F462" s="327">
        <v>10537.7</v>
      </c>
      <c r="G462" s="328"/>
      <c r="H462" s="160" t="s">
        <v>1754</v>
      </c>
      <c r="I462" s="324" t="s">
        <v>1307</v>
      </c>
    </row>
    <row r="463" spans="1:9" ht="11.1" customHeight="1" outlineLevel="1">
      <c r="A463" s="325" t="s">
        <v>1302</v>
      </c>
      <c r="B463" s="325" t="s">
        <v>1753</v>
      </c>
      <c r="C463" s="325" t="s">
        <v>544</v>
      </c>
      <c r="D463" s="325" t="s">
        <v>20</v>
      </c>
      <c r="E463" s="326">
        <v>4</v>
      </c>
      <c r="F463" s="331">
        <v>238.32</v>
      </c>
      <c r="G463" s="328"/>
      <c r="H463" s="160" t="s">
        <v>1754</v>
      </c>
      <c r="I463" s="324" t="s">
        <v>1307</v>
      </c>
    </row>
    <row r="464" spans="1:9" ht="11.1" customHeight="1" outlineLevel="1">
      <c r="A464" s="325" t="s">
        <v>1067</v>
      </c>
      <c r="B464" s="325" t="s">
        <v>1756</v>
      </c>
      <c r="C464" s="325" t="s">
        <v>1757</v>
      </c>
      <c r="D464" s="325" t="s">
        <v>20</v>
      </c>
      <c r="E464" s="326">
        <v>20</v>
      </c>
      <c r="F464" s="327">
        <v>2646.2</v>
      </c>
      <c r="G464" s="328"/>
      <c r="H464" s="328"/>
    </row>
    <row r="465" spans="1:9" ht="11.1" customHeight="1" outlineLevel="1">
      <c r="A465" s="325" t="s">
        <v>1302</v>
      </c>
      <c r="B465" s="325" t="s">
        <v>1758</v>
      </c>
      <c r="C465" s="325" t="s">
        <v>1759</v>
      </c>
      <c r="D465" s="325" t="s">
        <v>12</v>
      </c>
      <c r="E465" s="326">
        <v>3.4</v>
      </c>
      <c r="F465" s="327">
        <v>1167.1600000000001</v>
      </c>
      <c r="G465" s="328"/>
      <c r="H465" s="328" t="s">
        <v>1760</v>
      </c>
      <c r="I465" s="324" t="s">
        <v>1307</v>
      </c>
    </row>
    <row r="466" spans="1:9" ht="11.1" customHeight="1" outlineLevel="1">
      <c r="A466" s="325" t="s">
        <v>1067</v>
      </c>
      <c r="B466" s="325" t="s">
        <v>1758</v>
      </c>
      <c r="C466" s="325" t="s">
        <v>1759</v>
      </c>
      <c r="D466" s="325" t="s">
        <v>12</v>
      </c>
      <c r="E466" s="326">
        <v>60</v>
      </c>
      <c r="F466" s="327">
        <v>23950.04</v>
      </c>
      <c r="G466" s="328"/>
      <c r="H466" s="328" t="s">
        <v>1760</v>
      </c>
      <c r="I466" s="324" t="s">
        <v>1307</v>
      </c>
    </row>
    <row r="467" spans="1:9" ht="11.1" customHeight="1" outlineLevel="1">
      <c r="A467" s="325" t="s">
        <v>1067</v>
      </c>
      <c r="B467" s="325" t="s">
        <v>1761</v>
      </c>
      <c r="C467" s="325" t="s">
        <v>1762</v>
      </c>
      <c r="D467" s="325" t="s">
        <v>20</v>
      </c>
      <c r="E467" s="326">
        <v>10</v>
      </c>
      <c r="F467" s="327">
        <v>84329.99</v>
      </c>
      <c r="G467" s="328"/>
      <c r="H467" s="325" t="s">
        <v>1762</v>
      </c>
      <c r="I467" s="324" t="s">
        <v>425</v>
      </c>
    </row>
    <row r="468" spans="1:9" ht="11.1" customHeight="1" outlineLevel="1">
      <c r="A468" s="325" t="s">
        <v>1067</v>
      </c>
      <c r="B468" s="325" t="s">
        <v>1763</v>
      </c>
      <c r="C468" s="325" t="s">
        <v>1764</v>
      </c>
      <c r="D468" s="325" t="s">
        <v>886</v>
      </c>
      <c r="E468" s="326">
        <v>9</v>
      </c>
      <c r="F468" s="331">
        <v>513</v>
      </c>
      <c r="G468" s="328"/>
      <c r="H468" s="328" t="s">
        <v>549</v>
      </c>
      <c r="I468" s="324" t="s">
        <v>289</v>
      </c>
    </row>
    <row r="469" spans="1:9" ht="11.1" customHeight="1" outlineLevel="1">
      <c r="A469" s="325" t="s">
        <v>1302</v>
      </c>
      <c r="B469" s="325" t="s">
        <v>1765</v>
      </c>
      <c r="C469" s="325" t="s">
        <v>1766</v>
      </c>
      <c r="D469" s="325" t="s">
        <v>20</v>
      </c>
      <c r="E469" s="326">
        <v>1</v>
      </c>
      <c r="F469" s="331">
        <v>203.97</v>
      </c>
      <c r="G469" s="328"/>
      <c r="H469" s="160" t="s">
        <v>1661</v>
      </c>
      <c r="I469" s="324" t="s">
        <v>1070</v>
      </c>
    </row>
    <row r="470" spans="1:9" ht="11.1" customHeight="1" outlineLevel="1">
      <c r="A470" s="325" t="s">
        <v>1302</v>
      </c>
      <c r="B470" s="325" t="s">
        <v>1767</v>
      </c>
      <c r="C470" s="325" t="s">
        <v>1768</v>
      </c>
      <c r="D470" s="325" t="s">
        <v>20</v>
      </c>
      <c r="E470" s="326">
        <v>24</v>
      </c>
      <c r="F470" s="327">
        <v>4557.3599999999997</v>
      </c>
      <c r="G470" s="328"/>
      <c r="H470" s="328" t="s">
        <v>1692</v>
      </c>
      <c r="I470" s="324" t="s">
        <v>1307</v>
      </c>
    </row>
    <row r="471" spans="1:9" ht="11.1" customHeight="1" outlineLevel="1">
      <c r="A471" s="325" t="s">
        <v>1067</v>
      </c>
      <c r="B471" s="325" t="s">
        <v>1767</v>
      </c>
      <c r="C471" s="325" t="s">
        <v>1768</v>
      </c>
      <c r="D471" s="325" t="s">
        <v>20</v>
      </c>
      <c r="E471" s="326">
        <v>16</v>
      </c>
      <c r="F471" s="327">
        <v>2979</v>
      </c>
      <c r="G471" s="328"/>
      <c r="H471" s="328" t="s">
        <v>1692</v>
      </c>
      <c r="I471" s="324" t="s">
        <v>1307</v>
      </c>
    </row>
    <row r="472" spans="1:9" ht="11.1" customHeight="1" outlineLevel="1">
      <c r="A472" s="325" t="s">
        <v>1302</v>
      </c>
      <c r="B472" s="325" t="s">
        <v>1769</v>
      </c>
      <c r="C472" s="325" t="s">
        <v>1770</v>
      </c>
      <c r="D472" s="325" t="s">
        <v>20</v>
      </c>
      <c r="E472" s="326">
        <v>1.74</v>
      </c>
      <c r="F472" s="331">
        <v>109.62</v>
      </c>
      <c r="G472" s="328"/>
      <c r="H472" s="328" t="s">
        <v>1692</v>
      </c>
      <c r="I472" s="324" t="s">
        <v>1307</v>
      </c>
    </row>
    <row r="473" spans="1:9" ht="11.1" customHeight="1" outlineLevel="1">
      <c r="A473" s="325" t="s">
        <v>1302</v>
      </c>
      <c r="B473" s="325" t="s">
        <v>1771</v>
      </c>
      <c r="C473" s="325" t="s">
        <v>1772</v>
      </c>
      <c r="D473" s="325" t="s">
        <v>20</v>
      </c>
      <c r="E473" s="326">
        <v>0.57999999999999996</v>
      </c>
      <c r="F473" s="331">
        <v>113.1</v>
      </c>
      <c r="G473" s="328"/>
      <c r="H473" s="328" t="s">
        <v>1692</v>
      </c>
      <c r="I473" s="324" t="s">
        <v>1307</v>
      </c>
    </row>
    <row r="474" spans="1:9" ht="11.1" customHeight="1" outlineLevel="1">
      <c r="A474" s="325" t="s">
        <v>1302</v>
      </c>
      <c r="B474" s="325" t="s">
        <v>1773</v>
      </c>
      <c r="C474" s="325" t="s">
        <v>1774</v>
      </c>
      <c r="D474" s="325" t="s">
        <v>20</v>
      </c>
      <c r="E474" s="326">
        <v>0.87</v>
      </c>
      <c r="F474" s="331">
        <v>434.13</v>
      </c>
      <c r="G474" s="328"/>
      <c r="H474" s="328" t="s">
        <v>1692</v>
      </c>
      <c r="I474" s="324" t="s">
        <v>1307</v>
      </c>
    </row>
    <row r="475" spans="1:9" ht="11.1" customHeight="1" outlineLevel="1">
      <c r="A475" s="325" t="s">
        <v>1302</v>
      </c>
      <c r="B475" s="325" t="s">
        <v>1775</v>
      </c>
      <c r="C475" s="325" t="s">
        <v>1776</v>
      </c>
      <c r="D475" s="325" t="s">
        <v>20</v>
      </c>
      <c r="E475" s="326">
        <v>1.3</v>
      </c>
      <c r="F475" s="331">
        <v>220.63</v>
      </c>
      <c r="G475" s="328"/>
      <c r="H475" s="328" t="s">
        <v>1692</v>
      </c>
      <c r="I475" s="324" t="s">
        <v>1307</v>
      </c>
    </row>
    <row r="476" spans="1:9" ht="11.1" customHeight="1" outlineLevel="1">
      <c r="A476" s="325" t="s">
        <v>1302</v>
      </c>
      <c r="B476" s="325" t="s">
        <v>1777</v>
      </c>
      <c r="C476" s="325" t="s">
        <v>1778</v>
      </c>
      <c r="D476" s="325" t="s">
        <v>20</v>
      </c>
      <c r="E476" s="326">
        <v>0.57999999999999996</v>
      </c>
      <c r="F476" s="331">
        <v>81.2</v>
      </c>
      <c r="G476" s="328"/>
      <c r="H476" s="328" t="s">
        <v>1692</v>
      </c>
      <c r="I476" s="324" t="s">
        <v>1307</v>
      </c>
    </row>
    <row r="477" spans="1:9" ht="11.1" customHeight="1" outlineLevel="1">
      <c r="A477" s="325" t="s">
        <v>1067</v>
      </c>
      <c r="B477" s="325" t="s">
        <v>1779</v>
      </c>
      <c r="C477" s="325" t="s">
        <v>1780</v>
      </c>
      <c r="D477" s="325" t="s">
        <v>20</v>
      </c>
      <c r="E477" s="326">
        <v>24</v>
      </c>
      <c r="F477" s="327">
        <v>8376</v>
      </c>
      <c r="G477" s="328"/>
      <c r="H477" s="328" t="s">
        <v>1692</v>
      </c>
      <c r="I477" s="324" t="s">
        <v>1307</v>
      </c>
    </row>
    <row r="478" spans="1:9" ht="11.1" customHeight="1" outlineLevel="1">
      <c r="A478" s="325" t="s">
        <v>1302</v>
      </c>
      <c r="B478" s="325" t="s">
        <v>1781</v>
      </c>
      <c r="C478" s="325" t="s">
        <v>1782</v>
      </c>
      <c r="D478" s="325" t="s">
        <v>1519</v>
      </c>
      <c r="E478" s="326">
        <v>2.8</v>
      </c>
      <c r="F478" s="331">
        <v>32.200000000000003</v>
      </c>
      <c r="G478" s="328"/>
      <c r="H478" s="328" t="s">
        <v>1692</v>
      </c>
      <c r="I478" s="324" t="s">
        <v>1307</v>
      </c>
    </row>
    <row r="479" spans="1:9" ht="11.1" customHeight="1" outlineLevel="1">
      <c r="A479" s="325" t="s">
        <v>1302</v>
      </c>
      <c r="B479" s="325" t="s">
        <v>1103</v>
      </c>
      <c r="C479" s="325" t="s">
        <v>1104</v>
      </c>
      <c r="D479" s="325" t="s">
        <v>12</v>
      </c>
      <c r="E479" s="326">
        <v>2.68</v>
      </c>
      <c r="F479" s="331">
        <v>500.27</v>
      </c>
      <c r="G479" s="328"/>
      <c r="H479" s="160" t="s">
        <v>546</v>
      </c>
      <c r="I479" s="324" t="s">
        <v>1105</v>
      </c>
    </row>
    <row r="480" spans="1:9" ht="11.1" customHeight="1" outlineLevel="1">
      <c r="A480" s="325" t="s">
        <v>1067</v>
      </c>
      <c r="B480" s="325" t="s">
        <v>1783</v>
      </c>
      <c r="C480" s="325" t="s">
        <v>961</v>
      </c>
      <c r="D480" s="325" t="s">
        <v>20</v>
      </c>
      <c r="E480" s="326">
        <v>19</v>
      </c>
      <c r="F480" s="331">
        <v>524.4</v>
      </c>
      <c r="G480" s="328"/>
      <c r="H480" s="328" t="s">
        <v>578</v>
      </c>
      <c r="I480" s="324" t="s">
        <v>289</v>
      </c>
    </row>
    <row r="481" spans="1:9" ht="11.1" customHeight="1" outlineLevel="1">
      <c r="A481" s="325" t="s">
        <v>1302</v>
      </c>
      <c r="B481" s="325" t="s">
        <v>1783</v>
      </c>
      <c r="C481" s="325" t="s">
        <v>961</v>
      </c>
      <c r="D481" s="325" t="s">
        <v>20</v>
      </c>
      <c r="E481" s="326">
        <v>3</v>
      </c>
      <c r="F481" s="331">
        <v>83.1</v>
      </c>
      <c r="G481" s="328"/>
      <c r="H481" s="328" t="s">
        <v>578</v>
      </c>
      <c r="I481" s="324" t="s">
        <v>289</v>
      </c>
    </row>
    <row r="482" spans="1:9" ht="11.1" customHeight="1" outlineLevel="1">
      <c r="A482" s="325" t="s">
        <v>1067</v>
      </c>
      <c r="B482" s="325" t="s">
        <v>1784</v>
      </c>
      <c r="C482" s="325" t="s">
        <v>1785</v>
      </c>
      <c r="D482" s="325" t="s">
        <v>20</v>
      </c>
      <c r="E482" s="326">
        <v>1</v>
      </c>
      <c r="F482" s="331">
        <v>14</v>
      </c>
      <c r="G482" s="328"/>
      <c r="H482" s="160" t="s">
        <v>1786</v>
      </c>
      <c r="I482" s="324" t="s">
        <v>1070</v>
      </c>
    </row>
    <row r="483" spans="1:9" ht="11.1" customHeight="1" outlineLevel="1">
      <c r="A483" s="325" t="s">
        <v>1302</v>
      </c>
      <c r="B483" s="325" t="s">
        <v>1787</v>
      </c>
      <c r="C483" s="325" t="s">
        <v>1788</v>
      </c>
      <c r="D483" s="325" t="s">
        <v>295</v>
      </c>
      <c r="E483" s="335">
        <v>1161.4359999999999</v>
      </c>
      <c r="F483" s="327">
        <v>31577.43</v>
      </c>
      <c r="G483" s="328"/>
      <c r="H483" s="160" t="s">
        <v>1789</v>
      </c>
      <c r="I483" s="324" t="s">
        <v>1307</v>
      </c>
    </row>
    <row r="484" spans="1:9" ht="11.1" customHeight="1" outlineLevel="1">
      <c r="A484" s="325" t="s">
        <v>1067</v>
      </c>
      <c r="B484" s="325" t="s">
        <v>1787</v>
      </c>
      <c r="C484" s="325" t="s">
        <v>1788</v>
      </c>
      <c r="D484" s="325" t="s">
        <v>295</v>
      </c>
      <c r="E484" s="326">
        <v>465.35</v>
      </c>
      <c r="F484" s="327">
        <v>13261.08</v>
      </c>
      <c r="G484" s="328"/>
      <c r="H484" s="160" t="s">
        <v>1789</v>
      </c>
      <c r="I484" s="324" t="s">
        <v>1307</v>
      </c>
    </row>
    <row r="485" spans="1:9" ht="11.1" customHeight="1" outlineLevel="1">
      <c r="A485" s="325" t="s">
        <v>1067</v>
      </c>
      <c r="B485" s="325" t="s">
        <v>1790</v>
      </c>
      <c r="C485" s="325" t="s">
        <v>1791</v>
      </c>
      <c r="D485" s="325" t="s">
        <v>295</v>
      </c>
      <c r="E485" s="326">
        <v>282</v>
      </c>
      <c r="F485" s="327">
        <v>11745.3</v>
      </c>
      <c r="G485" s="328"/>
      <c r="H485" s="160" t="s">
        <v>1789</v>
      </c>
      <c r="I485" s="324" t="s">
        <v>1307</v>
      </c>
    </row>
    <row r="486" spans="1:9" ht="11.1" customHeight="1" outlineLevel="1">
      <c r="A486" s="325" t="s">
        <v>1302</v>
      </c>
      <c r="B486" s="325" t="s">
        <v>1790</v>
      </c>
      <c r="C486" s="325" t="s">
        <v>1791</v>
      </c>
      <c r="D486" s="325" t="s">
        <v>295</v>
      </c>
      <c r="E486" s="326">
        <v>62.5</v>
      </c>
      <c r="F486" s="327">
        <v>2592.81</v>
      </c>
      <c r="G486" s="328"/>
      <c r="H486" s="160" t="s">
        <v>1789</v>
      </c>
      <c r="I486" s="324" t="s">
        <v>1307</v>
      </c>
    </row>
    <row r="487" spans="1:9" ht="11.1" customHeight="1" outlineLevel="1">
      <c r="A487" s="325" t="s">
        <v>1302</v>
      </c>
      <c r="B487" s="325" t="s">
        <v>1792</v>
      </c>
      <c r="C487" s="325" t="s">
        <v>1793</v>
      </c>
      <c r="D487" s="325" t="s">
        <v>295</v>
      </c>
      <c r="E487" s="326">
        <v>238</v>
      </c>
      <c r="F487" s="327">
        <v>10030.39</v>
      </c>
      <c r="G487" s="328"/>
      <c r="H487" s="160" t="s">
        <v>1789</v>
      </c>
      <c r="I487" s="324" t="s">
        <v>1307</v>
      </c>
    </row>
    <row r="488" spans="1:9" ht="11.1" customHeight="1" outlineLevel="1">
      <c r="A488" s="325" t="s">
        <v>1302</v>
      </c>
      <c r="B488" s="325" t="s">
        <v>1794</v>
      </c>
      <c r="C488" s="325" t="s">
        <v>1795</v>
      </c>
      <c r="D488" s="325" t="s">
        <v>912</v>
      </c>
      <c r="E488" s="326">
        <v>0.124</v>
      </c>
      <c r="F488" s="327">
        <v>3008.56</v>
      </c>
      <c r="G488" s="328"/>
      <c r="H488" s="328" t="s">
        <v>1796</v>
      </c>
      <c r="I488" s="324" t="s">
        <v>1307</v>
      </c>
    </row>
    <row r="489" spans="1:9" ht="11.1" customHeight="1" outlineLevel="1">
      <c r="A489" s="325" t="s">
        <v>1067</v>
      </c>
      <c r="B489" s="325" t="s">
        <v>1797</v>
      </c>
      <c r="C489" s="325" t="s">
        <v>1798</v>
      </c>
      <c r="D489" s="325" t="s">
        <v>20</v>
      </c>
      <c r="E489" s="326">
        <v>30</v>
      </c>
      <c r="F489" s="327">
        <v>7970.02</v>
      </c>
      <c r="G489" s="328"/>
      <c r="H489" s="160" t="s">
        <v>1799</v>
      </c>
      <c r="I489" s="324" t="s">
        <v>1105</v>
      </c>
    </row>
    <row r="490" spans="1:9" ht="11.1" customHeight="1" outlineLevel="1">
      <c r="A490" s="325" t="s">
        <v>1302</v>
      </c>
      <c r="B490" s="325" t="s">
        <v>1797</v>
      </c>
      <c r="C490" s="325" t="s">
        <v>1798</v>
      </c>
      <c r="D490" s="325" t="s">
        <v>20</v>
      </c>
      <c r="E490" s="326">
        <v>14</v>
      </c>
      <c r="F490" s="327">
        <v>3361.69</v>
      </c>
      <c r="G490" s="328"/>
      <c r="H490" s="160" t="s">
        <v>1799</v>
      </c>
      <c r="I490" s="324" t="s">
        <v>1105</v>
      </c>
    </row>
    <row r="491" spans="1:9" ht="11.1" customHeight="1" outlineLevel="1">
      <c r="A491" s="325" t="s">
        <v>1302</v>
      </c>
      <c r="B491" s="325" t="s">
        <v>1800</v>
      </c>
      <c r="C491" s="325" t="s">
        <v>1801</v>
      </c>
      <c r="D491" s="325" t="s">
        <v>20</v>
      </c>
      <c r="E491" s="326">
        <v>1</v>
      </c>
      <c r="F491" s="331">
        <v>181.58</v>
      </c>
      <c r="G491" s="328"/>
      <c r="H491" s="160" t="s">
        <v>633</v>
      </c>
      <c r="I491" s="324" t="s">
        <v>289</v>
      </c>
    </row>
    <row r="492" spans="1:9" ht="11.1" customHeight="1" outlineLevel="1">
      <c r="A492" s="325" t="s">
        <v>1067</v>
      </c>
      <c r="B492" s="325" t="s">
        <v>1800</v>
      </c>
      <c r="C492" s="325" t="s">
        <v>1801</v>
      </c>
      <c r="D492" s="325" t="s">
        <v>20</v>
      </c>
      <c r="E492" s="326">
        <v>9</v>
      </c>
      <c r="F492" s="327">
        <v>1631.88</v>
      </c>
      <c r="G492" s="328"/>
      <c r="H492" s="160" t="s">
        <v>633</v>
      </c>
      <c r="I492" s="324" t="s">
        <v>289</v>
      </c>
    </row>
    <row r="493" spans="1:9" ht="11.1" customHeight="1" outlineLevel="1">
      <c r="A493" s="325" t="s">
        <v>1067</v>
      </c>
      <c r="B493" s="325" t="s">
        <v>1802</v>
      </c>
      <c r="C493" s="325" t="s">
        <v>1803</v>
      </c>
      <c r="D493" s="325" t="s">
        <v>20</v>
      </c>
      <c r="E493" s="326">
        <v>142</v>
      </c>
      <c r="F493" s="327">
        <v>22657.439999999999</v>
      </c>
      <c r="G493" s="328"/>
      <c r="H493" s="160" t="s">
        <v>633</v>
      </c>
      <c r="I493" s="324" t="s">
        <v>289</v>
      </c>
    </row>
    <row r="494" spans="1:9" ht="11.1" customHeight="1" outlineLevel="1">
      <c r="A494" s="325" t="s">
        <v>1302</v>
      </c>
      <c r="B494" s="325" t="s">
        <v>1802</v>
      </c>
      <c r="C494" s="325" t="s">
        <v>1803</v>
      </c>
      <c r="D494" s="325" t="s">
        <v>20</v>
      </c>
      <c r="E494" s="326">
        <v>101</v>
      </c>
      <c r="F494" s="327">
        <v>16798.439999999999</v>
      </c>
      <c r="G494" s="328"/>
      <c r="H494" s="160" t="s">
        <v>633</v>
      </c>
      <c r="I494" s="324" t="s">
        <v>289</v>
      </c>
    </row>
    <row r="495" spans="1:9" ht="11.1" customHeight="1" outlineLevel="1">
      <c r="A495" s="325" t="s">
        <v>1302</v>
      </c>
      <c r="B495" s="325" t="s">
        <v>1804</v>
      </c>
      <c r="C495" s="325" t="s">
        <v>1805</v>
      </c>
      <c r="D495" s="325" t="s">
        <v>20</v>
      </c>
      <c r="E495" s="326">
        <v>1</v>
      </c>
      <c r="F495" s="331">
        <v>92.54</v>
      </c>
      <c r="G495" s="328"/>
      <c r="H495" s="160" t="s">
        <v>633</v>
      </c>
      <c r="I495" s="324" t="s">
        <v>289</v>
      </c>
    </row>
    <row r="496" spans="1:9" ht="11.1" customHeight="1" outlineLevel="1">
      <c r="A496" s="325" t="s">
        <v>1067</v>
      </c>
      <c r="B496" s="325" t="s">
        <v>1804</v>
      </c>
      <c r="C496" s="325" t="s">
        <v>1805</v>
      </c>
      <c r="D496" s="325" t="s">
        <v>20</v>
      </c>
      <c r="E496" s="326">
        <v>3</v>
      </c>
      <c r="F496" s="331">
        <v>310.8</v>
      </c>
      <c r="G496" s="328"/>
      <c r="H496" s="160" t="s">
        <v>633</v>
      </c>
      <c r="I496" s="324" t="s">
        <v>289</v>
      </c>
    </row>
    <row r="497" spans="1:9" ht="11.1" customHeight="1" outlineLevel="1">
      <c r="A497" s="325" t="s">
        <v>1302</v>
      </c>
      <c r="B497" s="325" t="s">
        <v>1205</v>
      </c>
      <c r="C497" s="325" t="s">
        <v>1206</v>
      </c>
      <c r="D497" s="325" t="s">
        <v>261</v>
      </c>
      <c r="E497" s="326">
        <v>3</v>
      </c>
      <c r="F497" s="331">
        <v>228.35</v>
      </c>
      <c r="G497" s="328"/>
      <c r="H497" s="160" t="s">
        <v>203</v>
      </c>
      <c r="I497" s="324" t="s">
        <v>1087</v>
      </c>
    </row>
    <row r="498" spans="1:9" ht="11.1" customHeight="1" outlineLevel="1">
      <c r="A498" s="325" t="s">
        <v>1067</v>
      </c>
      <c r="B498" s="325" t="s">
        <v>1806</v>
      </c>
      <c r="C498" s="325" t="s">
        <v>1807</v>
      </c>
      <c r="D498" s="325" t="s">
        <v>20</v>
      </c>
      <c r="E498" s="326">
        <v>1</v>
      </c>
      <c r="F498" s="331">
        <v>480</v>
      </c>
      <c r="G498" s="328"/>
      <c r="H498" s="328" t="s">
        <v>1147</v>
      </c>
      <c r="I498" s="324" t="s">
        <v>21</v>
      </c>
    </row>
    <row r="499" spans="1:9" ht="11.1" customHeight="1" outlineLevel="1">
      <c r="A499" s="325" t="s">
        <v>1302</v>
      </c>
      <c r="B499" s="325" t="s">
        <v>1808</v>
      </c>
      <c r="C499" s="325" t="s">
        <v>1809</v>
      </c>
      <c r="D499" s="325" t="s">
        <v>20</v>
      </c>
      <c r="E499" s="326">
        <v>1</v>
      </c>
      <c r="F499" s="331">
        <v>293.11</v>
      </c>
      <c r="G499" s="328"/>
      <c r="H499" s="336" t="s">
        <v>1464</v>
      </c>
      <c r="I499" s="324" t="s">
        <v>1073</v>
      </c>
    </row>
    <row r="500" spans="1:9" ht="11.1" customHeight="1" outlineLevel="1">
      <c r="A500" s="325" t="s">
        <v>1067</v>
      </c>
      <c r="B500" s="325" t="s">
        <v>1808</v>
      </c>
      <c r="C500" s="325" t="s">
        <v>1809</v>
      </c>
      <c r="D500" s="325" t="s">
        <v>20</v>
      </c>
      <c r="E500" s="326">
        <v>43</v>
      </c>
      <c r="F500" s="327">
        <v>13107.88</v>
      </c>
      <c r="G500" s="328"/>
      <c r="H500" s="336" t="s">
        <v>1464</v>
      </c>
      <c r="I500" s="324" t="s">
        <v>1073</v>
      </c>
    </row>
    <row r="501" spans="1:9" ht="11.1" customHeight="1" outlineLevel="1">
      <c r="A501" s="325" t="s">
        <v>1067</v>
      </c>
      <c r="B501" s="325" t="s">
        <v>1810</v>
      </c>
      <c r="C501" s="325" t="s">
        <v>1811</v>
      </c>
      <c r="D501" s="325" t="s">
        <v>20</v>
      </c>
      <c r="E501" s="335">
        <v>4337</v>
      </c>
      <c r="F501" s="327">
        <v>1135.18</v>
      </c>
      <c r="G501" s="328"/>
      <c r="H501" s="160" t="s">
        <v>612</v>
      </c>
      <c r="I501" s="324" t="s">
        <v>1105</v>
      </c>
    </row>
    <row r="502" spans="1:9" ht="11.1" customHeight="1" outlineLevel="1">
      <c r="A502" s="325" t="s">
        <v>1302</v>
      </c>
      <c r="B502" s="325" t="s">
        <v>1810</v>
      </c>
      <c r="C502" s="325" t="s">
        <v>1811</v>
      </c>
      <c r="D502" s="325" t="s">
        <v>20</v>
      </c>
      <c r="E502" s="326">
        <v>271</v>
      </c>
      <c r="F502" s="331">
        <v>77.64</v>
      </c>
      <c r="G502" s="328"/>
      <c r="H502" s="160" t="s">
        <v>612</v>
      </c>
      <c r="I502" s="324" t="s">
        <v>1105</v>
      </c>
    </row>
    <row r="503" spans="1:9" ht="11.1" customHeight="1" outlineLevel="1">
      <c r="A503" s="325" t="s">
        <v>1302</v>
      </c>
      <c r="B503" s="325" t="s">
        <v>1812</v>
      </c>
      <c r="C503" s="325" t="s">
        <v>1813</v>
      </c>
      <c r="D503" s="325" t="s">
        <v>20</v>
      </c>
      <c r="E503" s="326">
        <v>274</v>
      </c>
      <c r="F503" s="331">
        <v>218.28</v>
      </c>
      <c r="G503" s="328"/>
      <c r="H503" s="160" t="s">
        <v>612</v>
      </c>
      <c r="I503" s="324" t="s">
        <v>1105</v>
      </c>
    </row>
    <row r="504" spans="1:9" ht="11.1" customHeight="1" outlineLevel="1">
      <c r="A504" s="325" t="s">
        <v>1067</v>
      </c>
      <c r="B504" s="325" t="s">
        <v>1812</v>
      </c>
      <c r="C504" s="325" t="s">
        <v>1813</v>
      </c>
      <c r="D504" s="325" t="s">
        <v>20</v>
      </c>
      <c r="E504" s="335">
        <v>5046</v>
      </c>
      <c r="F504" s="327">
        <v>3590.06</v>
      </c>
      <c r="G504" s="328"/>
      <c r="H504" s="160" t="s">
        <v>612</v>
      </c>
      <c r="I504" s="324" t="s">
        <v>1105</v>
      </c>
    </row>
    <row r="505" spans="1:9" ht="11.1" customHeight="1" outlineLevel="1">
      <c r="A505" s="325" t="s">
        <v>1302</v>
      </c>
      <c r="B505" s="325" t="s">
        <v>1814</v>
      </c>
      <c r="C505" s="325" t="s">
        <v>1815</v>
      </c>
      <c r="D505" s="325" t="s">
        <v>1300</v>
      </c>
      <c r="E505" s="326">
        <v>364.5</v>
      </c>
      <c r="F505" s="331">
        <v>988.4</v>
      </c>
      <c r="G505" s="328"/>
      <c r="H505" s="160" t="s">
        <v>612</v>
      </c>
      <c r="I505" s="324" t="s">
        <v>1105</v>
      </c>
    </row>
    <row r="506" spans="1:9" ht="11.1" customHeight="1" outlineLevel="1">
      <c r="A506" s="325" t="s">
        <v>1302</v>
      </c>
      <c r="B506" s="325" t="s">
        <v>1816</v>
      </c>
      <c r="C506" s="325" t="s">
        <v>1817</v>
      </c>
      <c r="D506" s="325" t="s">
        <v>20</v>
      </c>
      <c r="E506" s="326">
        <v>31</v>
      </c>
      <c r="F506" s="331">
        <v>26.45</v>
      </c>
      <c r="G506" s="328"/>
      <c r="H506" s="160" t="s">
        <v>612</v>
      </c>
      <c r="I506" s="324" t="s">
        <v>1105</v>
      </c>
    </row>
    <row r="507" spans="1:9" ht="11.1" customHeight="1" outlineLevel="1">
      <c r="A507" s="325" t="s">
        <v>1302</v>
      </c>
      <c r="B507" s="325" t="s">
        <v>1818</v>
      </c>
      <c r="C507" s="325" t="s">
        <v>1819</v>
      </c>
      <c r="D507" s="325" t="s">
        <v>20</v>
      </c>
      <c r="E507" s="326">
        <v>1</v>
      </c>
      <c r="F507" s="331">
        <v>10.039999999999999</v>
      </c>
      <c r="G507" s="328"/>
      <c r="H507" s="160" t="s">
        <v>612</v>
      </c>
      <c r="I507" s="324" t="s">
        <v>1307</v>
      </c>
    </row>
    <row r="508" spans="1:9" ht="11.1" customHeight="1" outlineLevel="1">
      <c r="A508" s="325" t="s">
        <v>1067</v>
      </c>
      <c r="B508" s="325" t="s">
        <v>1818</v>
      </c>
      <c r="C508" s="325" t="s">
        <v>1819</v>
      </c>
      <c r="D508" s="325" t="s">
        <v>20</v>
      </c>
      <c r="E508" s="326">
        <v>10</v>
      </c>
      <c r="F508" s="331">
        <v>20</v>
      </c>
      <c r="G508" s="328"/>
      <c r="H508" s="160" t="s">
        <v>612</v>
      </c>
      <c r="I508" s="324" t="s">
        <v>1307</v>
      </c>
    </row>
    <row r="509" spans="1:9" ht="11.1" customHeight="1" outlineLevel="1">
      <c r="A509" s="325" t="s">
        <v>1067</v>
      </c>
      <c r="B509" s="325" t="s">
        <v>1820</v>
      </c>
      <c r="C509" s="325" t="s">
        <v>1821</v>
      </c>
      <c r="D509" s="325" t="s">
        <v>20</v>
      </c>
      <c r="E509" s="326">
        <v>10</v>
      </c>
      <c r="F509" s="331">
        <v>15</v>
      </c>
      <c r="G509" s="328"/>
      <c r="H509" s="160" t="s">
        <v>612</v>
      </c>
      <c r="I509" s="324" t="s">
        <v>1307</v>
      </c>
    </row>
    <row r="510" spans="1:9" ht="11.1" customHeight="1" outlineLevel="1">
      <c r="A510" s="325" t="s">
        <v>1302</v>
      </c>
      <c r="B510" s="325" t="s">
        <v>1822</v>
      </c>
      <c r="C510" s="325" t="s">
        <v>1823</v>
      </c>
      <c r="D510" s="325" t="s">
        <v>20</v>
      </c>
      <c r="E510" s="326">
        <v>2</v>
      </c>
      <c r="F510" s="331">
        <v>260.43</v>
      </c>
      <c r="G510" s="328"/>
      <c r="H510" s="160" t="s">
        <v>551</v>
      </c>
      <c r="I510" s="324" t="s">
        <v>289</v>
      </c>
    </row>
    <row r="511" spans="1:9" ht="11.1" customHeight="1" outlineLevel="1">
      <c r="A511" s="325" t="s">
        <v>1067</v>
      </c>
      <c r="B511" s="325" t="s">
        <v>1824</v>
      </c>
      <c r="C511" s="325" t="s">
        <v>1825</v>
      </c>
      <c r="D511" s="325" t="s">
        <v>20</v>
      </c>
      <c r="E511" s="326">
        <v>44</v>
      </c>
      <c r="F511" s="327">
        <v>5394.55</v>
      </c>
      <c r="G511" s="328"/>
      <c r="H511" s="160" t="s">
        <v>551</v>
      </c>
      <c r="I511" s="324" t="s">
        <v>289</v>
      </c>
    </row>
    <row r="512" spans="1:9" ht="11.1" customHeight="1" outlineLevel="1">
      <c r="A512" s="325" t="s">
        <v>1302</v>
      </c>
      <c r="B512" s="325" t="s">
        <v>1824</v>
      </c>
      <c r="C512" s="325" t="s">
        <v>1825</v>
      </c>
      <c r="D512" s="325" t="s">
        <v>20</v>
      </c>
      <c r="E512" s="326">
        <v>2</v>
      </c>
      <c r="F512" s="331">
        <v>230.98</v>
      </c>
      <c r="G512" s="328"/>
      <c r="H512" s="160" t="s">
        <v>551</v>
      </c>
      <c r="I512" s="324" t="s">
        <v>289</v>
      </c>
    </row>
    <row r="513" spans="1:9" ht="11.1" customHeight="1" outlineLevel="1">
      <c r="A513" s="325" t="s">
        <v>1302</v>
      </c>
      <c r="B513" s="325" t="s">
        <v>1826</v>
      </c>
      <c r="C513" s="325" t="s">
        <v>1827</v>
      </c>
      <c r="D513" s="325" t="s">
        <v>20</v>
      </c>
      <c r="E513" s="326">
        <v>14</v>
      </c>
      <c r="F513" s="327">
        <v>4743.88</v>
      </c>
      <c r="G513" s="328"/>
      <c r="H513" s="160" t="s">
        <v>551</v>
      </c>
      <c r="I513" s="324" t="s">
        <v>289</v>
      </c>
    </row>
    <row r="514" spans="1:9" ht="11.1" customHeight="1" outlineLevel="1">
      <c r="A514" s="325" t="s">
        <v>1067</v>
      </c>
      <c r="B514" s="325" t="s">
        <v>1826</v>
      </c>
      <c r="C514" s="325" t="s">
        <v>1827</v>
      </c>
      <c r="D514" s="325" t="s">
        <v>20</v>
      </c>
      <c r="E514" s="326">
        <v>18</v>
      </c>
      <c r="F514" s="327">
        <v>5314.5</v>
      </c>
      <c r="G514" s="328"/>
      <c r="H514" s="160" t="s">
        <v>551</v>
      </c>
      <c r="I514" s="324" t="s">
        <v>289</v>
      </c>
    </row>
    <row r="515" spans="1:9" ht="11.1" customHeight="1" outlineLevel="1">
      <c r="A515" s="325" t="s">
        <v>1067</v>
      </c>
      <c r="B515" s="325" t="s">
        <v>1828</v>
      </c>
      <c r="C515" s="325" t="s">
        <v>1829</v>
      </c>
      <c r="D515" s="325" t="s">
        <v>20</v>
      </c>
      <c r="E515" s="326">
        <v>6</v>
      </c>
      <c r="F515" s="327">
        <v>1305.0899999999999</v>
      </c>
      <c r="G515" s="328"/>
      <c r="H515" s="160" t="s">
        <v>551</v>
      </c>
      <c r="I515" s="324" t="s">
        <v>289</v>
      </c>
    </row>
    <row r="516" spans="1:9" ht="11.1" customHeight="1" outlineLevel="1">
      <c r="A516" s="325" t="s">
        <v>1067</v>
      </c>
      <c r="B516" s="325" t="s">
        <v>1830</v>
      </c>
      <c r="C516" s="325" t="s">
        <v>1831</v>
      </c>
      <c r="D516" s="325" t="s">
        <v>20</v>
      </c>
      <c r="E516" s="326">
        <v>3</v>
      </c>
      <c r="F516" s="331">
        <v>310.8</v>
      </c>
      <c r="G516" s="328"/>
      <c r="H516" s="160" t="s">
        <v>633</v>
      </c>
      <c r="I516" s="324" t="s">
        <v>289</v>
      </c>
    </row>
    <row r="517" spans="1:9" ht="11.1" customHeight="1" outlineLevel="1">
      <c r="A517" s="325" t="s">
        <v>1067</v>
      </c>
      <c r="B517" s="325" t="s">
        <v>1832</v>
      </c>
      <c r="C517" s="325" t="s">
        <v>1833</v>
      </c>
      <c r="D517" s="325" t="s">
        <v>20</v>
      </c>
      <c r="E517" s="326">
        <v>1</v>
      </c>
      <c r="F517" s="331">
        <v>693</v>
      </c>
      <c r="G517" s="328"/>
      <c r="H517" s="160" t="s">
        <v>576</v>
      </c>
      <c r="I517" s="324" t="s">
        <v>1070</v>
      </c>
    </row>
    <row r="518" spans="1:9" ht="11.1" customHeight="1" outlineLevel="1">
      <c r="A518" s="325" t="s">
        <v>1067</v>
      </c>
      <c r="B518" s="325" t="s">
        <v>1834</v>
      </c>
      <c r="C518" s="325" t="s">
        <v>1835</v>
      </c>
      <c r="D518" s="325" t="s">
        <v>20</v>
      </c>
      <c r="E518" s="326">
        <v>5</v>
      </c>
      <c r="F518" s="331">
        <v>448</v>
      </c>
      <c r="G518" s="328"/>
      <c r="H518" s="160" t="s">
        <v>576</v>
      </c>
      <c r="I518" s="324" t="s">
        <v>1070</v>
      </c>
    </row>
    <row r="519" spans="1:9" ht="11.1" customHeight="1" outlineLevel="1">
      <c r="A519" s="325" t="s">
        <v>1302</v>
      </c>
      <c r="B519" s="325" t="s">
        <v>1834</v>
      </c>
      <c r="C519" s="325" t="s">
        <v>1835</v>
      </c>
      <c r="D519" s="325" t="s">
        <v>20</v>
      </c>
      <c r="E519" s="326">
        <v>6</v>
      </c>
      <c r="F519" s="331">
        <v>482.49</v>
      </c>
      <c r="G519" s="328"/>
      <c r="H519" s="160" t="s">
        <v>576</v>
      </c>
      <c r="I519" s="324" t="s">
        <v>1070</v>
      </c>
    </row>
    <row r="520" spans="1:9" ht="11.1" customHeight="1" outlineLevel="1">
      <c r="A520" s="325" t="s">
        <v>1067</v>
      </c>
      <c r="B520" s="325" t="s">
        <v>1836</v>
      </c>
      <c r="C520" s="325" t="s">
        <v>1837</v>
      </c>
      <c r="D520" s="325" t="s">
        <v>20</v>
      </c>
      <c r="E520" s="326">
        <v>28</v>
      </c>
      <c r="F520" s="327">
        <v>7607.6</v>
      </c>
      <c r="G520" s="328"/>
      <c r="H520" s="174" t="s">
        <v>1838</v>
      </c>
      <c r="I520" s="324" t="s">
        <v>1839</v>
      </c>
    </row>
    <row r="521" spans="1:9" ht="11.1" customHeight="1" outlineLevel="1">
      <c r="A521" s="325" t="s">
        <v>1302</v>
      </c>
      <c r="B521" s="325" t="s">
        <v>1840</v>
      </c>
      <c r="C521" s="325" t="s">
        <v>1841</v>
      </c>
      <c r="D521" s="325" t="s">
        <v>1519</v>
      </c>
      <c r="E521" s="326">
        <v>6</v>
      </c>
      <c r="F521" s="331">
        <v>57.49</v>
      </c>
      <c r="G521" s="328"/>
      <c r="H521" s="328" t="s">
        <v>1842</v>
      </c>
      <c r="I521" s="324" t="s">
        <v>1307</v>
      </c>
    </row>
    <row r="522" spans="1:9" ht="11.1" customHeight="1" outlineLevel="1">
      <c r="A522" s="325" t="s">
        <v>1067</v>
      </c>
      <c r="B522" s="325" t="s">
        <v>1843</v>
      </c>
      <c r="C522" s="325" t="s">
        <v>675</v>
      </c>
      <c r="D522" s="325" t="s">
        <v>20</v>
      </c>
      <c r="E522" s="326">
        <v>2</v>
      </c>
      <c r="F522" s="327">
        <v>3951.17</v>
      </c>
      <c r="G522" s="328"/>
      <c r="H522" s="174" t="s">
        <v>675</v>
      </c>
      <c r="I522" s="324" t="s">
        <v>425</v>
      </c>
    </row>
    <row r="523" spans="1:9" ht="11.1" customHeight="1" outlineLevel="1">
      <c r="A523" s="325" t="s">
        <v>1067</v>
      </c>
      <c r="B523" s="325" t="s">
        <v>1844</v>
      </c>
      <c r="C523" s="325" t="s">
        <v>1845</v>
      </c>
      <c r="D523" s="325" t="s">
        <v>20</v>
      </c>
      <c r="E523" s="326">
        <v>13</v>
      </c>
      <c r="F523" s="327">
        <v>124770</v>
      </c>
      <c r="G523" s="328"/>
      <c r="H523" s="174" t="s">
        <v>675</v>
      </c>
      <c r="I523" s="324" t="s">
        <v>425</v>
      </c>
    </row>
    <row r="524" spans="1:9" ht="11.1" customHeight="1" outlineLevel="1">
      <c r="A524" s="325" t="s">
        <v>1067</v>
      </c>
      <c r="B524" s="325" t="s">
        <v>1846</v>
      </c>
      <c r="C524" s="325" t="s">
        <v>1847</v>
      </c>
      <c r="D524" s="325" t="s">
        <v>20</v>
      </c>
      <c r="E524" s="326">
        <v>8</v>
      </c>
      <c r="F524" s="327">
        <v>15804.64</v>
      </c>
      <c r="G524" s="328"/>
      <c r="H524" s="174" t="s">
        <v>675</v>
      </c>
      <c r="I524" s="324" t="s">
        <v>425</v>
      </c>
    </row>
    <row r="525" spans="1:9" ht="11.1" customHeight="1" outlineLevel="1">
      <c r="A525" s="325" t="s">
        <v>1067</v>
      </c>
      <c r="B525" s="325" t="s">
        <v>1848</v>
      </c>
      <c r="C525" s="325" t="s">
        <v>1849</v>
      </c>
      <c r="D525" s="325" t="s">
        <v>20</v>
      </c>
      <c r="E525" s="326">
        <v>36</v>
      </c>
      <c r="F525" s="327">
        <v>87888</v>
      </c>
      <c r="G525" s="328"/>
      <c r="H525" s="328" t="s">
        <v>1850</v>
      </c>
      <c r="I525" s="324" t="s">
        <v>425</v>
      </c>
    </row>
    <row r="526" spans="1:9" ht="11.1" customHeight="1" outlineLevel="1">
      <c r="A526" s="325" t="s">
        <v>1302</v>
      </c>
      <c r="B526" s="325" t="s">
        <v>1851</v>
      </c>
      <c r="C526" s="325" t="s">
        <v>1852</v>
      </c>
      <c r="D526" s="325" t="s">
        <v>1519</v>
      </c>
      <c r="E526" s="326">
        <v>1.98</v>
      </c>
      <c r="F526" s="331">
        <v>259.38</v>
      </c>
      <c r="G526" s="328"/>
      <c r="H526" s="160" t="s">
        <v>1853</v>
      </c>
      <c r="I526" s="324" t="s">
        <v>1105</v>
      </c>
    </row>
    <row r="527" spans="1:9" ht="11.1" customHeight="1" outlineLevel="1">
      <c r="A527" s="325" t="s">
        <v>1067</v>
      </c>
      <c r="B527" s="325" t="s">
        <v>1851</v>
      </c>
      <c r="C527" s="325" t="s">
        <v>1852</v>
      </c>
      <c r="D527" s="325" t="s">
        <v>1519</v>
      </c>
      <c r="E527" s="326">
        <v>10</v>
      </c>
      <c r="F527" s="327">
        <v>1310</v>
      </c>
      <c r="G527" s="328"/>
      <c r="H527" s="160" t="s">
        <v>1853</v>
      </c>
      <c r="I527" s="324" t="s">
        <v>1105</v>
      </c>
    </row>
    <row r="528" spans="1:9" ht="11.1" customHeight="1" outlineLevel="1">
      <c r="A528" s="325" t="s">
        <v>1302</v>
      </c>
      <c r="B528" s="325" t="s">
        <v>1854</v>
      </c>
      <c r="C528" s="325" t="s">
        <v>1852</v>
      </c>
      <c r="D528" s="325" t="s">
        <v>20</v>
      </c>
      <c r="E528" s="326">
        <v>0.81299999999999994</v>
      </c>
      <c r="F528" s="331">
        <v>846.87</v>
      </c>
      <c r="G528" s="328"/>
      <c r="H528" s="160" t="s">
        <v>1853</v>
      </c>
      <c r="I528" s="324" t="s">
        <v>1105</v>
      </c>
    </row>
    <row r="529" spans="1:9" ht="11.1" customHeight="1" outlineLevel="1">
      <c r="A529" s="325" t="s">
        <v>1067</v>
      </c>
      <c r="B529" s="325" t="s">
        <v>1854</v>
      </c>
      <c r="C529" s="325" t="s">
        <v>1852</v>
      </c>
      <c r="D529" s="325" t="s">
        <v>20</v>
      </c>
      <c r="E529" s="326">
        <v>5</v>
      </c>
      <c r="F529" s="327">
        <v>5458.35</v>
      </c>
      <c r="G529" s="328"/>
      <c r="H529" s="160" t="s">
        <v>1853</v>
      </c>
      <c r="I529" s="324" t="s">
        <v>1105</v>
      </c>
    </row>
    <row r="530" spans="1:9" ht="11.1" customHeight="1" outlineLevel="1">
      <c r="A530" s="325" t="s">
        <v>1067</v>
      </c>
      <c r="B530" s="325" t="s">
        <v>1855</v>
      </c>
      <c r="C530" s="325" t="s">
        <v>1856</v>
      </c>
      <c r="D530" s="325" t="s">
        <v>20</v>
      </c>
      <c r="E530" s="326">
        <v>1</v>
      </c>
      <c r="F530" s="331">
        <v>169.16</v>
      </c>
      <c r="G530" s="328"/>
      <c r="H530" s="328" t="s">
        <v>1147</v>
      </c>
      <c r="I530" s="324" t="s">
        <v>21</v>
      </c>
    </row>
    <row r="531" spans="1:9" ht="11.1" customHeight="1" outlineLevel="1">
      <c r="A531" s="325" t="s">
        <v>1067</v>
      </c>
      <c r="B531" s="325" t="s">
        <v>1857</v>
      </c>
      <c r="C531" s="325" t="s">
        <v>1858</v>
      </c>
      <c r="D531" s="325" t="s">
        <v>20</v>
      </c>
      <c r="E531" s="326">
        <v>1</v>
      </c>
      <c r="F531" s="331">
        <v>108.38</v>
      </c>
      <c r="G531" s="328"/>
      <c r="H531" s="328" t="s">
        <v>1147</v>
      </c>
      <c r="I531" s="324" t="s">
        <v>21</v>
      </c>
    </row>
    <row r="532" spans="1:9" ht="11.1" customHeight="1" outlineLevel="1">
      <c r="A532" s="325" t="s">
        <v>1067</v>
      </c>
      <c r="B532" s="325" t="s">
        <v>1859</v>
      </c>
      <c r="C532" s="325" t="s">
        <v>1860</v>
      </c>
      <c r="D532" s="325" t="s">
        <v>20</v>
      </c>
      <c r="E532" s="326">
        <v>1</v>
      </c>
      <c r="F532" s="331">
        <v>19.489999999999998</v>
      </c>
      <c r="G532" s="328"/>
      <c r="H532" s="328" t="s">
        <v>1147</v>
      </c>
      <c r="I532" s="324" t="s">
        <v>21</v>
      </c>
    </row>
    <row r="533" spans="1:9" ht="11.1" customHeight="1" outlineLevel="1">
      <c r="A533" s="325" t="s">
        <v>1302</v>
      </c>
      <c r="B533" s="325" t="s">
        <v>1861</v>
      </c>
      <c r="C533" s="325" t="s">
        <v>877</v>
      </c>
      <c r="D533" s="325" t="s">
        <v>20</v>
      </c>
      <c r="E533" s="326">
        <v>0.87</v>
      </c>
      <c r="F533" s="331">
        <v>147.03</v>
      </c>
      <c r="G533" s="328"/>
      <c r="H533" s="328" t="s">
        <v>1147</v>
      </c>
      <c r="I533" s="324" t="s">
        <v>21</v>
      </c>
    </row>
    <row r="534" spans="1:9" ht="11.1" customHeight="1" outlineLevel="1">
      <c r="A534" s="325" t="s">
        <v>1067</v>
      </c>
      <c r="B534" s="325" t="s">
        <v>1861</v>
      </c>
      <c r="C534" s="325" t="s">
        <v>877</v>
      </c>
      <c r="D534" s="325" t="s">
        <v>20</v>
      </c>
      <c r="E534" s="326">
        <v>12</v>
      </c>
      <c r="F534" s="327">
        <v>2028</v>
      </c>
      <c r="G534" s="328"/>
      <c r="H534" s="328" t="s">
        <v>1147</v>
      </c>
      <c r="I534" s="324" t="s">
        <v>21</v>
      </c>
    </row>
    <row r="535" spans="1:9" ht="11.1" customHeight="1" outlineLevel="1">
      <c r="A535" s="325" t="s">
        <v>1302</v>
      </c>
      <c r="B535" s="325" t="s">
        <v>1862</v>
      </c>
      <c r="C535" s="325" t="s">
        <v>1863</v>
      </c>
      <c r="D535" s="325" t="s">
        <v>20</v>
      </c>
      <c r="E535" s="326">
        <v>0.14499999999999999</v>
      </c>
      <c r="F535" s="331">
        <v>15.66</v>
      </c>
      <c r="G535" s="328"/>
      <c r="H535" s="328" t="s">
        <v>1147</v>
      </c>
      <c r="I535" s="324" t="s">
        <v>21</v>
      </c>
    </row>
    <row r="536" spans="1:9" ht="11.1" customHeight="1" outlineLevel="1">
      <c r="A536" s="325" t="s">
        <v>1067</v>
      </c>
      <c r="B536" s="325" t="s">
        <v>1864</v>
      </c>
      <c r="C536" s="325" t="s">
        <v>1865</v>
      </c>
      <c r="D536" s="325" t="s">
        <v>20</v>
      </c>
      <c r="E536" s="326">
        <v>6.14</v>
      </c>
      <c r="F536" s="331">
        <v>633.79</v>
      </c>
      <c r="G536" s="328"/>
      <c r="H536" s="328" t="s">
        <v>1866</v>
      </c>
      <c r="I536" s="324" t="s">
        <v>1087</v>
      </c>
    </row>
    <row r="537" spans="1:9" ht="11.1" customHeight="1" outlineLevel="1">
      <c r="A537" s="325" t="s">
        <v>1302</v>
      </c>
      <c r="B537" s="325" t="s">
        <v>1864</v>
      </c>
      <c r="C537" s="325" t="s">
        <v>1865</v>
      </c>
      <c r="D537" s="325" t="s">
        <v>20</v>
      </c>
      <c r="E537" s="326">
        <v>0.38</v>
      </c>
      <c r="F537" s="331">
        <v>39.229999999999997</v>
      </c>
      <c r="G537" s="328"/>
      <c r="H537" s="328" t="s">
        <v>1866</v>
      </c>
      <c r="I537" s="324" t="s">
        <v>1087</v>
      </c>
    </row>
    <row r="538" spans="1:9" ht="11.1" customHeight="1" outlineLevel="1">
      <c r="A538" s="325" t="s">
        <v>1067</v>
      </c>
      <c r="B538" s="325" t="s">
        <v>1867</v>
      </c>
      <c r="C538" s="325" t="s">
        <v>1868</v>
      </c>
      <c r="D538" s="325" t="s">
        <v>20</v>
      </c>
      <c r="E538" s="326">
        <v>1</v>
      </c>
      <c r="F538" s="331">
        <v>61</v>
      </c>
      <c r="G538" s="328"/>
      <c r="H538" s="336" t="s">
        <v>1869</v>
      </c>
      <c r="I538" s="324" t="s">
        <v>425</v>
      </c>
    </row>
    <row r="539" spans="1:9" ht="11.1" customHeight="1" outlineLevel="1">
      <c r="A539" s="325" t="s">
        <v>1067</v>
      </c>
      <c r="B539" s="325" t="s">
        <v>1870</v>
      </c>
      <c r="C539" s="325" t="s">
        <v>1871</v>
      </c>
      <c r="D539" s="325" t="s">
        <v>20</v>
      </c>
      <c r="E539" s="326">
        <v>2</v>
      </c>
      <c r="F539" s="331">
        <v>62</v>
      </c>
      <c r="G539" s="328"/>
      <c r="H539" s="160" t="s">
        <v>557</v>
      </c>
      <c r="I539" s="324" t="s">
        <v>1070</v>
      </c>
    </row>
    <row r="540" spans="1:9" ht="11.1" customHeight="1" outlineLevel="1">
      <c r="A540" s="325" t="s">
        <v>1302</v>
      </c>
      <c r="B540" s="325" t="s">
        <v>1872</v>
      </c>
      <c r="C540" s="325" t="s">
        <v>1873</v>
      </c>
      <c r="D540" s="325" t="s">
        <v>20</v>
      </c>
      <c r="E540" s="326">
        <v>11</v>
      </c>
      <c r="F540" s="331">
        <v>355.15</v>
      </c>
      <c r="G540" s="328"/>
      <c r="H540" s="160" t="s">
        <v>557</v>
      </c>
      <c r="I540" s="324" t="s">
        <v>1070</v>
      </c>
    </row>
    <row r="541" spans="1:9" ht="11.1" customHeight="1" outlineLevel="1">
      <c r="A541" s="325" t="s">
        <v>1302</v>
      </c>
      <c r="B541" s="325" t="s">
        <v>1874</v>
      </c>
      <c r="C541" s="325" t="s">
        <v>1875</v>
      </c>
      <c r="D541" s="325" t="s">
        <v>20</v>
      </c>
      <c r="E541" s="326">
        <v>1</v>
      </c>
      <c r="F541" s="331">
        <v>6.76</v>
      </c>
      <c r="G541" s="328"/>
      <c r="H541" s="160" t="s">
        <v>557</v>
      </c>
      <c r="I541" s="324" t="s">
        <v>1070</v>
      </c>
    </row>
    <row r="542" spans="1:9" ht="11.1" customHeight="1" outlineLevel="1">
      <c r="A542" s="325" t="s">
        <v>1067</v>
      </c>
      <c r="B542" s="325" t="s">
        <v>1874</v>
      </c>
      <c r="C542" s="325" t="s">
        <v>1875</v>
      </c>
      <c r="D542" s="325" t="s">
        <v>20</v>
      </c>
      <c r="E542" s="326">
        <v>21</v>
      </c>
      <c r="F542" s="331">
        <v>234.5</v>
      </c>
      <c r="G542" s="328"/>
      <c r="H542" s="160" t="s">
        <v>557</v>
      </c>
      <c r="I542" s="324" t="s">
        <v>1070</v>
      </c>
    </row>
    <row r="543" spans="1:9" ht="11.1" customHeight="1" outlineLevel="1">
      <c r="A543" s="325" t="s">
        <v>1067</v>
      </c>
      <c r="B543" s="325" t="s">
        <v>1876</v>
      </c>
      <c r="C543" s="325" t="s">
        <v>1877</v>
      </c>
      <c r="D543" s="325" t="s">
        <v>20</v>
      </c>
      <c r="E543" s="326">
        <v>3</v>
      </c>
      <c r="F543" s="331">
        <v>171</v>
      </c>
      <c r="G543" s="328"/>
      <c r="H543" s="160" t="s">
        <v>557</v>
      </c>
      <c r="I543" s="324" t="s">
        <v>1070</v>
      </c>
    </row>
    <row r="544" spans="1:9" ht="11.1" customHeight="1" outlineLevel="1">
      <c r="A544" s="325" t="s">
        <v>1302</v>
      </c>
      <c r="B544" s="325" t="s">
        <v>1878</v>
      </c>
      <c r="C544" s="325" t="s">
        <v>1879</v>
      </c>
      <c r="D544" s="325" t="s">
        <v>20</v>
      </c>
      <c r="E544" s="326">
        <v>1</v>
      </c>
      <c r="F544" s="331">
        <v>61.35</v>
      </c>
      <c r="G544" s="328"/>
      <c r="H544" s="160" t="s">
        <v>557</v>
      </c>
      <c r="I544" s="324" t="s">
        <v>1070</v>
      </c>
    </row>
    <row r="545" spans="1:9" ht="11.1" customHeight="1" outlineLevel="1">
      <c r="A545" s="325" t="s">
        <v>1067</v>
      </c>
      <c r="B545" s="325" t="s">
        <v>1878</v>
      </c>
      <c r="C545" s="325" t="s">
        <v>1879</v>
      </c>
      <c r="D545" s="325" t="s">
        <v>20</v>
      </c>
      <c r="E545" s="326">
        <v>5</v>
      </c>
      <c r="F545" s="331">
        <v>367</v>
      </c>
      <c r="G545" s="328"/>
      <c r="H545" s="160" t="s">
        <v>557</v>
      </c>
      <c r="I545" s="324" t="s">
        <v>1070</v>
      </c>
    </row>
    <row r="546" spans="1:9" ht="11.1" customHeight="1" outlineLevel="1">
      <c r="A546" s="325" t="s">
        <v>1302</v>
      </c>
      <c r="B546" s="325" t="s">
        <v>1880</v>
      </c>
      <c r="C546" s="325" t="s">
        <v>1881</v>
      </c>
      <c r="D546" s="325" t="s">
        <v>20</v>
      </c>
      <c r="E546" s="326">
        <v>0.41599999999999998</v>
      </c>
      <c r="F546" s="331">
        <v>95.68</v>
      </c>
      <c r="G546" s="328"/>
      <c r="H546" s="160" t="s">
        <v>573</v>
      </c>
      <c r="I546" s="324" t="s">
        <v>1070</v>
      </c>
    </row>
    <row r="547" spans="1:9" ht="11.1" customHeight="1" outlineLevel="1">
      <c r="A547" s="325" t="s">
        <v>1302</v>
      </c>
      <c r="B547" s="325" t="s">
        <v>1882</v>
      </c>
      <c r="C547" s="325" t="s">
        <v>1883</v>
      </c>
      <c r="D547" s="325" t="s">
        <v>517</v>
      </c>
      <c r="E547" s="326">
        <v>2E-3</v>
      </c>
      <c r="F547" s="331">
        <v>64.290000000000006</v>
      </c>
      <c r="G547" s="328"/>
      <c r="H547" s="160" t="s">
        <v>535</v>
      </c>
      <c r="I547" s="324" t="s">
        <v>1087</v>
      </c>
    </row>
    <row r="548" spans="1:9" ht="11.1" customHeight="1" outlineLevel="1">
      <c r="A548" s="325" t="s">
        <v>1302</v>
      </c>
      <c r="B548" s="325" t="s">
        <v>1884</v>
      </c>
      <c r="C548" s="325" t="s">
        <v>860</v>
      </c>
      <c r="D548" s="325" t="s">
        <v>1519</v>
      </c>
      <c r="E548" s="326">
        <v>2.8</v>
      </c>
      <c r="F548" s="331">
        <v>198.8</v>
      </c>
      <c r="G548" s="328"/>
      <c r="H548" s="160" t="s">
        <v>535</v>
      </c>
      <c r="I548" s="324" t="s">
        <v>1087</v>
      </c>
    </row>
    <row r="549" spans="1:9" ht="11.1" customHeight="1" outlineLevel="1">
      <c r="A549" s="325" t="s">
        <v>1302</v>
      </c>
      <c r="B549" s="325" t="s">
        <v>1885</v>
      </c>
      <c r="C549" s="325" t="s">
        <v>1886</v>
      </c>
      <c r="D549" s="325" t="s">
        <v>1115</v>
      </c>
      <c r="E549" s="326">
        <v>7.0000000000000007E-2</v>
      </c>
      <c r="F549" s="327">
        <v>2341.23</v>
      </c>
      <c r="G549" s="328"/>
      <c r="H549" s="160" t="s">
        <v>535</v>
      </c>
      <c r="I549" s="324" t="s">
        <v>1087</v>
      </c>
    </row>
    <row r="550" spans="1:9" ht="11.1" customHeight="1" outlineLevel="1">
      <c r="A550" s="325" t="s">
        <v>1302</v>
      </c>
      <c r="B550" s="325" t="s">
        <v>1887</v>
      </c>
      <c r="C550" s="325" t="s">
        <v>1888</v>
      </c>
      <c r="D550" s="325" t="s">
        <v>517</v>
      </c>
      <c r="E550" s="326">
        <v>0.03</v>
      </c>
      <c r="F550" s="331">
        <v>906</v>
      </c>
      <c r="G550" s="328"/>
      <c r="H550" s="160" t="s">
        <v>535</v>
      </c>
      <c r="I550" s="324" t="s">
        <v>1087</v>
      </c>
    </row>
    <row r="551" spans="1:9" ht="11.1" customHeight="1" outlineLevel="1">
      <c r="A551" s="325" t="s">
        <v>1302</v>
      </c>
      <c r="B551" s="325" t="s">
        <v>1889</v>
      </c>
      <c r="C551" s="325" t="s">
        <v>1890</v>
      </c>
      <c r="D551" s="325" t="s">
        <v>517</v>
      </c>
      <c r="E551" s="326">
        <v>0.38500000000000001</v>
      </c>
      <c r="F551" s="327">
        <v>12755.69</v>
      </c>
      <c r="G551" s="328"/>
      <c r="H551" s="328" t="s">
        <v>663</v>
      </c>
      <c r="I551" s="324" t="s">
        <v>1087</v>
      </c>
    </row>
    <row r="552" spans="1:9" ht="11.1" customHeight="1" outlineLevel="1">
      <c r="A552" s="325" t="s">
        <v>1302</v>
      </c>
      <c r="B552" s="325" t="s">
        <v>1891</v>
      </c>
      <c r="C552" s="325" t="s">
        <v>1892</v>
      </c>
      <c r="D552" s="325" t="s">
        <v>1519</v>
      </c>
      <c r="E552" s="326">
        <v>8.6999999999999993</v>
      </c>
      <c r="F552" s="327">
        <v>2316.37</v>
      </c>
      <c r="G552" s="328"/>
      <c r="H552" s="328" t="s">
        <v>663</v>
      </c>
      <c r="I552" s="324" t="s">
        <v>1087</v>
      </c>
    </row>
    <row r="553" spans="1:9" ht="11.1" customHeight="1" outlineLevel="1">
      <c r="A553" s="325" t="s">
        <v>1067</v>
      </c>
      <c r="B553" s="325" t="s">
        <v>1893</v>
      </c>
      <c r="C553" s="325" t="s">
        <v>1894</v>
      </c>
      <c r="D553" s="325" t="s">
        <v>20</v>
      </c>
      <c r="E553" s="326">
        <v>21</v>
      </c>
      <c r="F553" s="327">
        <v>6133.7</v>
      </c>
      <c r="G553" s="328"/>
      <c r="H553" s="160" t="s">
        <v>1895</v>
      </c>
      <c r="I553" s="324" t="s">
        <v>1105</v>
      </c>
    </row>
    <row r="554" spans="1:9" ht="11.1" customHeight="1" outlineLevel="1">
      <c r="A554" s="325" t="s">
        <v>1302</v>
      </c>
      <c r="B554" s="325" t="s">
        <v>1893</v>
      </c>
      <c r="C554" s="325" t="s">
        <v>1894</v>
      </c>
      <c r="D554" s="325" t="s">
        <v>20</v>
      </c>
      <c r="E554" s="326">
        <v>0.5</v>
      </c>
      <c r="F554" s="331">
        <v>138.15</v>
      </c>
      <c r="G554" s="328"/>
      <c r="H554" s="160" t="s">
        <v>1895</v>
      </c>
      <c r="I554" s="324" t="s">
        <v>1105</v>
      </c>
    </row>
    <row r="555" spans="1:9" ht="11.1" customHeight="1" outlineLevel="1">
      <c r="A555" s="325" t="s">
        <v>1067</v>
      </c>
      <c r="B555" s="325" t="s">
        <v>1896</v>
      </c>
      <c r="C555" s="325" t="s">
        <v>1897</v>
      </c>
      <c r="D555" s="325" t="s">
        <v>20</v>
      </c>
      <c r="E555" s="326">
        <v>1</v>
      </c>
      <c r="F555" s="331">
        <v>124</v>
      </c>
      <c r="G555" s="328"/>
      <c r="H555" s="160" t="s">
        <v>629</v>
      </c>
      <c r="I555" s="324" t="s">
        <v>1070</v>
      </c>
    </row>
    <row r="556" spans="1:9" ht="11.1" customHeight="1" outlineLevel="1">
      <c r="A556" s="325" t="s">
        <v>1067</v>
      </c>
      <c r="B556" s="325" t="s">
        <v>1898</v>
      </c>
      <c r="C556" s="325" t="s">
        <v>1899</v>
      </c>
      <c r="D556" s="325" t="s">
        <v>20</v>
      </c>
      <c r="E556" s="326">
        <v>66</v>
      </c>
      <c r="F556" s="327">
        <v>22770.080000000002</v>
      </c>
      <c r="G556" s="328"/>
      <c r="H556" s="328" t="s">
        <v>663</v>
      </c>
      <c r="I556" s="324" t="s">
        <v>1070</v>
      </c>
    </row>
    <row r="557" spans="1:9" ht="11.1" customHeight="1" outlineLevel="1">
      <c r="A557" s="325" t="s">
        <v>1302</v>
      </c>
      <c r="B557" s="325" t="s">
        <v>1900</v>
      </c>
      <c r="C557" s="325" t="s">
        <v>1901</v>
      </c>
      <c r="D557" s="325" t="s">
        <v>20</v>
      </c>
      <c r="E557" s="326">
        <v>0.28000000000000003</v>
      </c>
      <c r="F557" s="331">
        <v>157.08000000000001</v>
      </c>
      <c r="G557" s="328"/>
      <c r="H557" s="160" t="s">
        <v>573</v>
      </c>
      <c r="I557" s="324" t="s">
        <v>1070</v>
      </c>
    </row>
    <row r="558" spans="1:9" ht="11.1" customHeight="1" outlineLevel="1">
      <c r="A558" s="325" t="s">
        <v>1302</v>
      </c>
      <c r="B558" s="325" t="s">
        <v>1902</v>
      </c>
      <c r="C558" s="325" t="s">
        <v>1903</v>
      </c>
      <c r="D558" s="325" t="s">
        <v>20</v>
      </c>
      <c r="E558" s="326">
        <v>3</v>
      </c>
      <c r="F558" s="331">
        <v>394.72</v>
      </c>
      <c r="G558" s="328"/>
      <c r="H558" s="160" t="s">
        <v>573</v>
      </c>
      <c r="I558" s="324" t="s">
        <v>1070</v>
      </c>
    </row>
    <row r="559" spans="1:9" ht="11.1" customHeight="1" outlineLevel="1">
      <c r="A559" s="325" t="s">
        <v>1302</v>
      </c>
      <c r="B559" s="325" t="s">
        <v>1904</v>
      </c>
      <c r="C559" s="325" t="s">
        <v>1905</v>
      </c>
      <c r="D559" s="325" t="s">
        <v>295</v>
      </c>
      <c r="E559" s="326">
        <v>112</v>
      </c>
      <c r="F559" s="331">
        <v>682.08</v>
      </c>
      <c r="G559" s="328"/>
      <c r="H559" s="328" t="s">
        <v>1906</v>
      </c>
      <c r="I559" s="324" t="s">
        <v>289</v>
      </c>
    </row>
    <row r="560" spans="1:9" ht="11.1" customHeight="1" outlineLevel="1">
      <c r="A560" s="325" t="s">
        <v>1067</v>
      </c>
      <c r="B560" s="325" t="s">
        <v>1904</v>
      </c>
      <c r="C560" s="325" t="s">
        <v>1905</v>
      </c>
      <c r="D560" s="325" t="s">
        <v>295</v>
      </c>
      <c r="E560" s="326">
        <v>290</v>
      </c>
      <c r="F560" s="327">
        <v>1484.8</v>
      </c>
      <c r="G560" s="328"/>
      <c r="H560" s="328" t="s">
        <v>1906</v>
      </c>
      <c r="I560" s="324" t="s">
        <v>289</v>
      </c>
    </row>
    <row r="561" spans="1:9" ht="11.1" customHeight="1" outlineLevel="1">
      <c r="A561" s="325" t="s">
        <v>1302</v>
      </c>
      <c r="B561" s="325" t="s">
        <v>1907</v>
      </c>
      <c r="C561" s="325" t="s">
        <v>1908</v>
      </c>
      <c r="D561" s="325" t="s">
        <v>295</v>
      </c>
      <c r="E561" s="326">
        <v>464</v>
      </c>
      <c r="F561" s="327">
        <v>4539.6400000000003</v>
      </c>
      <c r="G561" s="328"/>
      <c r="H561" s="328" t="s">
        <v>1906</v>
      </c>
      <c r="I561" s="324" t="s">
        <v>289</v>
      </c>
    </row>
    <row r="562" spans="1:9" ht="11.1" customHeight="1" outlineLevel="1">
      <c r="A562" s="325" t="s">
        <v>1067</v>
      </c>
      <c r="B562" s="325" t="s">
        <v>1907</v>
      </c>
      <c r="C562" s="325" t="s">
        <v>1908</v>
      </c>
      <c r="D562" s="325" t="s">
        <v>295</v>
      </c>
      <c r="E562" s="335">
        <v>1000</v>
      </c>
      <c r="F562" s="327">
        <v>8814.1200000000008</v>
      </c>
      <c r="G562" s="328"/>
      <c r="H562" s="328" t="s">
        <v>1906</v>
      </c>
      <c r="I562" s="324" t="s">
        <v>289</v>
      </c>
    </row>
    <row r="563" spans="1:9" ht="11.1" customHeight="1" outlineLevel="1">
      <c r="A563" s="325" t="s">
        <v>1302</v>
      </c>
      <c r="B563" s="325" t="s">
        <v>1909</v>
      </c>
      <c r="C563" s="325" t="s">
        <v>1910</v>
      </c>
      <c r="D563" s="325" t="s">
        <v>295</v>
      </c>
      <c r="E563" s="326">
        <v>19</v>
      </c>
      <c r="F563" s="331">
        <v>150.47999999999999</v>
      </c>
      <c r="G563" s="328"/>
      <c r="H563" s="328" t="s">
        <v>1906</v>
      </c>
      <c r="I563" s="324" t="s">
        <v>289</v>
      </c>
    </row>
    <row r="564" spans="1:9" ht="11.1" customHeight="1" outlineLevel="1">
      <c r="A564" s="325" t="s">
        <v>1302</v>
      </c>
      <c r="B564" s="325" t="s">
        <v>1911</v>
      </c>
      <c r="C564" s="325" t="s">
        <v>1912</v>
      </c>
      <c r="D564" s="325" t="s">
        <v>1519</v>
      </c>
      <c r="E564" s="326">
        <v>3.4</v>
      </c>
      <c r="F564" s="331">
        <v>64.260000000000005</v>
      </c>
      <c r="G564" s="328"/>
      <c r="H564" s="328" t="s">
        <v>1906</v>
      </c>
      <c r="I564" s="324" t="s">
        <v>1070</v>
      </c>
    </row>
    <row r="565" spans="1:9" ht="11.1" customHeight="1" outlineLevel="1">
      <c r="A565" s="325" t="s">
        <v>1067</v>
      </c>
      <c r="B565" s="325" t="s">
        <v>1913</v>
      </c>
      <c r="C565" s="325" t="s">
        <v>1914</v>
      </c>
      <c r="D565" s="325" t="s">
        <v>20</v>
      </c>
      <c r="E565" s="326">
        <v>3</v>
      </c>
      <c r="F565" s="331">
        <v>159</v>
      </c>
      <c r="G565" s="328"/>
      <c r="H565" s="328" t="s">
        <v>1906</v>
      </c>
      <c r="I565" s="324" t="s">
        <v>1070</v>
      </c>
    </row>
    <row r="566" spans="1:9" ht="11.1" customHeight="1" outlineLevel="1">
      <c r="A566" s="325" t="s">
        <v>1067</v>
      </c>
      <c r="B566" s="325" t="s">
        <v>1915</v>
      </c>
      <c r="C566" s="325" t="s">
        <v>1916</v>
      </c>
      <c r="D566" s="325" t="s">
        <v>20</v>
      </c>
      <c r="E566" s="326">
        <v>1</v>
      </c>
      <c r="F566" s="331">
        <v>35.6</v>
      </c>
      <c r="G566" s="328"/>
      <c r="H566" s="328" t="s">
        <v>1906</v>
      </c>
      <c r="I566" s="324" t="s">
        <v>1070</v>
      </c>
    </row>
    <row r="567" spans="1:9" ht="11.1" customHeight="1" outlineLevel="1">
      <c r="A567" s="325" t="s">
        <v>1067</v>
      </c>
      <c r="B567" s="325" t="s">
        <v>1917</v>
      </c>
      <c r="C567" s="325" t="s">
        <v>1918</v>
      </c>
      <c r="D567" s="325" t="s">
        <v>295</v>
      </c>
      <c r="E567" s="326">
        <v>26</v>
      </c>
      <c r="F567" s="331">
        <v>813.8</v>
      </c>
      <c r="G567" s="328"/>
      <c r="H567" s="328" t="s">
        <v>1906</v>
      </c>
      <c r="I567" s="324" t="s">
        <v>1070</v>
      </c>
    </row>
    <row r="568" spans="1:9" ht="11.1" customHeight="1" outlineLevel="1">
      <c r="A568" s="325" t="s">
        <v>1302</v>
      </c>
      <c r="B568" s="325" t="s">
        <v>1917</v>
      </c>
      <c r="C568" s="325" t="s">
        <v>1918</v>
      </c>
      <c r="D568" s="325" t="s">
        <v>295</v>
      </c>
      <c r="E568" s="326">
        <v>2</v>
      </c>
      <c r="F568" s="331">
        <v>74.400000000000006</v>
      </c>
      <c r="G568" s="328"/>
      <c r="H568" s="328" t="s">
        <v>1906</v>
      </c>
      <c r="I568" s="324" t="s">
        <v>1070</v>
      </c>
    </row>
    <row r="569" spans="1:9" ht="11.1" customHeight="1" outlineLevel="1">
      <c r="A569" s="325" t="s">
        <v>1302</v>
      </c>
      <c r="B569" s="325" t="s">
        <v>1919</v>
      </c>
      <c r="C569" s="325" t="s">
        <v>1920</v>
      </c>
      <c r="D569" s="325" t="s">
        <v>20</v>
      </c>
      <c r="E569" s="326">
        <v>4</v>
      </c>
      <c r="F569" s="331">
        <v>215.65</v>
      </c>
      <c r="G569" s="328"/>
      <c r="H569" s="328" t="s">
        <v>1906</v>
      </c>
      <c r="I569" s="324" t="s">
        <v>1070</v>
      </c>
    </row>
    <row r="570" spans="1:9" ht="11.1" customHeight="1" outlineLevel="1">
      <c r="A570" s="325" t="s">
        <v>1302</v>
      </c>
      <c r="B570" s="325" t="s">
        <v>1921</v>
      </c>
      <c r="C570" s="325" t="s">
        <v>1922</v>
      </c>
      <c r="D570" s="325" t="s">
        <v>20</v>
      </c>
      <c r="E570" s="326">
        <v>45</v>
      </c>
      <c r="F570" s="327">
        <v>1599.61</v>
      </c>
      <c r="G570" s="328"/>
      <c r="H570" s="328" t="s">
        <v>1906</v>
      </c>
      <c r="I570" s="324" t="s">
        <v>1070</v>
      </c>
    </row>
    <row r="571" spans="1:9" ht="11.1" customHeight="1" outlineLevel="1">
      <c r="A571" s="325" t="s">
        <v>1067</v>
      </c>
      <c r="B571" s="325" t="s">
        <v>1923</v>
      </c>
      <c r="C571" s="325" t="s">
        <v>656</v>
      </c>
      <c r="D571" s="325" t="s">
        <v>20</v>
      </c>
      <c r="E571" s="326">
        <v>6</v>
      </c>
      <c r="F571" s="327">
        <v>5860.8</v>
      </c>
      <c r="G571" s="328"/>
      <c r="H571" s="325" t="s">
        <v>656</v>
      </c>
      <c r="I571" s="324" t="s">
        <v>1070</v>
      </c>
    </row>
    <row r="572" spans="1:9" ht="11.1" customHeight="1" outlineLevel="1">
      <c r="A572" s="325" t="s">
        <v>1302</v>
      </c>
      <c r="B572" s="325" t="s">
        <v>1923</v>
      </c>
      <c r="C572" s="325" t="s">
        <v>656</v>
      </c>
      <c r="D572" s="325" t="s">
        <v>20</v>
      </c>
      <c r="E572" s="326">
        <v>6</v>
      </c>
      <c r="F572" s="327">
        <v>5595.57</v>
      </c>
      <c r="G572" s="328"/>
      <c r="H572" s="325" t="s">
        <v>656</v>
      </c>
      <c r="I572" s="324" t="s">
        <v>1070</v>
      </c>
    </row>
    <row r="573" spans="1:9" ht="11.1" customHeight="1" outlineLevel="1">
      <c r="A573" s="325" t="s">
        <v>1302</v>
      </c>
      <c r="B573" s="325" t="s">
        <v>1924</v>
      </c>
      <c r="C573" s="325" t="s">
        <v>1925</v>
      </c>
      <c r="D573" s="325" t="s">
        <v>20</v>
      </c>
      <c r="E573" s="335">
        <v>4760</v>
      </c>
      <c r="F573" s="327">
        <v>2583.16</v>
      </c>
      <c r="G573" s="328"/>
      <c r="H573" s="160" t="s">
        <v>1561</v>
      </c>
      <c r="I573" s="324" t="s">
        <v>1307</v>
      </c>
    </row>
    <row r="574" spans="1:9" ht="11.1" customHeight="1" outlineLevel="1">
      <c r="A574" s="325" t="s">
        <v>1067</v>
      </c>
      <c r="B574" s="325" t="s">
        <v>1926</v>
      </c>
      <c r="C574" s="325" t="s">
        <v>1927</v>
      </c>
      <c r="D574" s="325" t="s">
        <v>20</v>
      </c>
      <c r="E574" s="335">
        <v>6290</v>
      </c>
      <c r="F574" s="327">
        <v>4441.3100000000004</v>
      </c>
      <c r="G574" s="328"/>
      <c r="H574" s="160" t="s">
        <v>1561</v>
      </c>
      <c r="I574" s="324" t="s">
        <v>1307</v>
      </c>
    </row>
    <row r="575" spans="1:9" ht="11.1" customHeight="1" outlineLevel="1">
      <c r="A575" s="325" t="s">
        <v>1302</v>
      </c>
      <c r="B575" s="325" t="s">
        <v>1926</v>
      </c>
      <c r="C575" s="325" t="s">
        <v>1927</v>
      </c>
      <c r="D575" s="325" t="s">
        <v>20</v>
      </c>
      <c r="E575" s="335">
        <v>1845</v>
      </c>
      <c r="F575" s="327">
        <v>1302.74</v>
      </c>
      <c r="G575" s="328"/>
      <c r="H575" s="160" t="s">
        <v>1561</v>
      </c>
      <c r="I575" s="324" t="s">
        <v>1307</v>
      </c>
    </row>
    <row r="576" spans="1:9" ht="11.1" customHeight="1" outlineLevel="1">
      <c r="A576" s="325" t="s">
        <v>1067</v>
      </c>
      <c r="B576" s="325" t="s">
        <v>1928</v>
      </c>
      <c r="C576" s="325" t="s">
        <v>1929</v>
      </c>
      <c r="D576" s="325" t="s">
        <v>20</v>
      </c>
      <c r="E576" s="335">
        <v>3596</v>
      </c>
      <c r="F576" s="327">
        <v>7625.25</v>
      </c>
      <c r="G576" s="328"/>
      <c r="H576" s="160" t="s">
        <v>1561</v>
      </c>
      <c r="I576" s="324" t="s">
        <v>1307</v>
      </c>
    </row>
    <row r="577" spans="1:9" ht="11.1" customHeight="1" outlineLevel="1">
      <c r="A577" s="325" t="s">
        <v>1302</v>
      </c>
      <c r="B577" s="325" t="s">
        <v>1928</v>
      </c>
      <c r="C577" s="325" t="s">
        <v>1929</v>
      </c>
      <c r="D577" s="325" t="s">
        <v>20</v>
      </c>
      <c r="E577" s="335">
        <v>3024</v>
      </c>
      <c r="F577" s="327">
        <v>6412.39</v>
      </c>
      <c r="G577" s="328"/>
      <c r="H577" s="160" t="s">
        <v>1561</v>
      </c>
      <c r="I577" s="324" t="s">
        <v>1307</v>
      </c>
    </row>
    <row r="578" spans="1:9" ht="11.1" customHeight="1" outlineLevel="1">
      <c r="A578" s="325" t="s">
        <v>1302</v>
      </c>
      <c r="B578" s="325" t="s">
        <v>1930</v>
      </c>
      <c r="C578" s="325" t="s">
        <v>1931</v>
      </c>
      <c r="D578" s="325" t="s">
        <v>20</v>
      </c>
      <c r="E578" s="326">
        <v>10</v>
      </c>
      <c r="F578" s="327">
        <v>29673.95</v>
      </c>
      <c r="G578" s="328"/>
      <c r="H578" s="328" t="s">
        <v>1932</v>
      </c>
      <c r="I578" s="324" t="s">
        <v>1070</v>
      </c>
    </row>
    <row r="579" spans="1:9" ht="11.1" customHeight="1" outlineLevel="1">
      <c r="A579" s="325" t="s">
        <v>1067</v>
      </c>
      <c r="B579" s="325" t="s">
        <v>1930</v>
      </c>
      <c r="C579" s="325" t="s">
        <v>1931</v>
      </c>
      <c r="D579" s="325" t="s">
        <v>20</v>
      </c>
      <c r="E579" s="326">
        <v>5</v>
      </c>
      <c r="F579" s="327">
        <v>14517.17</v>
      </c>
      <c r="G579" s="328"/>
      <c r="H579" s="328" t="s">
        <v>1932</v>
      </c>
      <c r="I579" s="324" t="s">
        <v>1070</v>
      </c>
    </row>
    <row r="580" spans="1:9" ht="11.1" customHeight="1" outlineLevel="1">
      <c r="A580" s="325" t="s">
        <v>1067</v>
      </c>
      <c r="B580" s="325" t="s">
        <v>1933</v>
      </c>
      <c r="C580" s="325" t="s">
        <v>1934</v>
      </c>
      <c r="D580" s="325" t="s">
        <v>1305</v>
      </c>
      <c r="E580" s="326">
        <v>0.2</v>
      </c>
      <c r="F580" s="331">
        <v>287</v>
      </c>
      <c r="G580" s="328"/>
      <c r="H580" s="160" t="s">
        <v>1306</v>
      </c>
      <c r="I580" s="324" t="s">
        <v>1307</v>
      </c>
    </row>
    <row r="581" spans="1:9" ht="11.1" customHeight="1" outlineLevel="1">
      <c r="A581" s="325" t="s">
        <v>1067</v>
      </c>
      <c r="B581" s="325" t="s">
        <v>1935</v>
      </c>
      <c r="C581" s="325" t="s">
        <v>1936</v>
      </c>
      <c r="D581" s="325" t="s">
        <v>20</v>
      </c>
      <c r="E581" s="326">
        <v>90</v>
      </c>
      <c r="F581" s="327">
        <v>52128.5</v>
      </c>
      <c r="G581" s="328"/>
      <c r="H581" s="328" t="s">
        <v>1937</v>
      </c>
      <c r="I581" s="324" t="s">
        <v>1070</v>
      </c>
    </row>
    <row r="582" spans="1:9" ht="11.1" customHeight="1" outlineLevel="1">
      <c r="A582" s="325" t="s">
        <v>1302</v>
      </c>
      <c r="B582" s="325" t="s">
        <v>1935</v>
      </c>
      <c r="C582" s="325" t="s">
        <v>1936</v>
      </c>
      <c r="D582" s="325" t="s">
        <v>20</v>
      </c>
      <c r="E582" s="326">
        <v>26</v>
      </c>
      <c r="F582" s="327">
        <v>11832.89</v>
      </c>
      <c r="G582" s="328"/>
      <c r="H582" s="328" t="s">
        <v>1937</v>
      </c>
      <c r="I582" s="324" t="s">
        <v>1070</v>
      </c>
    </row>
    <row r="583" spans="1:9" ht="11.1" customHeight="1" outlineLevel="1">
      <c r="A583" s="325" t="s">
        <v>1302</v>
      </c>
      <c r="B583" s="325" t="s">
        <v>1938</v>
      </c>
      <c r="C583" s="325" t="s">
        <v>1939</v>
      </c>
      <c r="D583" s="325" t="s">
        <v>20</v>
      </c>
      <c r="E583" s="326">
        <v>9</v>
      </c>
      <c r="F583" s="331">
        <v>396</v>
      </c>
      <c r="G583" s="328"/>
      <c r="H583" s="328" t="s">
        <v>1937</v>
      </c>
      <c r="I583" s="324" t="s">
        <v>1105</v>
      </c>
    </row>
    <row r="584" spans="1:9" ht="11.1" customHeight="1" outlineLevel="1">
      <c r="A584" s="325" t="s">
        <v>1302</v>
      </c>
      <c r="B584" s="325" t="s">
        <v>1940</v>
      </c>
      <c r="C584" s="325" t="s">
        <v>1941</v>
      </c>
      <c r="D584" s="325" t="s">
        <v>20</v>
      </c>
      <c r="E584" s="326">
        <v>1</v>
      </c>
      <c r="F584" s="327">
        <v>2778.44</v>
      </c>
      <c r="G584" s="328"/>
      <c r="H584" s="328" t="s">
        <v>1086</v>
      </c>
      <c r="I584" s="324" t="s">
        <v>1307</v>
      </c>
    </row>
    <row r="585" spans="1:9" ht="11.1" customHeight="1" outlineLevel="1">
      <c r="A585" s="325" t="s">
        <v>1067</v>
      </c>
      <c r="B585" s="325" t="s">
        <v>1940</v>
      </c>
      <c r="C585" s="325" t="s">
        <v>1941</v>
      </c>
      <c r="D585" s="325" t="s">
        <v>20</v>
      </c>
      <c r="E585" s="326">
        <v>13</v>
      </c>
      <c r="F585" s="327">
        <v>36118.43</v>
      </c>
      <c r="G585" s="328"/>
      <c r="H585" s="328" t="s">
        <v>1086</v>
      </c>
      <c r="I585" s="324" t="s">
        <v>1307</v>
      </c>
    </row>
    <row r="586" spans="1:9" ht="11.1" customHeight="1" outlineLevel="1">
      <c r="A586" s="325" t="s">
        <v>1067</v>
      </c>
      <c r="B586" s="325" t="s">
        <v>1942</v>
      </c>
      <c r="C586" s="325" t="s">
        <v>1943</v>
      </c>
      <c r="D586" s="325" t="s">
        <v>20</v>
      </c>
      <c r="E586" s="326">
        <v>1</v>
      </c>
      <c r="F586" s="331">
        <v>5.95</v>
      </c>
      <c r="G586" s="328"/>
      <c r="H586" s="328" t="s">
        <v>1147</v>
      </c>
      <c r="I586" s="324" t="s">
        <v>21</v>
      </c>
    </row>
    <row r="587" spans="1:9" ht="11.1" customHeight="1" outlineLevel="1">
      <c r="A587" s="325" t="s">
        <v>1067</v>
      </c>
      <c r="B587" s="325" t="s">
        <v>1944</v>
      </c>
      <c r="C587" s="325" t="s">
        <v>1945</v>
      </c>
      <c r="D587" s="325" t="s">
        <v>20</v>
      </c>
      <c r="E587" s="326">
        <v>1</v>
      </c>
      <c r="F587" s="331">
        <v>175</v>
      </c>
      <c r="G587" s="328"/>
      <c r="H587" s="328" t="s">
        <v>1946</v>
      </c>
      <c r="I587" s="324" t="s">
        <v>1070</v>
      </c>
    </row>
    <row r="588" spans="1:9" ht="11.1" customHeight="1" outlineLevel="1">
      <c r="A588" s="325" t="s">
        <v>1067</v>
      </c>
      <c r="B588" s="325" t="s">
        <v>1947</v>
      </c>
      <c r="C588" s="325" t="s">
        <v>1948</v>
      </c>
      <c r="D588" s="325" t="s">
        <v>20</v>
      </c>
      <c r="E588" s="326">
        <v>13</v>
      </c>
      <c r="F588" s="327">
        <v>182906.67</v>
      </c>
      <c r="G588" s="328"/>
      <c r="H588" s="325" t="s">
        <v>1948</v>
      </c>
      <c r="I588" s="324" t="s">
        <v>1839</v>
      </c>
    </row>
    <row r="589" spans="1:9" ht="11.1" customHeight="1" outlineLevel="1">
      <c r="A589" s="325" t="s">
        <v>1067</v>
      </c>
      <c r="B589" s="325" t="s">
        <v>1949</v>
      </c>
      <c r="C589" s="325" t="s">
        <v>1950</v>
      </c>
      <c r="D589" s="325" t="s">
        <v>1305</v>
      </c>
      <c r="E589" s="326">
        <v>2</v>
      </c>
      <c r="F589" s="331">
        <v>52</v>
      </c>
      <c r="G589" s="328"/>
      <c r="H589" s="328" t="s">
        <v>657</v>
      </c>
      <c r="I589" s="324" t="s">
        <v>1070</v>
      </c>
    </row>
    <row r="590" spans="1:9" ht="11.1" customHeight="1" outlineLevel="1">
      <c r="A590" s="325" t="s">
        <v>1067</v>
      </c>
      <c r="B590" s="325" t="s">
        <v>1951</v>
      </c>
      <c r="C590" s="325" t="s">
        <v>1952</v>
      </c>
      <c r="D590" s="325" t="s">
        <v>20</v>
      </c>
      <c r="E590" s="326">
        <v>63</v>
      </c>
      <c r="F590" s="331">
        <v>157.5</v>
      </c>
      <c r="G590" s="328"/>
      <c r="H590" s="328" t="s">
        <v>657</v>
      </c>
      <c r="I590" s="324" t="s">
        <v>1070</v>
      </c>
    </row>
    <row r="591" spans="1:9" ht="11.1" customHeight="1" outlineLevel="1">
      <c r="A591" s="325" t="s">
        <v>1302</v>
      </c>
      <c r="B591" s="325" t="s">
        <v>1951</v>
      </c>
      <c r="C591" s="325" t="s">
        <v>1952</v>
      </c>
      <c r="D591" s="325" t="s">
        <v>20</v>
      </c>
      <c r="E591" s="326">
        <v>9</v>
      </c>
      <c r="F591" s="331">
        <v>20.92</v>
      </c>
      <c r="G591" s="328"/>
      <c r="H591" s="328" t="s">
        <v>657</v>
      </c>
      <c r="I591" s="324" t="s">
        <v>1070</v>
      </c>
    </row>
    <row r="592" spans="1:9" ht="11.1" customHeight="1" outlineLevel="1">
      <c r="A592" s="325" t="s">
        <v>1302</v>
      </c>
      <c r="B592" s="325" t="s">
        <v>1953</v>
      </c>
      <c r="C592" s="325" t="s">
        <v>1954</v>
      </c>
      <c r="D592" s="325" t="s">
        <v>20</v>
      </c>
      <c r="E592" s="326">
        <v>4</v>
      </c>
      <c r="F592" s="331">
        <v>201.78</v>
      </c>
      <c r="G592" s="328"/>
      <c r="H592" s="328" t="s">
        <v>657</v>
      </c>
      <c r="I592" s="324" t="s">
        <v>1070</v>
      </c>
    </row>
    <row r="593" spans="1:9" ht="11.1" customHeight="1" outlineLevel="1">
      <c r="A593" s="325" t="s">
        <v>1067</v>
      </c>
      <c r="B593" s="325" t="s">
        <v>1955</v>
      </c>
      <c r="C593" s="325" t="s">
        <v>1956</v>
      </c>
      <c r="D593" s="325" t="s">
        <v>20</v>
      </c>
      <c r="E593" s="326">
        <v>4</v>
      </c>
      <c r="F593" s="331">
        <v>84</v>
      </c>
      <c r="G593" s="328"/>
      <c r="H593" s="328" t="s">
        <v>657</v>
      </c>
      <c r="I593" s="324" t="s">
        <v>1070</v>
      </c>
    </row>
    <row r="594" spans="1:9" ht="11.1" customHeight="1" outlineLevel="1">
      <c r="A594" s="325" t="s">
        <v>1302</v>
      </c>
      <c r="B594" s="325" t="s">
        <v>1957</v>
      </c>
      <c r="C594" s="325" t="s">
        <v>1958</v>
      </c>
      <c r="D594" s="325" t="s">
        <v>20</v>
      </c>
      <c r="E594" s="326">
        <v>16</v>
      </c>
      <c r="F594" s="331">
        <v>443.5</v>
      </c>
      <c r="G594" s="328"/>
      <c r="H594" s="328" t="s">
        <v>657</v>
      </c>
      <c r="I594" s="324" t="s">
        <v>1070</v>
      </c>
    </row>
    <row r="595" spans="1:9" ht="11.1" customHeight="1" outlineLevel="1">
      <c r="A595" s="325" t="s">
        <v>1067</v>
      </c>
      <c r="B595" s="325" t="s">
        <v>1959</v>
      </c>
      <c r="C595" s="325" t="s">
        <v>1960</v>
      </c>
      <c r="D595" s="325" t="s">
        <v>20</v>
      </c>
      <c r="E595" s="326">
        <v>5</v>
      </c>
      <c r="F595" s="331">
        <v>548.5</v>
      </c>
      <c r="G595" s="328"/>
      <c r="H595" s="160" t="s">
        <v>1961</v>
      </c>
      <c r="I595" s="324" t="s">
        <v>1070</v>
      </c>
    </row>
    <row r="596" spans="1:9" ht="11.1" customHeight="1" outlineLevel="1">
      <c r="A596" s="325" t="s">
        <v>1302</v>
      </c>
      <c r="B596" s="325" t="s">
        <v>1959</v>
      </c>
      <c r="C596" s="325" t="s">
        <v>1960</v>
      </c>
      <c r="D596" s="325" t="s">
        <v>20</v>
      </c>
      <c r="E596" s="326">
        <v>15</v>
      </c>
      <c r="F596" s="327">
        <v>2304.16</v>
      </c>
      <c r="G596" s="328"/>
      <c r="H596" s="160" t="s">
        <v>1961</v>
      </c>
      <c r="I596" s="324" t="s">
        <v>1070</v>
      </c>
    </row>
    <row r="597" spans="1:9" ht="11.1" customHeight="1" outlineLevel="1">
      <c r="A597" s="325" t="s">
        <v>1067</v>
      </c>
      <c r="B597" s="325" t="s">
        <v>1962</v>
      </c>
      <c r="C597" s="325" t="s">
        <v>1963</v>
      </c>
      <c r="D597" s="325" t="s">
        <v>20</v>
      </c>
      <c r="E597" s="335">
        <v>7880</v>
      </c>
      <c r="F597" s="327">
        <v>4557.74</v>
      </c>
      <c r="G597" s="328"/>
      <c r="H597" s="328" t="s">
        <v>1147</v>
      </c>
      <c r="I597" s="324" t="s">
        <v>21</v>
      </c>
    </row>
    <row r="598" spans="1:9" ht="11.1" customHeight="1" outlineLevel="1">
      <c r="A598" s="325" t="s">
        <v>1302</v>
      </c>
      <c r="B598" s="325" t="s">
        <v>1962</v>
      </c>
      <c r="C598" s="325" t="s">
        <v>1963</v>
      </c>
      <c r="D598" s="325" t="s">
        <v>20</v>
      </c>
      <c r="E598" s="335">
        <v>1516</v>
      </c>
      <c r="F598" s="331">
        <v>873.81</v>
      </c>
      <c r="G598" s="328"/>
      <c r="H598" s="328" t="s">
        <v>1147</v>
      </c>
      <c r="I598" s="324" t="s">
        <v>21</v>
      </c>
    </row>
    <row r="599" spans="1:9" ht="11.1" customHeight="1" outlineLevel="1">
      <c r="A599" s="325" t="s">
        <v>1067</v>
      </c>
      <c r="B599" s="325" t="s">
        <v>1964</v>
      </c>
      <c r="C599" s="325" t="s">
        <v>1965</v>
      </c>
      <c r="D599" s="325" t="s">
        <v>20</v>
      </c>
      <c r="E599" s="326">
        <v>8</v>
      </c>
      <c r="F599" s="327">
        <v>1480</v>
      </c>
      <c r="G599" s="328"/>
      <c r="H599" s="328" t="s">
        <v>1147</v>
      </c>
      <c r="I599" s="324" t="s">
        <v>21</v>
      </c>
    </row>
    <row r="600" spans="1:9" ht="11.1" customHeight="1" outlineLevel="1">
      <c r="A600" s="325" t="s">
        <v>1067</v>
      </c>
      <c r="B600" s="325" t="s">
        <v>1966</v>
      </c>
      <c r="C600" s="325" t="s">
        <v>1967</v>
      </c>
      <c r="D600" s="325" t="s">
        <v>20</v>
      </c>
      <c r="E600" s="326">
        <v>2</v>
      </c>
      <c r="F600" s="331">
        <v>356</v>
      </c>
      <c r="G600" s="328"/>
      <c r="H600" s="328" t="s">
        <v>1147</v>
      </c>
      <c r="I600" s="324" t="s">
        <v>21</v>
      </c>
    </row>
    <row r="601" spans="1:9" ht="11.1" customHeight="1" outlineLevel="1">
      <c r="A601" s="325" t="s">
        <v>1302</v>
      </c>
      <c r="B601" s="325" t="s">
        <v>1966</v>
      </c>
      <c r="C601" s="325" t="s">
        <v>1967</v>
      </c>
      <c r="D601" s="325" t="s">
        <v>20</v>
      </c>
      <c r="E601" s="326">
        <v>0.2</v>
      </c>
      <c r="F601" s="331">
        <v>35.6</v>
      </c>
      <c r="G601" s="328"/>
      <c r="H601" s="328" t="s">
        <v>1147</v>
      </c>
      <c r="I601" s="324" t="s">
        <v>21</v>
      </c>
    </row>
    <row r="602" spans="1:9" ht="11.1" customHeight="1" outlineLevel="1">
      <c r="A602" s="325" t="s">
        <v>1067</v>
      </c>
      <c r="B602" s="325" t="s">
        <v>1968</v>
      </c>
      <c r="C602" s="325" t="s">
        <v>1969</v>
      </c>
      <c r="D602" s="325" t="s">
        <v>20</v>
      </c>
      <c r="E602" s="326">
        <v>20</v>
      </c>
      <c r="F602" s="327">
        <v>3180</v>
      </c>
      <c r="G602" s="328"/>
      <c r="H602" s="336" t="s">
        <v>1464</v>
      </c>
      <c r="I602" s="324" t="s">
        <v>1073</v>
      </c>
    </row>
    <row r="603" spans="1:9" ht="11.1" customHeight="1" outlineLevel="1">
      <c r="A603" s="325" t="s">
        <v>1067</v>
      </c>
      <c r="B603" s="325" t="s">
        <v>1970</v>
      </c>
      <c r="C603" s="325" t="s">
        <v>1971</v>
      </c>
      <c r="D603" s="325" t="s">
        <v>20</v>
      </c>
      <c r="E603" s="326">
        <v>40</v>
      </c>
      <c r="F603" s="327">
        <v>7122.55</v>
      </c>
      <c r="G603" s="328"/>
      <c r="H603" s="336" t="s">
        <v>1464</v>
      </c>
      <c r="I603" s="324" t="s">
        <v>1073</v>
      </c>
    </row>
    <row r="604" spans="1:9" ht="11.1" customHeight="1" outlineLevel="1">
      <c r="A604" s="325" t="s">
        <v>1067</v>
      </c>
      <c r="B604" s="325" t="s">
        <v>1972</v>
      </c>
      <c r="C604" s="325" t="s">
        <v>1973</v>
      </c>
      <c r="D604" s="325" t="s">
        <v>20</v>
      </c>
      <c r="E604" s="326">
        <v>460</v>
      </c>
      <c r="F604" s="331">
        <v>423.2</v>
      </c>
      <c r="G604" s="328"/>
      <c r="H604" s="328" t="s">
        <v>1197</v>
      </c>
      <c r="I604" s="324" t="s">
        <v>1307</v>
      </c>
    </row>
    <row r="605" spans="1:9" ht="11.1" customHeight="1" outlineLevel="1">
      <c r="A605" s="325" t="s">
        <v>1302</v>
      </c>
      <c r="B605" s="325" t="s">
        <v>1972</v>
      </c>
      <c r="C605" s="325" t="s">
        <v>1973</v>
      </c>
      <c r="D605" s="325" t="s">
        <v>20</v>
      </c>
      <c r="E605" s="326">
        <v>180</v>
      </c>
      <c r="F605" s="331">
        <v>165.6</v>
      </c>
      <c r="G605" s="328"/>
      <c r="H605" s="328" t="s">
        <v>1197</v>
      </c>
      <c r="I605" s="324" t="s">
        <v>1307</v>
      </c>
    </row>
    <row r="606" spans="1:9" ht="11.1" customHeight="1" outlineLevel="1">
      <c r="A606" s="325" t="s">
        <v>1302</v>
      </c>
      <c r="B606" s="325" t="s">
        <v>1974</v>
      </c>
      <c r="C606" s="325" t="s">
        <v>1975</v>
      </c>
      <c r="D606" s="325" t="s">
        <v>20</v>
      </c>
      <c r="E606" s="326">
        <v>30</v>
      </c>
      <c r="F606" s="331">
        <v>52.2</v>
      </c>
      <c r="G606" s="328"/>
      <c r="H606" s="328" t="s">
        <v>1197</v>
      </c>
      <c r="I606" s="324" t="s">
        <v>1307</v>
      </c>
    </row>
    <row r="607" spans="1:9" ht="11.1" customHeight="1" outlineLevel="1">
      <c r="A607" s="325" t="s">
        <v>1067</v>
      </c>
      <c r="B607" s="325" t="s">
        <v>1974</v>
      </c>
      <c r="C607" s="325" t="s">
        <v>1975</v>
      </c>
      <c r="D607" s="325" t="s">
        <v>20</v>
      </c>
      <c r="E607" s="326">
        <v>200</v>
      </c>
      <c r="F607" s="331">
        <v>348</v>
      </c>
      <c r="G607" s="328"/>
      <c r="H607" s="328" t="s">
        <v>1197</v>
      </c>
      <c r="I607" s="324" t="s">
        <v>1307</v>
      </c>
    </row>
    <row r="608" spans="1:9" ht="11.1" customHeight="1" outlineLevel="1">
      <c r="A608" s="325" t="s">
        <v>1302</v>
      </c>
      <c r="B608" s="325" t="s">
        <v>1976</v>
      </c>
      <c r="C608" s="325" t="s">
        <v>1977</v>
      </c>
      <c r="D608" s="325" t="s">
        <v>20</v>
      </c>
      <c r="E608" s="326">
        <v>296</v>
      </c>
      <c r="F608" s="331">
        <v>148</v>
      </c>
      <c r="G608" s="328"/>
      <c r="H608" s="328" t="s">
        <v>1197</v>
      </c>
      <c r="I608" s="324" t="s">
        <v>1307</v>
      </c>
    </row>
    <row r="609" spans="1:9" ht="11.1" customHeight="1" outlineLevel="1">
      <c r="A609" s="325" t="s">
        <v>1067</v>
      </c>
      <c r="B609" s="325" t="s">
        <v>1976</v>
      </c>
      <c r="C609" s="325" t="s">
        <v>1977</v>
      </c>
      <c r="D609" s="325" t="s">
        <v>20</v>
      </c>
      <c r="E609" s="335">
        <v>1710</v>
      </c>
      <c r="F609" s="331">
        <v>855</v>
      </c>
      <c r="G609" s="328"/>
      <c r="H609" s="328" t="s">
        <v>1197</v>
      </c>
      <c r="I609" s="324" t="s">
        <v>1307</v>
      </c>
    </row>
    <row r="610" spans="1:9" ht="11.1" customHeight="1" outlineLevel="1">
      <c r="A610" s="325" t="s">
        <v>1302</v>
      </c>
      <c r="B610" s="325" t="s">
        <v>1978</v>
      </c>
      <c r="C610" s="325" t="s">
        <v>1979</v>
      </c>
      <c r="D610" s="325" t="s">
        <v>20</v>
      </c>
      <c r="E610" s="326">
        <v>220</v>
      </c>
      <c r="F610" s="331">
        <v>37.4</v>
      </c>
      <c r="G610" s="328"/>
      <c r="H610" s="328" t="s">
        <v>1197</v>
      </c>
      <c r="I610" s="324" t="s">
        <v>1307</v>
      </c>
    </row>
    <row r="611" spans="1:9" ht="11.1" customHeight="1" outlineLevel="1">
      <c r="A611" s="325" t="s">
        <v>1067</v>
      </c>
      <c r="B611" s="325" t="s">
        <v>1978</v>
      </c>
      <c r="C611" s="325" t="s">
        <v>1979</v>
      </c>
      <c r="D611" s="325" t="s">
        <v>20</v>
      </c>
      <c r="E611" s="335">
        <v>3780</v>
      </c>
      <c r="F611" s="331">
        <v>642.6</v>
      </c>
      <c r="G611" s="328"/>
      <c r="H611" s="328" t="s">
        <v>1197</v>
      </c>
      <c r="I611" s="324" t="s">
        <v>1307</v>
      </c>
    </row>
    <row r="612" spans="1:9" ht="11.1" customHeight="1" outlineLevel="1">
      <c r="A612" s="325" t="s">
        <v>1067</v>
      </c>
      <c r="B612" s="325" t="s">
        <v>1980</v>
      </c>
      <c r="C612" s="325" t="s">
        <v>1981</v>
      </c>
      <c r="D612" s="325" t="s">
        <v>20</v>
      </c>
      <c r="E612" s="326">
        <v>20</v>
      </c>
      <c r="F612" s="331">
        <v>18.399999999999999</v>
      </c>
      <c r="G612" s="328"/>
      <c r="H612" s="328" t="s">
        <v>1197</v>
      </c>
      <c r="I612" s="324" t="s">
        <v>1307</v>
      </c>
    </row>
    <row r="613" spans="1:9" ht="11.1" customHeight="1" outlineLevel="1">
      <c r="A613" s="325" t="s">
        <v>1302</v>
      </c>
      <c r="B613" s="325" t="s">
        <v>1980</v>
      </c>
      <c r="C613" s="325" t="s">
        <v>1981</v>
      </c>
      <c r="D613" s="325" t="s">
        <v>20</v>
      </c>
      <c r="E613" s="326">
        <v>281</v>
      </c>
      <c r="F613" s="331">
        <v>258.52</v>
      </c>
      <c r="G613" s="328"/>
      <c r="H613" s="328" t="s">
        <v>1197</v>
      </c>
      <c r="I613" s="324" t="s">
        <v>1307</v>
      </c>
    </row>
    <row r="614" spans="1:9" ht="11.1" customHeight="1" outlineLevel="1">
      <c r="A614" s="325" t="s">
        <v>1302</v>
      </c>
      <c r="B614" s="325" t="s">
        <v>1982</v>
      </c>
      <c r="C614" s="325" t="s">
        <v>1983</v>
      </c>
      <c r="D614" s="325" t="s">
        <v>20</v>
      </c>
      <c r="E614" s="326">
        <v>40</v>
      </c>
      <c r="F614" s="331">
        <v>144.80000000000001</v>
      </c>
      <c r="G614" s="328"/>
      <c r="H614" s="328" t="s">
        <v>1197</v>
      </c>
      <c r="I614" s="324" t="s">
        <v>1307</v>
      </c>
    </row>
    <row r="615" spans="1:9" ht="11.1" customHeight="1" outlineLevel="1">
      <c r="A615" s="325" t="s">
        <v>1067</v>
      </c>
      <c r="B615" s="325" t="s">
        <v>1984</v>
      </c>
      <c r="C615" s="325" t="s">
        <v>1985</v>
      </c>
      <c r="D615" s="325" t="s">
        <v>20</v>
      </c>
      <c r="E615" s="326">
        <v>10</v>
      </c>
      <c r="F615" s="331">
        <v>5</v>
      </c>
      <c r="G615" s="328"/>
      <c r="H615" s="328" t="s">
        <v>1197</v>
      </c>
      <c r="I615" s="324" t="s">
        <v>1307</v>
      </c>
    </row>
    <row r="616" spans="1:9" ht="11.1" customHeight="1" outlineLevel="1">
      <c r="A616" s="325" t="s">
        <v>1067</v>
      </c>
      <c r="B616" s="325" t="s">
        <v>1986</v>
      </c>
      <c r="C616" s="325" t="s">
        <v>1987</v>
      </c>
      <c r="D616" s="325" t="s">
        <v>20</v>
      </c>
      <c r="E616" s="326">
        <v>28</v>
      </c>
      <c r="F616" s="327">
        <v>156927.42000000001</v>
      </c>
      <c r="G616" s="328"/>
      <c r="H616" s="174" t="s">
        <v>562</v>
      </c>
      <c r="I616" s="324" t="s">
        <v>1839</v>
      </c>
    </row>
    <row r="617" spans="1:9" ht="11.1" customHeight="1" outlineLevel="1">
      <c r="A617" s="325" t="s">
        <v>1067</v>
      </c>
      <c r="B617" s="325" t="s">
        <v>1988</v>
      </c>
      <c r="C617" s="325" t="s">
        <v>1989</v>
      </c>
      <c r="D617" s="325" t="s">
        <v>20</v>
      </c>
      <c r="E617" s="326">
        <v>13</v>
      </c>
      <c r="F617" s="327">
        <v>80950.8</v>
      </c>
      <c r="G617" s="328"/>
      <c r="H617" s="174" t="s">
        <v>562</v>
      </c>
      <c r="I617" s="324" t="s">
        <v>1839</v>
      </c>
    </row>
    <row r="618" spans="1:9" ht="11.1" customHeight="1" outlineLevel="1">
      <c r="A618" s="325" t="s">
        <v>1067</v>
      </c>
      <c r="B618" s="325" t="s">
        <v>1990</v>
      </c>
      <c r="C618" s="325" t="s">
        <v>1991</v>
      </c>
      <c r="D618" s="325" t="s">
        <v>20</v>
      </c>
      <c r="E618" s="326">
        <v>13</v>
      </c>
      <c r="F618" s="331">
        <v>463.33</v>
      </c>
      <c r="G618" s="328"/>
      <c r="H618" s="160" t="s">
        <v>1992</v>
      </c>
      <c r="I618" s="324" t="s">
        <v>289</v>
      </c>
    </row>
    <row r="619" spans="1:9" ht="11.1" customHeight="1" outlineLevel="1">
      <c r="A619" s="325" t="s">
        <v>1302</v>
      </c>
      <c r="B619" s="325" t="s">
        <v>1990</v>
      </c>
      <c r="C619" s="325" t="s">
        <v>1991</v>
      </c>
      <c r="D619" s="325" t="s">
        <v>20</v>
      </c>
      <c r="E619" s="326">
        <v>2</v>
      </c>
      <c r="F619" s="331">
        <v>69.739999999999995</v>
      </c>
      <c r="G619" s="328"/>
      <c r="H619" s="160" t="s">
        <v>1992</v>
      </c>
      <c r="I619" s="324" t="s">
        <v>289</v>
      </c>
    </row>
    <row r="620" spans="1:9" ht="11.1" customHeight="1" outlineLevel="1">
      <c r="A620" s="325" t="s">
        <v>1067</v>
      </c>
      <c r="B620" s="325" t="s">
        <v>1993</v>
      </c>
      <c r="C620" s="325" t="s">
        <v>561</v>
      </c>
      <c r="D620" s="325" t="s">
        <v>295</v>
      </c>
      <c r="E620" s="326">
        <v>2</v>
      </c>
      <c r="F620" s="331">
        <v>456</v>
      </c>
      <c r="G620" s="328"/>
      <c r="H620" s="160" t="s">
        <v>561</v>
      </c>
      <c r="I620" s="324" t="s">
        <v>1070</v>
      </c>
    </row>
    <row r="621" spans="1:9" ht="11.1" customHeight="1" outlineLevel="1">
      <c r="A621" s="325" t="s">
        <v>1302</v>
      </c>
      <c r="B621" s="325" t="s">
        <v>1994</v>
      </c>
      <c r="C621" s="325" t="s">
        <v>1995</v>
      </c>
      <c r="D621" s="325" t="s">
        <v>20</v>
      </c>
      <c r="E621" s="326">
        <v>2</v>
      </c>
      <c r="F621" s="331">
        <v>96</v>
      </c>
      <c r="G621" s="328"/>
      <c r="H621" s="328" t="s">
        <v>591</v>
      </c>
      <c r="I621" s="324" t="s">
        <v>1087</v>
      </c>
    </row>
    <row r="622" spans="1:9" ht="11.1" customHeight="1" outlineLevel="1">
      <c r="A622" s="325" t="s">
        <v>1067</v>
      </c>
      <c r="B622" s="325" t="s">
        <v>1994</v>
      </c>
      <c r="C622" s="325" t="s">
        <v>1995</v>
      </c>
      <c r="D622" s="325" t="s">
        <v>20</v>
      </c>
      <c r="E622" s="326">
        <v>113</v>
      </c>
      <c r="F622" s="327">
        <v>5424</v>
      </c>
      <c r="G622" s="328"/>
      <c r="H622" s="328" t="s">
        <v>591</v>
      </c>
      <c r="I622" s="324" t="s">
        <v>1087</v>
      </c>
    </row>
    <row r="623" spans="1:9" ht="11.1" customHeight="1" outlineLevel="1">
      <c r="A623" s="325" t="s">
        <v>1302</v>
      </c>
      <c r="B623" s="325" t="s">
        <v>1996</v>
      </c>
      <c r="C623" s="325" t="s">
        <v>1997</v>
      </c>
      <c r="D623" s="325" t="s">
        <v>20</v>
      </c>
      <c r="E623" s="326">
        <v>8</v>
      </c>
      <c r="F623" s="331">
        <v>534.88</v>
      </c>
      <c r="G623" s="328"/>
      <c r="H623" s="328" t="s">
        <v>591</v>
      </c>
      <c r="I623" s="324" t="s">
        <v>1087</v>
      </c>
    </row>
    <row r="624" spans="1:9" ht="11.1" customHeight="1" outlineLevel="1">
      <c r="A624" s="325" t="s">
        <v>1067</v>
      </c>
      <c r="B624" s="325" t="s">
        <v>1998</v>
      </c>
      <c r="C624" s="325" t="s">
        <v>1999</v>
      </c>
      <c r="D624" s="325" t="s">
        <v>20</v>
      </c>
      <c r="E624" s="326">
        <v>28</v>
      </c>
      <c r="F624" s="331">
        <v>879.16</v>
      </c>
      <c r="G624" s="328"/>
      <c r="H624" s="328" t="s">
        <v>591</v>
      </c>
      <c r="I624" s="324" t="s">
        <v>1087</v>
      </c>
    </row>
    <row r="625" spans="1:9" ht="11.1" customHeight="1" outlineLevel="1">
      <c r="A625" s="325" t="s">
        <v>1067</v>
      </c>
      <c r="B625" s="325" t="s">
        <v>2000</v>
      </c>
      <c r="C625" s="325" t="s">
        <v>2001</v>
      </c>
      <c r="D625" s="325" t="s">
        <v>20</v>
      </c>
      <c r="E625" s="326">
        <v>796</v>
      </c>
      <c r="F625" s="331">
        <v>207.53</v>
      </c>
      <c r="G625" s="328"/>
      <c r="H625" s="160" t="s">
        <v>1561</v>
      </c>
      <c r="I625" s="324" t="s">
        <v>1105</v>
      </c>
    </row>
    <row r="626" spans="1:9" ht="11.1" customHeight="1" outlineLevel="1">
      <c r="A626" s="325" t="s">
        <v>1302</v>
      </c>
      <c r="B626" s="325" t="s">
        <v>2002</v>
      </c>
      <c r="C626" s="325" t="s">
        <v>2003</v>
      </c>
      <c r="D626" s="325" t="s">
        <v>20</v>
      </c>
      <c r="E626" s="326">
        <v>206</v>
      </c>
      <c r="F626" s="331">
        <v>55.32</v>
      </c>
      <c r="G626" s="328"/>
      <c r="H626" s="160" t="s">
        <v>1561</v>
      </c>
      <c r="I626" s="324" t="s">
        <v>1307</v>
      </c>
    </row>
    <row r="627" spans="1:9" ht="11.1" customHeight="1" outlineLevel="1">
      <c r="A627" s="325" t="s">
        <v>1302</v>
      </c>
      <c r="B627" s="325" t="s">
        <v>2004</v>
      </c>
      <c r="C627" s="325" t="s">
        <v>2005</v>
      </c>
      <c r="D627" s="325" t="s">
        <v>20</v>
      </c>
      <c r="E627" s="335">
        <v>2856</v>
      </c>
      <c r="F627" s="327">
        <v>1259.5</v>
      </c>
      <c r="G627" s="328"/>
      <c r="H627" s="160" t="s">
        <v>1561</v>
      </c>
      <c r="I627" s="324" t="s">
        <v>1307</v>
      </c>
    </row>
    <row r="628" spans="1:9" ht="11.1" customHeight="1" outlineLevel="1">
      <c r="A628" s="325" t="s">
        <v>1067</v>
      </c>
      <c r="B628" s="325" t="s">
        <v>2004</v>
      </c>
      <c r="C628" s="325" t="s">
        <v>2005</v>
      </c>
      <c r="D628" s="325" t="s">
        <v>20</v>
      </c>
      <c r="E628" s="335">
        <v>11884</v>
      </c>
      <c r="F628" s="327">
        <v>5437.65</v>
      </c>
      <c r="G628" s="328"/>
      <c r="H628" s="160" t="s">
        <v>1561</v>
      </c>
      <c r="I628" s="324" t="s">
        <v>1307</v>
      </c>
    </row>
    <row r="629" spans="1:9" ht="11.1" customHeight="1" outlineLevel="1">
      <c r="A629" s="325" t="s">
        <v>1302</v>
      </c>
      <c r="B629" s="325" t="s">
        <v>2006</v>
      </c>
      <c r="C629" s="325" t="s">
        <v>2007</v>
      </c>
      <c r="D629" s="325" t="s">
        <v>20</v>
      </c>
      <c r="E629" s="326">
        <v>361</v>
      </c>
      <c r="F629" s="331">
        <v>87.83</v>
      </c>
      <c r="G629" s="328"/>
      <c r="H629" s="160" t="s">
        <v>1561</v>
      </c>
      <c r="I629" s="324" t="s">
        <v>1307</v>
      </c>
    </row>
    <row r="630" spans="1:9" ht="11.1" customHeight="1" outlineLevel="1">
      <c r="A630" s="325" t="s">
        <v>1067</v>
      </c>
      <c r="B630" s="325" t="s">
        <v>2006</v>
      </c>
      <c r="C630" s="325" t="s">
        <v>2007</v>
      </c>
      <c r="D630" s="325" t="s">
        <v>20</v>
      </c>
      <c r="E630" s="335">
        <v>8140</v>
      </c>
      <c r="F630" s="327">
        <v>1980.37</v>
      </c>
      <c r="G630" s="328"/>
      <c r="H630" s="160" t="s">
        <v>1561</v>
      </c>
      <c r="I630" s="324" t="s">
        <v>1307</v>
      </c>
    </row>
    <row r="631" spans="1:9" ht="11.1" customHeight="1" outlineLevel="1">
      <c r="A631" s="325" t="s">
        <v>1302</v>
      </c>
      <c r="B631" s="325" t="s">
        <v>2008</v>
      </c>
      <c r="C631" s="325" t="s">
        <v>2009</v>
      </c>
      <c r="D631" s="325" t="s">
        <v>14</v>
      </c>
      <c r="E631" s="326">
        <v>4.2999999999999997E-2</v>
      </c>
      <c r="F631" s="331">
        <v>13.25</v>
      </c>
      <c r="G631" s="328"/>
      <c r="H631" s="160" t="s">
        <v>1561</v>
      </c>
      <c r="I631" s="324" t="s">
        <v>1307</v>
      </c>
    </row>
    <row r="632" spans="1:9" ht="11.1" customHeight="1">
      <c r="A632" s="320" t="s">
        <v>2010</v>
      </c>
      <c r="B632" s="320"/>
      <c r="C632" s="320"/>
      <c r="D632" s="320"/>
      <c r="E632" s="321">
        <v>167.404</v>
      </c>
      <c r="F632" s="322">
        <v>53121.56</v>
      </c>
      <c r="G632" s="323"/>
      <c r="H632" s="323"/>
    </row>
    <row r="633" spans="1:9" ht="11.1" customHeight="1" outlineLevel="1">
      <c r="A633" s="325" t="s">
        <v>1133</v>
      </c>
      <c r="B633" s="325" t="s">
        <v>2011</v>
      </c>
      <c r="C633" s="325" t="s">
        <v>2012</v>
      </c>
      <c r="D633" s="325" t="s">
        <v>14</v>
      </c>
      <c r="E633" s="326">
        <v>139</v>
      </c>
      <c r="F633" s="327">
        <v>12393.24</v>
      </c>
      <c r="G633" s="328"/>
      <c r="H633" s="160" t="s">
        <v>605</v>
      </c>
      <c r="I633" s="324" t="s">
        <v>1087</v>
      </c>
    </row>
    <row r="634" spans="1:9" ht="11.1" customHeight="1" outlineLevel="1">
      <c r="A634" s="325" t="s">
        <v>1133</v>
      </c>
      <c r="B634" s="325" t="s">
        <v>2013</v>
      </c>
      <c r="C634" s="325" t="s">
        <v>2014</v>
      </c>
      <c r="D634" s="325" t="s">
        <v>1115</v>
      </c>
      <c r="E634" s="326">
        <v>0.65900000000000003</v>
      </c>
      <c r="F634" s="327">
        <v>18287.39</v>
      </c>
      <c r="G634" s="328"/>
      <c r="H634" s="328" t="s">
        <v>1162</v>
      </c>
      <c r="I634" s="324" t="s">
        <v>1087</v>
      </c>
    </row>
    <row r="635" spans="1:9" ht="11.1" customHeight="1" outlineLevel="1">
      <c r="A635" s="325" t="s">
        <v>1133</v>
      </c>
      <c r="B635" s="325" t="s">
        <v>2015</v>
      </c>
      <c r="C635" s="325" t="s">
        <v>2016</v>
      </c>
      <c r="D635" s="325" t="s">
        <v>1115</v>
      </c>
      <c r="E635" s="326">
        <v>0.745</v>
      </c>
      <c r="F635" s="327">
        <v>20668.11</v>
      </c>
      <c r="G635" s="328"/>
      <c r="H635" s="328" t="s">
        <v>1162</v>
      </c>
      <c r="I635" s="324" t="s">
        <v>1087</v>
      </c>
    </row>
    <row r="636" spans="1:9" ht="11.1" customHeight="1" outlineLevel="1">
      <c r="A636" s="325" t="s">
        <v>1133</v>
      </c>
      <c r="B636" s="325" t="s">
        <v>1205</v>
      </c>
      <c r="C636" s="325" t="s">
        <v>1206</v>
      </c>
      <c r="D636" s="325" t="s">
        <v>261</v>
      </c>
      <c r="E636" s="326">
        <v>27</v>
      </c>
      <c r="F636" s="327">
        <v>1772.82</v>
      </c>
      <c r="G636" s="328"/>
      <c r="H636" s="160" t="s">
        <v>203</v>
      </c>
      <c r="I636" s="324" t="s">
        <v>1087</v>
      </c>
    </row>
    <row r="637" spans="1:9" ht="11.1" customHeight="1">
      <c r="A637" s="320" t="s">
        <v>2017</v>
      </c>
      <c r="B637" s="320"/>
      <c r="C637" s="320"/>
      <c r="D637" s="320"/>
      <c r="E637" s="321">
        <v>5</v>
      </c>
      <c r="F637" s="337">
        <v>178.81</v>
      </c>
      <c r="G637" s="323"/>
      <c r="H637" s="323"/>
    </row>
    <row r="638" spans="1:9" ht="11.1" customHeight="1" outlineLevel="1">
      <c r="A638" s="325" t="s">
        <v>1133</v>
      </c>
      <c r="B638" s="325" t="s">
        <v>1199</v>
      </c>
      <c r="C638" s="325" t="s">
        <v>1200</v>
      </c>
      <c r="D638" s="325" t="s">
        <v>14</v>
      </c>
      <c r="E638" s="326">
        <v>0.5</v>
      </c>
      <c r="F638" s="331">
        <v>29.17</v>
      </c>
      <c r="G638" s="328"/>
      <c r="H638" s="160" t="s">
        <v>1034</v>
      </c>
      <c r="I638" s="324" t="s">
        <v>1087</v>
      </c>
    </row>
    <row r="639" spans="1:9" ht="11.1" customHeight="1" outlineLevel="1">
      <c r="A639" s="325" t="s">
        <v>1152</v>
      </c>
      <c r="B639" s="325" t="s">
        <v>2018</v>
      </c>
      <c r="C639" s="325" t="s">
        <v>2019</v>
      </c>
      <c r="D639" s="325" t="s">
        <v>20</v>
      </c>
      <c r="E639" s="326">
        <v>4</v>
      </c>
      <c r="F639" s="331">
        <v>116.8</v>
      </c>
      <c r="G639" s="328"/>
      <c r="H639" s="328" t="s">
        <v>1147</v>
      </c>
      <c r="I639" s="324" t="s">
        <v>21</v>
      </c>
    </row>
    <row r="640" spans="1:9" ht="11.1" customHeight="1" outlineLevel="1">
      <c r="A640" s="325" t="s">
        <v>1133</v>
      </c>
      <c r="B640" s="325" t="s">
        <v>1205</v>
      </c>
      <c r="C640" s="325" t="s">
        <v>1206</v>
      </c>
      <c r="D640" s="325" t="s">
        <v>261</v>
      </c>
      <c r="E640" s="326">
        <v>0.5</v>
      </c>
      <c r="F640" s="331">
        <v>32.840000000000003</v>
      </c>
      <c r="G640" s="328"/>
      <c r="H640" s="160" t="s">
        <v>203</v>
      </c>
      <c r="I640" s="324" t="s">
        <v>1087</v>
      </c>
    </row>
    <row r="641" spans="1:9" ht="11.1" customHeight="1">
      <c r="A641" s="320" t="s">
        <v>2020</v>
      </c>
      <c r="B641" s="320"/>
      <c r="C641" s="320"/>
      <c r="D641" s="320"/>
      <c r="E641" s="334">
        <v>2227.2689999999998</v>
      </c>
      <c r="F641" s="322">
        <v>180278.78</v>
      </c>
      <c r="G641" s="323"/>
      <c r="H641" s="323"/>
    </row>
    <row r="642" spans="1:9" ht="11.1" customHeight="1" outlineLevel="1">
      <c r="A642" s="325" t="s">
        <v>1133</v>
      </c>
      <c r="B642" s="325" t="s">
        <v>1199</v>
      </c>
      <c r="C642" s="325" t="s">
        <v>1200</v>
      </c>
      <c r="D642" s="325" t="s">
        <v>14</v>
      </c>
      <c r="E642" s="326">
        <v>250</v>
      </c>
      <c r="F642" s="327">
        <v>14585</v>
      </c>
      <c r="G642" s="328"/>
      <c r="H642" s="160" t="s">
        <v>1034</v>
      </c>
      <c r="I642" s="324" t="s">
        <v>1087</v>
      </c>
    </row>
    <row r="643" spans="1:9" ht="11.1" customHeight="1" outlineLevel="1">
      <c r="A643" s="325" t="s">
        <v>1133</v>
      </c>
      <c r="B643" s="325" t="s">
        <v>1199</v>
      </c>
      <c r="C643" s="325" t="s">
        <v>1200</v>
      </c>
      <c r="D643" s="325" t="s">
        <v>14</v>
      </c>
      <c r="E643" s="326">
        <v>47.704000000000001</v>
      </c>
      <c r="F643" s="327">
        <v>2783.05</v>
      </c>
      <c r="G643" s="328"/>
      <c r="H643" s="160" t="s">
        <v>1034</v>
      </c>
      <c r="I643" s="324" t="s">
        <v>1087</v>
      </c>
    </row>
    <row r="644" spans="1:9" ht="11.1" customHeight="1" outlineLevel="1">
      <c r="A644" s="325" t="s">
        <v>1133</v>
      </c>
      <c r="B644" s="325" t="s">
        <v>1199</v>
      </c>
      <c r="C644" s="325" t="s">
        <v>1200</v>
      </c>
      <c r="D644" s="325" t="s">
        <v>14</v>
      </c>
      <c r="E644" s="326">
        <v>150</v>
      </c>
      <c r="F644" s="327">
        <v>8751</v>
      </c>
      <c r="G644" s="328"/>
      <c r="H644" s="160" t="s">
        <v>1034</v>
      </c>
      <c r="I644" s="324" t="s">
        <v>1087</v>
      </c>
    </row>
    <row r="645" spans="1:9" ht="11.1" customHeight="1" outlineLevel="1">
      <c r="A645" s="325" t="s">
        <v>1133</v>
      </c>
      <c r="B645" s="325" t="s">
        <v>1199</v>
      </c>
      <c r="C645" s="325" t="s">
        <v>1200</v>
      </c>
      <c r="D645" s="325" t="s">
        <v>14</v>
      </c>
      <c r="E645" s="326">
        <v>250</v>
      </c>
      <c r="F645" s="327">
        <v>14585</v>
      </c>
      <c r="G645" s="328"/>
      <c r="H645" s="160" t="s">
        <v>1034</v>
      </c>
      <c r="I645" s="324" t="s">
        <v>1087</v>
      </c>
    </row>
    <row r="646" spans="1:9" ht="11.1" customHeight="1" outlineLevel="1">
      <c r="A646" s="325" t="s">
        <v>1133</v>
      </c>
      <c r="B646" s="325" t="s">
        <v>1199</v>
      </c>
      <c r="C646" s="325" t="s">
        <v>1200</v>
      </c>
      <c r="D646" s="325" t="s">
        <v>14</v>
      </c>
      <c r="E646" s="326">
        <v>200</v>
      </c>
      <c r="F646" s="327">
        <v>11668</v>
      </c>
      <c r="G646" s="328"/>
      <c r="H646" s="160" t="s">
        <v>1034</v>
      </c>
      <c r="I646" s="324" t="s">
        <v>1087</v>
      </c>
    </row>
    <row r="647" spans="1:9" ht="11.1" customHeight="1" outlineLevel="1">
      <c r="A647" s="325" t="s">
        <v>1133</v>
      </c>
      <c r="B647" s="325" t="s">
        <v>1199</v>
      </c>
      <c r="C647" s="325" t="s">
        <v>1200</v>
      </c>
      <c r="D647" s="325" t="s">
        <v>14</v>
      </c>
      <c r="E647" s="326">
        <v>300</v>
      </c>
      <c r="F647" s="327">
        <v>17502</v>
      </c>
      <c r="G647" s="328"/>
      <c r="H647" s="160" t="s">
        <v>1034</v>
      </c>
      <c r="I647" s="324" t="s">
        <v>1087</v>
      </c>
    </row>
    <row r="648" spans="1:9" ht="11.1" customHeight="1" outlineLevel="1">
      <c r="A648" s="325" t="s">
        <v>1133</v>
      </c>
      <c r="B648" s="325" t="s">
        <v>1199</v>
      </c>
      <c r="C648" s="325" t="s">
        <v>1200</v>
      </c>
      <c r="D648" s="325" t="s">
        <v>14</v>
      </c>
      <c r="E648" s="326">
        <v>65.5</v>
      </c>
      <c r="F648" s="327">
        <v>3821.27</v>
      </c>
      <c r="G648" s="328"/>
      <c r="H648" s="160" t="s">
        <v>1034</v>
      </c>
      <c r="I648" s="324" t="s">
        <v>1087</v>
      </c>
    </row>
    <row r="649" spans="1:9" ht="11.1" customHeight="1" outlineLevel="1">
      <c r="A649" s="325" t="s">
        <v>1133</v>
      </c>
      <c r="B649" s="325" t="s">
        <v>1199</v>
      </c>
      <c r="C649" s="325" t="s">
        <v>1200</v>
      </c>
      <c r="D649" s="325" t="s">
        <v>14</v>
      </c>
      <c r="E649" s="326">
        <v>250</v>
      </c>
      <c r="F649" s="327">
        <v>14585</v>
      </c>
      <c r="G649" s="328"/>
      <c r="H649" s="160" t="s">
        <v>1034</v>
      </c>
      <c r="I649" s="324" t="s">
        <v>1087</v>
      </c>
    </row>
    <row r="650" spans="1:9" ht="11.1" customHeight="1" outlineLevel="1">
      <c r="A650" s="325" t="s">
        <v>1133</v>
      </c>
      <c r="B650" s="325" t="s">
        <v>1199</v>
      </c>
      <c r="C650" s="325" t="s">
        <v>1200</v>
      </c>
      <c r="D650" s="325" t="s">
        <v>14</v>
      </c>
      <c r="E650" s="326">
        <v>250</v>
      </c>
      <c r="F650" s="327">
        <v>14585</v>
      </c>
      <c r="G650" s="328"/>
      <c r="H650" s="160" t="s">
        <v>1034</v>
      </c>
      <c r="I650" s="324" t="s">
        <v>1087</v>
      </c>
    </row>
    <row r="651" spans="1:9" ht="11.1" customHeight="1" outlineLevel="1">
      <c r="A651" s="325" t="s">
        <v>1133</v>
      </c>
      <c r="B651" s="325" t="s">
        <v>2021</v>
      </c>
      <c r="C651" s="325" t="s">
        <v>2022</v>
      </c>
      <c r="D651" s="325" t="s">
        <v>20</v>
      </c>
      <c r="E651" s="326">
        <v>43</v>
      </c>
      <c r="F651" s="327">
        <v>9064.4</v>
      </c>
      <c r="G651" s="328"/>
      <c r="H651" s="160" t="s">
        <v>1034</v>
      </c>
      <c r="I651" s="324" t="s">
        <v>1087</v>
      </c>
    </row>
    <row r="652" spans="1:9" ht="11.1" customHeight="1" outlineLevel="1">
      <c r="A652" s="325" t="s">
        <v>1152</v>
      </c>
      <c r="B652" s="325" t="s">
        <v>2023</v>
      </c>
      <c r="C652" s="325" t="s">
        <v>2024</v>
      </c>
      <c r="D652" s="325" t="s">
        <v>20</v>
      </c>
      <c r="E652" s="326">
        <v>1</v>
      </c>
      <c r="F652" s="331">
        <v>23.05</v>
      </c>
      <c r="G652" s="328"/>
      <c r="H652" s="328" t="s">
        <v>1147</v>
      </c>
      <c r="I652" s="324" t="s">
        <v>21</v>
      </c>
    </row>
    <row r="653" spans="1:9" ht="11.1" customHeight="1" outlineLevel="1">
      <c r="A653" s="325" t="s">
        <v>1152</v>
      </c>
      <c r="B653" s="325" t="s">
        <v>1237</v>
      </c>
      <c r="C653" s="325" t="s">
        <v>1235</v>
      </c>
      <c r="D653" s="325" t="s">
        <v>14</v>
      </c>
      <c r="E653" s="326">
        <v>1</v>
      </c>
      <c r="F653" s="331">
        <v>94.34</v>
      </c>
      <c r="G653" s="328"/>
      <c r="H653" s="160" t="s">
        <v>1236</v>
      </c>
      <c r="I653" s="324" t="s">
        <v>21</v>
      </c>
    </row>
    <row r="654" spans="1:9" ht="11.1" customHeight="1" outlineLevel="1">
      <c r="A654" s="325" t="s">
        <v>1152</v>
      </c>
      <c r="B654" s="325" t="s">
        <v>2025</v>
      </c>
      <c r="C654" s="325" t="s">
        <v>2026</v>
      </c>
      <c r="D654" s="325" t="s">
        <v>14</v>
      </c>
      <c r="E654" s="326">
        <v>3.149</v>
      </c>
      <c r="F654" s="331">
        <v>991.94</v>
      </c>
      <c r="G654" s="328"/>
      <c r="H654" s="328" t="s">
        <v>1147</v>
      </c>
      <c r="I654" s="324" t="s">
        <v>21</v>
      </c>
    </row>
    <row r="655" spans="1:9" ht="11.1" customHeight="1" outlineLevel="1">
      <c r="A655" s="325" t="s">
        <v>1152</v>
      </c>
      <c r="B655" s="325" t="s">
        <v>2027</v>
      </c>
      <c r="C655" s="325" t="s">
        <v>2028</v>
      </c>
      <c r="D655" s="325" t="s">
        <v>20</v>
      </c>
      <c r="E655" s="326">
        <v>4.2169999999999996</v>
      </c>
      <c r="F655" s="327">
        <v>1051.72</v>
      </c>
      <c r="G655" s="328"/>
      <c r="H655" s="328" t="s">
        <v>1147</v>
      </c>
      <c r="I655" s="324" t="s">
        <v>21</v>
      </c>
    </row>
    <row r="656" spans="1:9" ht="11.1" customHeight="1" outlineLevel="1">
      <c r="A656" s="325" t="s">
        <v>1152</v>
      </c>
      <c r="B656" s="325" t="s">
        <v>1252</v>
      </c>
      <c r="C656" s="325" t="s">
        <v>1253</v>
      </c>
      <c r="D656" s="325" t="s">
        <v>20</v>
      </c>
      <c r="E656" s="326">
        <v>2</v>
      </c>
      <c r="F656" s="327">
        <v>1150</v>
      </c>
      <c r="G656" s="328"/>
      <c r="H656" s="328" t="s">
        <v>1147</v>
      </c>
      <c r="I656" s="324" t="s">
        <v>21</v>
      </c>
    </row>
    <row r="657" spans="1:9" ht="11.1" customHeight="1" outlineLevel="1">
      <c r="A657" s="325" t="s">
        <v>1152</v>
      </c>
      <c r="B657" s="325" t="s">
        <v>1264</v>
      </c>
      <c r="C657" s="325" t="s">
        <v>1265</v>
      </c>
      <c r="D657" s="325" t="s">
        <v>20</v>
      </c>
      <c r="E657" s="326">
        <v>1</v>
      </c>
      <c r="F657" s="331">
        <v>41.67</v>
      </c>
      <c r="G657" s="328"/>
      <c r="H657" s="160" t="s">
        <v>1159</v>
      </c>
      <c r="I657" s="324" t="s">
        <v>21</v>
      </c>
    </row>
    <row r="658" spans="1:9" ht="11.1" customHeight="1" outlineLevel="1">
      <c r="A658" s="325" t="s">
        <v>1152</v>
      </c>
      <c r="B658" s="325" t="s">
        <v>1268</v>
      </c>
      <c r="C658" s="325" t="s">
        <v>1269</v>
      </c>
      <c r="D658" s="325" t="s">
        <v>20</v>
      </c>
      <c r="E658" s="326">
        <v>1</v>
      </c>
      <c r="F658" s="331">
        <v>42.43</v>
      </c>
      <c r="G658" s="328"/>
      <c r="H658" s="328" t="s">
        <v>1147</v>
      </c>
      <c r="I658" s="324" t="s">
        <v>21</v>
      </c>
    </row>
    <row r="659" spans="1:9" ht="11.1" customHeight="1" outlineLevel="1">
      <c r="A659" s="325" t="s">
        <v>1133</v>
      </c>
      <c r="B659" s="325" t="s">
        <v>2029</v>
      </c>
      <c r="C659" s="325" t="s">
        <v>2030</v>
      </c>
      <c r="D659" s="325" t="s">
        <v>1115</v>
      </c>
      <c r="E659" s="326">
        <v>3.3000000000000002E-2</v>
      </c>
      <c r="F659" s="327">
        <v>1010.61</v>
      </c>
      <c r="G659" s="328"/>
      <c r="H659" s="328" t="s">
        <v>1162</v>
      </c>
      <c r="I659" s="324" t="s">
        <v>1087</v>
      </c>
    </row>
    <row r="660" spans="1:9" ht="11.1" customHeight="1" outlineLevel="1">
      <c r="A660" s="325" t="s">
        <v>1152</v>
      </c>
      <c r="B660" s="325" t="s">
        <v>1205</v>
      </c>
      <c r="C660" s="325" t="s">
        <v>1206</v>
      </c>
      <c r="D660" s="325" t="s">
        <v>261</v>
      </c>
      <c r="E660" s="326">
        <v>53</v>
      </c>
      <c r="F660" s="327">
        <v>3480.51</v>
      </c>
      <c r="G660" s="328"/>
      <c r="H660" s="160" t="s">
        <v>203</v>
      </c>
      <c r="I660" s="324" t="s">
        <v>1087</v>
      </c>
    </row>
    <row r="661" spans="1:9" ht="11.1" customHeight="1" outlineLevel="1">
      <c r="A661" s="325" t="s">
        <v>1133</v>
      </c>
      <c r="B661" s="325" t="s">
        <v>1205</v>
      </c>
      <c r="C661" s="325" t="s">
        <v>1206</v>
      </c>
      <c r="D661" s="325" t="s">
        <v>261</v>
      </c>
      <c r="E661" s="326">
        <v>40</v>
      </c>
      <c r="F661" s="327">
        <v>2626.8</v>
      </c>
      <c r="G661" s="328"/>
      <c r="H661" s="160" t="s">
        <v>203</v>
      </c>
      <c r="I661" s="324" t="s">
        <v>1087</v>
      </c>
    </row>
    <row r="662" spans="1:9" ht="11.1" customHeight="1" outlineLevel="1">
      <c r="A662" s="325" t="s">
        <v>1133</v>
      </c>
      <c r="B662" s="325" t="s">
        <v>1205</v>
      </c>
      <c r="C662" s="325" t="s">
        <v>1206</v>
      </c>
      <c r="D662" s="325" t="s">
        <v>261</v>
      </c>
      <c r="E662" s="326">
        <v>5</v>
      </c>
      <c r="F662" s="331">
        <v>328.35</v>
      </c>
      <c r="G662" s="328"/>
      <c r="H662" s="160" t="s">
        <v>203</v>
      </c>
      <c r="I662" s="324" t="s">
        <v>1087</v>
      </c>
    </row>
    <row r="663" spans="1:9" ht="11.1" customHeight="1" outlineLevel="1">
      <c r="A663" s="325" t="s">
        <v>1133</v>
      </c>
      <c r="B663" s="325" t="s">
        <v>1205</v>
      </c>
      <c r="C663" s="325" t="s">
        <v>1206</v>
      </c>
      <c r="D663" s="325" t="s">
        <v>261</v>
      </c>
      <c r="E663" s="326">
        <v>50</v>
      </c>
      <c r="F663" s="327">
        <v>3283.5</v>
      </c>
      <c r="G663" s="328"/>
      <c r="H663" s="160" t="s">
        <v>203</v>
      </c>
      <c r="I663" s="324" t="s">
        <v>1087</v>
      </c>
    </row>
    <row r="664" spans="1:9" ht="11.1" customHeight="1" outlineLevel="1">
      <c r="A664" s="325" t="s">
        <v>1133</v>
      </c>
      <c r="B664" s="325" t="s">
        <v>1205</v>
      </c>
      <c r="C664" s="325" t="s">
        <v>1206</v>
      </c>
      <c r="D664" s="325" t="s">
        <v>261</v>
      </c>
      <c r="E664" s="326">
        <v>50</v>
      </c>
      <c r="F664" s="327">
        <v>3283.5</v>
      </c>
      <c r="G664" s="328"/>
      <c r="H664" s="160" t="s">
        <v>203</v>
      </c>
      <c r="I664" s="324" t="s">
        <v>1087</v>
      </c>
    </row>
    <row r="665" spans="1:9" ht="11.1" customHeight="1" outlineLevel="1">
      <c r="A665" s="325" t="s">
        <v>1133</v>
      </c>
      <c r="B665" s="325" t="s">
        <v>1205</v>
      </c>
      <c r="C665" s="325" t="s">
        <v>1206</v>
      </c>
      <c r="D665" s="325" t="s">
        <v>261</v>
      </c>
      <c r="E665" s="326">
        <v>30</v>
      </c>
      <c r="F665" s="327">
        <v>2220.3000000000002</v>
      </c>
      <c r="G665" s="328"/>
      <c r="H665" s="160" t="s">
        <v>203</v>
      </c>
      <c r="I665" s="324" t="s">
        <v>1087</v>
      </c>
    </row>
    <row r="666" spans="1:9" ht="11.1" customHeight="1" outlineLevel="1">
      <c r="A666" s="325" t="s">
        <v>1133</v>
      </c>
      <c r="B666" s="325" t="s">
        <v>1205</v>
      </c>
      <c r="C666" s="325" t="s">
        <v>1206</v>
      </c>
      <c r="D666" s="325" t="s">
        <v>261</v>
      </c>
      <c r="E666" s="326">
        <v>60</v>
      </c>
      <c r="F666" s="327">
        <v>3940.2</v>
      </c>
      <c r="G666" s="328"/>
      <c r="H666" s="160" t="s">
        <v>203</v>
      </c>
      <c r="I666" s="324" t="s">
        <v>1087</v>
      </c>
    </row>
    <row r="667" spans="1:9" ht="11.1" customHeight="1" outlineLevel="1">
      <c r="A667" s="325" t="s">
        <v>1133</v>
      </c>
      <c r="B667" s="325" t="s">
        <v>1205</v>
      </c>
      <c r="C667" s="325" t="s">
        <v>1206</v>
      </c>
      <c r="D667" s="325" t="s">
        <v>261</v>
      </c>
      <c r="E667" s="328"/>
      <c r="F667" s="331">
        <v>-32.840000000000003</v>
      </c>
      <c r="G667" s="328"/>
      <c r="H667" s="160" t="s">
        <v>203</v>
      </c>
      <c r="I667" s="324" t="s">
        <v>1087</v>
      </c>
    </row>
    <row r="668" spans="1:9" ht="11.1" customHeight="1" outlineLevel="1">
      <c r="A668" s="325" t="s">
        <v>1133</v>
      </c>
      <c r="B668" s="325" t="s">
        <v>1205</v>
      </c>
      <c r="C668" s="325" t="s">
        <v>1206</v>
      </c>
      <c r="D668" s="325" t="s">
        <v>261</v>
      </c>
      <c r="E668" s="326">
        <v>49.118000000000002</v>
      </c>
      <c r="F668" s="327">
        <v>3370.05</v>
      </c>
      <c r="G668" s="328"/>
      <c r="H668" s="160" t="s">
        <v>203</v>
      </c>
      <c r="I668" s="324" t="s">
        <v>1087</v>
      </c>
    </row>
    <row r="669" spans="1:9" ht="11.1" customHeight="1" outlineLevel="1">
      <c r="A669" s="325" t="s">
        <v>1133</v>
      </c>
      <c r="B669" s="325" t="s">
        <v>1205</v>
      </c>
      <c r="C669" s="325" t="s">
        <v>1206</v>
      </c>
      <c r="D669" s="325" t="s">
        <v>261</v>
      </c>
      <c r="E669" s="328"/>
      <c r="F669" s="331">
        <v>-117.3</v>
      </c>
      <c r="G669" s="328"/>
      <c r="H669" s="160" t="s">
        <v>203</v>
      </c>
      <c r="I669" s="324" t="s">
        <v>1087</v>
      </c>
    </row>
    <row r="670" spans="1:9" ht="11.1" customHeight="1" outlineLevel="1">
      <c r="A670" s="325" t="s">
        <v>1152</v>
      </c>
      <c r="B670" s="325" t="s">
        <v>1290</v>
      </c>
      <c r="C670" s="325" t="s">
        <v>1291</v>
      </c>
      <c r="D670" s="325" t="s">
        <v>20</v>
      </c>
      <c r="E670" s="326">
        <v>1</v>
      </c>
      <c r="F670" s="331">
        <v>390</v>
      </c>
      <c r="G670" s="328"/>
      <c r="H670" s="328" t="s">
        <v>1147</v>
      </c>
      <c r="I670" s="324" t="s">
        <v>21</v>
      </c>
    </row>
    <row r="671" spans="1:9" ht="11.1" customHeight="1" outlineLevel="1">
      <c r="A671" s="325" t="s">
        <v>1152</v>
      </c>
      <c r="B671" s="325" t="s">
        <v>2031</v>
      </c>
      <c r="C671" s="325" t="s">
        <v>2032</v>
      </c>
      <c r="D671" s="325" t="s">
        <v>20</v>
      </c>
      <c r="E671" s="326">
        <v>1</v>
      </c>
      <c r="F671" s="331">
        <v>109</v>
      </c>
      <c r="G671" s="328"/>
      <c r="H671" s="328" t="s">
        <v>1147</v>
      </c>
      <c r="I671" s="324" t="s">
        <v>21</v>
      </c>
    </row>
    <row r="672" spans="1:9" ht="11.1" customHeight="1" outlineLevel="1">
      <c r="A672" s="325" t="s">
        <v>1152</v>
      </c>
      <c r="B672" s="325" t="s">
        <v>2031</v>
      </c>
      <c r="C672" s="325" t="s">
        <v>2032</v>
      </c>
      <c r="D672" s="325" t="s">
        <v>20</v>
      </c>
      <c r="E672" s="326">
        <v>1</v>
      </c>
      <c r="F672" s="331">
        <v>610</v>
      </c>
      <c r="G672" s="328"/>
      <c r="H672" s="328" t="s">
        <v>1147</v>
      </c>
      <c r="I672" s="324" t="s">
        <v>21</v>
      </c>
    </row>
    <row r="673" spans="1:9" ht="11.1" customHeight="1" outlineLevel="1">
      <c r="A673" s="325" t="s">
        <v>1152</v>
      </c>
      <c r="B673" s="325" t="s">
        <v>2033</v>
      </c>
      <c r="C673" s="325" t="s">
        <v>2034</v>
      </c>
      <c r="D673" s="325" t="s">
        <v>20</v>
      </c>
      <c r="E673" s="326">
        <v>3</v>
      </c>
      <c r="F673" s="331">
        <v>327</v>
      </c>
      <c r="G673" s="328"/>
      <c r="H673" s="328" t="s">
        <v>1147</v>
      </c>
      <c r="I673" s="324" t="s">
        <v>21</v>
      </c>
    </row>
    <row r="674" spans="1:9" ht="11.1" customHeight="1" outlineLevel="1">
      <c r="A674" s="325" t="s">
        <v>1152</v>
      </c>
      <c r="B674" s="325" t="s">
        <v>2035</v>
      </c>
      <c r="C674" s="325" t="s">
        <v>2036</v>
      </c>
      <c r="D674" s="325" t="s">
        <v>20</v>
      </c>
      <c r="E674" s="326">
        <v>1</v>
      </c>
      <c r="F674" s="331">
        <v>339.3</v>
      </c>
      <c r="G674" s="328"/>
      <c r="H674" s="328" t="s">
        <v>1147</v>
      </c>
      <c r="I674" s="324" t="s">
        <v>21</v>
      </c>
    </row>
    <row r="675" spans="1:9" ht="11.1" customHeight="1" outlineLevel="1">
      <c r="A675" s="325" t="s">
        <v>1152</v>
      </c>
      <c r="B675" s="325" t="s">
        <v>2037</v>
      </c>
      <c r="C675" s="325" t="s">
        <v>2038</v>
      </c>
      <c r="D675" s="325" t="s">
        <v>20</v>
      </c>
      <c r="E675" s="326">
        <v>3</v>
      </c>
      <c r="F675" s="331">
        <v>939.99</v>
      </c>
      <c r="G675" s="328"/>
      <c r="H675" s="328" t="s">
        <v>1147</v>
      </c>
      <c r="I675" s="324" t="s">
        <v>21</v>
      </c>
    </row>
    <row r="676" spans="1:9" ht="11.1" customHeight="1" outlineLevel="1">
      <c r="A676" s="325" t="s">
        <v>1152</v>
      </c>
      <c r="B676" s="325" t="s">
        <v>2039</v>
      </c>
      <c r="C676" s="325" t="s">
        <v>2040</v>
      </c>
      <c r="D676" s="325" t="s">
        <v>1305</v>
      </c>
      <c r="E676" s="326">
        <v>1</v>
      </c>
      <c r="F676" s="331">
        <v>248.33</v>
      </c>
      <c r="G676" s="328"/>
      <c r="H676" s="328" t="s">
        <v>1147</v>
      </c>
      <c r="I676" s="324" t="s">
        <v>21</v>
      </c>
    </row>
    <row r="677" spans="1:9" ht="11.1" customHeight="1" outlineLevel="1">
      <c r="A677" s="325" t="s">
        <v>1152</v>
      </c>
      <c r="B677" s="325" t="s">
        <v>2039</v>
      </c>
      <c r="C677" s="325" t="s">
        <v>2040</v>
      </c>
      <c r="D677" s="325" t="s">
        <v>1305</v>
      </c>
      <c r="E677" s="326">
        <v>1</v>
      </c>
      <c r="F677" s="331">
        <v>36.33</v>
      </c>
      <c r="G677" s="328"/>
      <c r="H677" s="328" t="s">
        <v>1147</v>
      </c>
      <c r="I677" s="324" t="s">
        <v>21</v>
      </c>
    </row>
    <row r="678" spans="1:9" ht="11.1" customHeight="1" outlineLevel="1">
      <c r="A678" s="325" t="s">
        <v>1152</v>
      </c>
      <c r="B678" s="325" t="s">
        <v>2041</v>
      </c>
      <c r="C678" s="325" t="s">
        <v>2042</v>
      </c>
      <c r="D678" s="325" t="s">
        <v>20</v>
      </c>
      <c r="E678" s="326">
        <v>2</v>
      </c>
      <c r="F678" s="331">
        <v>350</v>
      </c>
      <c r="G678" s="328"/>
      <c r="H678" s="328" t="s">
        <v>1147</v>
      </c>
      <c r="I678" s="324" t="s">
        <v>21</v>
      </c>
    </row>
    <row r="679" spans="1:9" ht="11.1" customHeight="1" outlineLevel="1">
      <c r="A679" s="325" t="s">
        <v>1152</v>
      </c>
      <c r="B679" s="325" t="s">
        <v>2043</v>
      </c>
      <c r="C679" s="325" t="s">
        <v>2044</v>
      </c>
      <c r="D679" s="325" t="s">
        <v>725</v>
      </c>
      <c r="E679" s="326">
        <v>0.88</v>
      </c>
      <c r="F679" s="331">
        <v>736.27</v>
      </c>
      <c r="G679" s="328"/>
      <c r="H679" s="328" t="s">
        <v>1147</v>
      </c>
      <c r="I679" s="324" t="s">
        <v>21</v>
      </c>
    </row>
    <row r="680" spans="1:9" ht="11.1" customHeight="1" outlineLevel="1">
      <c r="A680" s="325" t="s">
        <v>1152</v>
      </c>
      <c r="B680" s="325" t="s">
        <v>1207</v>
      </c>
      <c r="C680" s="325" t="s">
        <v>1208</v>
      </c>
      <c r="D680" s="325" t="s">
        <v>725</v>
      </c>
      <c r="E680" s="326">
        <v>0.218</v>
      </c>
      <c r="F680" s="331">
        <v>313.19</v>
      </c>
      <c r="G680" s="328"/>
      <c r="H680" s="328" t="s">
        <v>1147</v>
      </c>
      <c r="I680" s="324" t="s">
        <v>21</v>
      </c>
    </row>
    <row r="681" spans="1:9" ht="11.1" customHeight="1" outlineLevel="1">
      <c r="A681" s="325" t="s">
        <v>1133</v>
      </c>
      <c r="B681" s="325" t="s">
        <v>2045</v>
      </c>
      <c r="C681" s="325" t="s">
        <v>2046</v>
      </c>
      <c r="D681" s="325" t="s">
        <v>1519</v>
      </c>
      <c r="E681" s="326">
        <v>54.45</v>
      </c>
      <c r="F681" s="327">
        <v>36977.82</v>
      </c>
      <c r="G681" s="328"/>
      <c r="H681" s="328" t="s">
        <v>1126</v>
      </c>
      <c r="I681" s="324" t="s">
        <v>1087</v>
      </c>
    </row>
    <row r="682" spans="1:9" ht="11.1" customHeight="1" outlineLevel="1">
      <c r="A682" s="325" t="s">
        <v>1152</v>
      </c>
      <c r="B682" s="325" t="s">
        <v>2047</v>
      </c>
      <c r="C682" s="325" t="s">
        <v>2048</v>
      </c>
      <c r="D682" s="325" t="s">
        <v>20</v>
      </c>
      <c r="E682" s="326">
        <v>1</v>
      </c>
      <c r="F682" s="331">
        <v>183</v>
      </c>
      <c r="G682" s="328"/>
      <c r="H682" s="328" t="s">
        <v>1147</v>
      </c>
      <c r="I682" s="324" t="s">
        <v>21</v>
      </c>
    </row>
    <row r="683" spans="1:9" ht="11.1" customHeight="1">
      <c r="A683" s="320" t="s">
        <v>2049</v>
      </c>
      <c r="B683" s="320"/>
      <c r="C683" s="320"/>
      <c r="D683" s="320"/>
      <c r="E683" s="334">
        <v>27279.059000000001</v>
      </c>
      <c r="F683" s="322">
        <v>791047.07</v>
      </c>
      <c r="G683" s="323"/>
      <c r="H683" s="323"/>
    </row>
    <row r="684" spans="1:9" ht="11.1" customHeight="1" outlineLevel="1">
      <c r="A684" s="325" t="s">
        <v>1133</v>
      </c>
      <c r="B684" s="325" t="s">
        <v>2050</v>
      </c>
      <c r="C684" s="325" t="s">
        <v>2051</v>
      </c>
      <c r="D684" s="325" t="s">
        <v>20</v>
      </c>
      <c r="E684" s="328"/>
      <c r="F684" s="331">
        <v>325.64</v>
      </c>
      <c r="G684" s="328"/>
      <c r="H684" s="174" t="s">
        <v>2052</v>
      </c>
      <c r="I684" s="324" t="s">
        <v>1839</v>
      </c>
    </row>
    <row r="685" spans="1:9" ht="11.1" customHeight="1" outlineLevel="1">
      <c r="A685" s="325" t="s">
        <v>1133</v>
      </c>
      <c r="B685" s="325" t="s">
        <v>2053</v>
      </c>
      <c r="C685" s="325" t="s">
        <v>2054</v>
      </c>
      <c r="D685" s="325" t="s">
        <v>1196</v>
      </c>
      <c r="E685" s="328"/>
      <c r="F685" s="331">
        <v>105.84</v>
      </c>
      <c r="G685" s="328"/>
      <c r="H685" s="160" t="s">
        <v>537</v>
      </c>
      <c r="I685" s="324" t="s">
        <v>1307</v>
      </c>
    </row>
    <row r="686" spans="1:9" ht="11.1" customHeight="1" outlineLevel="1">
      <c r="A686" s="325" t="s">
        <v>1133</v>
      </c>
      <c r="B686" s="325" t="s">
        <v>2053</v>
      </c>
      <c r="C686" s="325" t="s">
        <v>2054</v>
      </c>
      <c r="D686" s="325" t="s">
        <v>1196</v>
      </c>
      <c r="E686" s="328"/>
      <c r="F686" s="331">
        <v>170.71</v>
      </c>
      <c r="G686" s="328"/>
      <c r="H686" s="160" t="s">
        <v>537</v>
      </c>
      <c r="I686" s="324" t="s">
        <v>1307</v>
      </c>
    </row>
    <row r="687" spans="1:9" ht="11.1" customHeight="1" outlineLevel="1">
      <c r="A687" s="325" t="s">
        <v>1133</v>
      </c>
      <c r="B687" s="325" t="s">
        <v>2053</v>
      </c>
      <c r="C687" s="325" t="s">
        <v>2054</v>
      </c>
      <c r="D687" s="325" t="s">
        <v>1196</v>
      </c>
      <c r="E687" s="328"/>
      <c r="F687" s="327">
        <v>1128.71</v>
      </c>
      <c r="G687" s="328"/>
      <c r="H687" s="160" t="s">
        <v>537</v>
      </c>
      <c r="I687" s="324" t="s">
        <v>1307</v>
      </c>
    </row>
    <row r="688" spans="1:9" ht="11.1" customHeight="1" outlineLevel="1">
      <c r="A688" s="325" t="s">
        <v>1133</v>
      </c>
      <c r="B688" s="325" t="s">
        <v>2055</v>
      </c>
      <c r="C688" s="325" t="s">
        <v>2056</v>
      </c>
      <c r="D688" s="325" t="s">
        <v>20</v>
      </c>
      <c r="E688" s="328"/>
      <c r="F688" s="327">
        <v>3004.74</v>
      </c>
      <c r="G688" s="328"/>
      <c r="H688" s="174" t="s">
        <v>562</v>
      </c>
      <c r="I688" s="324" t="s">
        <v>1839</v>
      </c>
    </row>
    <row r="689" spans="1:10" ht="11.1" customHeight="1" outlineLevel="1">
      <c r="A689" s="325" t="s">
        <v>1133</v>
      </c>
      <c r="B689" s="325" t="s">
        <v>2057</v>
      </c>
      <c r="C689" s="325" t="s">
        <v>2058</v>
      </c>
      <c r="D689" s="325" t="s">
        <v>20</v>
      </c>
      <c r="E689" s="328"/>
      <c r="F689" s="327">
        <v>5847.3</v>
      </c>
      <c r="G689" s="328"/>
      <c r="H689" s="174" t="s">
        <v>1624</v>
      </c>
      <c r="I689" s="324" t="s">
        <v>1839</v>
      </c>
    </row>
    <row r="690" spans="1:10" ht="11.1" customHeight="1" outlineLevel="1">
      <c r="A690" s="325" t="s">
        <v>1133</v>
      </c>
      <c r="B690" s="325" t="s">
        <v>2059</v>
      </c>
      <c r="C690" s="325" t="s">
        <v>2060</v>
      </c>
      <c r="D690" s="325" t="s">
        <v>20</v>
      </c>
      <c r="E690" s="328"/>
      <c r="F690" s="331">
        <v>991.71</v>
      </c>
      <c r="G690" s="328"/>
      <c r="H690" s="174" t="s">
        <v>675</v>
      </c>
      <c r="I690" s="324" t="s">
        <v>1839</v>
      </c>
    </row>
    <row r="691" spans="1:10" ht="11.1" customHeight="1" outlineLevel="1">
      <c r="A691" s="325" t="s">
        <v>1133</v>
      </c>
      <c r="B691" s="325" t="s">
        <v>1318</v>
      </c>
      <c r="C691" s="325" t="s">
        <v>1319</v>
      </c>
      <c r="D691" s="325" t="s">
        <v>20</v>
      </c>
      <c r="E691" s="326">
        <v>2</v>
      </c>
      <c r="F691" s="331">
        <v>473.09</v>
      </c>
      <c r="G691" s="328"/>
      <c r="H691" s="160" t="s">
        <v>577</v>
      </c>
      <c r="I691" s="324" t="s">
        <v>289</v>
      </c>
    </row>
    <row r="692" spans="1:10" ht="11.1" customHeight="1" outlineLevel="1">
      <c r="A692" s="325" t="s">
        <v>1152</v>
      </c>
      <c r="B692" s="325" t="s">
        <v>2061</v>
      </c>
      <c r="C692" s="325" t="s">
        <v>2062</v>
      </c>
      <c r="D692" s="325" t="s">
        <v>20</v>
      </c>
      <c r="E692" s="326">
        <v>2</v>
      </c>
      <c r="F692" s="331">
        <v>210</v>
      </c>
      <c r="G692" s="328"/>
      <c r="H692" s="328" t="s">
        <v>1147</v>
      </c>
      <c r="I692" s="324" t="s">
        <v>21</v>
      </c>
    </row>
    <row r="693" spans="1:10" ht="11.1" customHeight="1" outlineLevel="1">
      <c r="A693" s="325" t="s">
        <v>1152</v>
      </c>
      <c r="B693" s="325" t="s">
        <v>2063</v>
      </c>
      <c r="C693" s="325" t="s">
        <v>2064</v>
      </c>
      <c r="D693" s="325" t="s">
        <v>20</v>
      </c>
      <c r="E693" s="326">
        <v>1</v>
      </c>
      <c r="F693" s="331">
        <v>169</v>
      </c>
      <c r="G693" s="328"/>
      <c r="H693" s="328" t="s">
        <v>1147</v>
      </c>
      <c r="I693" s="324" t="s">
        <v>21</v>
      </c>
    </row>
    <row r="694" spans="1:10" ht="11.1" customHeight="1" outlineLevel="1">
      <c r="A694" s="325" t="s">
        <v>1152</v>
      </c>
      <c r="B694" s="325" t="s">
        <v>2065</v>
      </c>
      <c r="C694" s="325" t="s">
        <v>2066</v>
      </c>
      <c r="D694" s="325" t="s">
        <v>20</v>
      </c>
      <c r="E694" s="326">
        <v>1</v>
      </c>
      <c r="F694" s="331">
        <v>966.67</v>
      </c>
      <c r="G694" s="328"/>
      <c r="H694" s="328" t="s">
        <v>1147</v>
      </c>
      <c r="I694" s="324" t="s">
        <v>21</v>
      </c>
    </row>
    <row r="695" spans="1:10" ht="11.1" customHeight="1" outlineLevel="1">
      <c r="A695" s="325" t="s">
        <v>1152</v>
      </c>
      <c r="B695" s="325" t="s">
        <v>2067</v>
      </c>
      <c r="C695" s="325" t="s">
        <v>2068</v>
      </c>
      <c r="D695" s="325" t="s">
        <v>20</v>
      </c>
      <c r="E695" s="326">
        <v>1</v>
      </c>
      <c r="F695" s="331">
        <v>19.170000000000002</v>
      </c>
      <c r="G695" s="328"/>
      <c r="H695" s="328" t="s">
        <v>1147</v>
      </c>
      <c r="I695" s="324" t="s">
        <v>21</v>
      </c>
    </row>
    <row r="696" spans="1:10" ht="11.1" customHeight="1" outlineLevel="1">
      <c r="A696" s="325" t="s">
        <v>1130</v>
      </c>
      <c r="B696" s="325" t="s">
        <v>1131</v>
      </c>
      <c r="C696" s="325" t="s">
        <v>1132</v>
      </c>
      <c r="D696" s="325" t="s">
        <v>261</v>
      </c>
      <c r="E696" s="326">
        <v>-82.5</v>
      </c>
      <c r="F696" s="327">
        <v>-3889.71</v>
      </c>
      <c r="G696" s="328"/>
      <c r="H696" s="328"/>
    </row>
    <row r="697" spans="1:10" ht="11.1" customHeight="1" outlineLevel="1">
      <c r="A697" s="325" t="s">
        <v>1130</v>
      </c>
      <c r="B697" s="325" t="s">
        <v>1131</v>
      </c>
      <c r="C697" s="325" t="s">
        <v>1132</v>
      </c>
      <c r="D697" s="325" t="s">
        <v>261</v>
      </c>
      <c r="E697" s="326">
        <v>-82.5</v>
      </c>
      <c r="F697" s="327">
        <v>-3890.21</v>
      </c>
      <c r="G697" s="328"/>
      <c r="H697" s="328"/>
    </row>
    <row r="698" spans="1:10" ht="11.1" customHeight="1" outlineLevel="1">
      <c r="A698" s="325" t="s">
        <v>1130</v>
      </c>
      <c r="B698" s="325" t="s">
        <v>1131</v>
      </c>
      <c r="C698" s="325" t="s">
        <v>1132</v>
      </c>
      <c r="D698" s="325" t="s">
        <v>261</v>
      </c>
      <c r="E698" s="326">
        <v>276.95</v>
      </c>
      <c r="F698" s="327">
        <v>13832.44</v>
      </c>
      <c r="G698" s="328"/>
      <c r="H698" s="328"/>
    </row>
    <row r="699" spans="1:10" ht="11.1" customHeight="1" outlineLevel="1">
      <c r="A699" s="325" t="s">
        <v>1130</v>
      </c>
      <c r="B699" s="325" t="s">
        <v>1131</v>
      </c>
      <c r="C699" s="325" t="s">
        <v>1132</v>
      </c>
      <c r="D699" s="325" t="s">
        <v>261</v>
      </c>
      <c r="E699" s="326">
        <v>-82.5</v>
      </c>
      <c r="F699" s="327">
        <v>-3884.17</v>
      </c>
      <c r="G699" s="328"/>
      <c r="H699" s="328"/>
    </row>
    <row r="700" spans="1:10" ht="11.1" customHeight="1" outlineLevel="1">
      <c r="A700" s="325" t="s">
        <v>1152</v>
      </c>
      <c r="B700" s="325" t="s">
        <v>2069</v>
      </c>
      <c r="C700" s="325" t="s">
        <v>2070</v>
      </c>
      <c r="D700" s="325" t="s">
        <v>20</v>
      </c>
      <c r="E700" s="326">
        <v>1</v>
      </c>
      <c r="F700" s="331">
        <v>243.61</v>
      </c>
      <c r="G700" s="328"/>
      <c r="H700" s="328" t="s">
        <v>1147</v>
      </c>
      <c r="I700" s="324" t="s">
        <v>21</v>
      </c>
    </row>
    <row r="701" spans="1:10" ht="11.1" customHeight="1" outlineLevel="1">
      <c r="A701" s="325" t="s">
        <v>1152</v>
      </c>
      <c r="B701" s="325" t="s">
        <v>2071</v>
      </c>
      <c r="C701" s="325" t="s">
        <v>2072</v>
      </c>
      <c r="D701" s="325" t="s">
        <v>20</v>
      </c>
      <c r="E701" s="326">
        <v>2</v>
      </c>
      <c r="F701" s="331">
        <v>210</v>
      </c>
      <c r="G701" s="328"/>
      <c r="H701" s="328" t="s">
        <v>1147</v>
      </c>
      <c r="I701" s="324" t="s">
        <v>21</v>
      </c>
    </row>
    <row r="702" spans="1:10" ht="11.1" customHeight="1" outlineLevel="1">
      <c r="A702" s="325" t="s">
        <v>1133</v>
      </c>
      <c r="B702" s="325" t="s">
        <v>2073</v>
      </c>
      <c r="C702" s="325" t="s">
        <v>2074</v>
      </c>
      <c r="D702" s="325" t="s">
        <v>20</v>
      </c>
      <c r="E702" s="326">
        <v>1</v>
      </c>
      <c r="F702" s="331">
        <v>405.9</v>
      </c>
      <c r="G702" s="328"/>
      <c r="H702" s="160" t="s">
        <v>2075</v>
      </c>
      <c r="I702" s="330" t="s">
        <v>289</v>
      </c>
      <c r="J702" s="333"/>
    </row>
    <row r="703" spans="1:10" ht="11.1" customHeight="1" outlineLevel="1">
      <c r="A703" s="325" t="s">
        <v>1133</v>
      </c>
      <c r="B703" s="325" t="s">
        <v>2076</v>
      </c>
      <c r="C703" s="325" t="s">
        <v>2077</v>
      </c>
      <c r="D703" s="325" t="s">
        <v>1196</v>
      </c>
      <c r="E703" s="328"/>
      <c r="F703" s="327">
        <v>4883.6400000000003</v>
      </c>
      <c r="G703" s="328"/>
      <c r="H703" s="328" t="s">
        <v>536</v>
      </c>
      <c r="I703" s="330" t="s">
        <v>1087</v>
      </c>
      <c r="J703" s="333"/>
    </row>
    <row r="704" spans="1:10" ht="11.1" customHeight="1" outlineLevel="1">
      <c r="A704" s="325" t="s">
        <v>1133</v>
      </c>
      <c r="B704" s="325" t="s">
        <v>2078</v>
      </c>
      <c r="C704" s="325" t="s">
        <v>2079</v>
      </c>
      <c r="D704" s="325" t="s">
        <v>20</v>
      </c>
      <c r="E704" s="326">
        <v>1</v>
      </c>
      <c r="F704" s="331">
        <v>34.68</v>
      </c>
      <c r="G704" s="328"/>
      <c r="H704" s="328" t="s">
        <v>536</v>
      </c>
      <c r="I704" s="324" t="s">
        <v>1070</v>
      </c>
      <c r="J704" s="333"/>
    </row>
    <row r="705" spans="1:10" ht="11.1" customHeight="1" outlineLevel="1">
      <c r="A705" s="325" t="s">
        <v>1133</v>
      </c>
      <c r="B705" s="325" t="s">
        <v>2078</v>
      </c>
      <c r="C705" s="325" t="s">
        <v>2079</v>
      </c>
      <c r="D705" s="325" t="s">
        <v>20</v>
      </c>
      <c r="E705" s="326">
        <v>2</v>
      </c>
      <c r="F705" s="331">
        <v>93.84</v>
      </c>
      <c r="G705" s="328"/>
      <c r="H705" s="328" t="s">
        <v>536</v>
      </c>
      <c r="I705" s="324" t="s">
        <v>1070</v>
      </c>
      <c r="J705" s="333"/>
    </row>
    <row r="706" spans="1:10" ht="11.1" customHeight="1" outlineLevel="1">
      <c r="A706" s="325" t="s">
        <v>1133</v>
      </c>
      <c r="B706" s="325" t="s">
        <v>2078</v>
      </c>
      <c r="C706" s="325" t="s">
        <v>2079</v>
      </c>
      <c r="D706" s="325" t="s">
        <v>20</v>
      </c>
      <c r="E706" s="326">
        <v>3</v>
      </c>
      <c r="F706" s="331">
        <v>124.92</v>
      </c>
      <c r="G706" s="328"/>
      <c r="H706" s="328" t="s">
        <v>536</v>
      </c>
      <c r="I706" s="324" t="s">
        <v>1070</v>
      </c>
      <c r="J706" s="333"/>
    </row>
    <row r="707" spans="1:10" ht="11.1" customHeight="1" outlineLevel="1">
      <c r="A707" s="325" t="s">
        <v>1133</v>
      </c>
      <c r="B707" s="325" t="s">
        <v>2078</v>
      </c>
      <c r="C707" s="325" t="s">
        <v>2079</v>
      </c>
      <c r="D707" s="325" t="s">
        <v>20</v>
      </c>
      <c r="E707" s="326">
        <v>3</v>
      </c>
      <c r="F707" s="331">
        <v>129.24</v>
      </c>
      <c r="G707" s="328"/>
      <c r="H707" s="328" t="s">
        <v>536</v>
      </c>
      <c r="I707" s="324" t="s">
        <v>1070</v>
      </c>
    </row>
    <row r="708" spans="1:10" ht="11.1" customHeight="1" outlineLevel="1">
      <c r="A708" s="325" t="s">
        <v>1133</v>
      </c>
      <c r="B708" s="325" t="s">
        <v>2078</v>
      </c>
      <c r="C708" s="325" t="s">
        <v>2079</v>
      </c>
      <c r="D708" s="325" t="s">
        <v>20</v>
      </c>
      <c r="E708" s="326">
        <v>3</v>
      </c>
      <c r="F708" s="331">
        <v>124.92</v>
      </c>
      <c r="G708" s="328"/>
      <c r="H708" s="328" t="s">
        <v>536</v>
      </c>
      <c r="I708" s="324" t="s">
        <v>1070</v>
      </c>
    </row>
    <row r="709" spans="1:10" ht="11.1" customHeight="1" outlineLevel="1">
      <c r="A709" s="325" t="s">
        <v>1133</v>
      </c>
      <c r="B709" s="325" t="s">
        <v>2080</v>
      </c>
      <c r="C709" s="325" t="s">
        <v>2081</v>
      </c>
      <c r="D709" s="325" t="s">
        <v>912</v>
      </c>
      <c r="E709" s="326">
        <v>1.1000000000000001</v>
      </c>
      <c r="F709" s="327">
        <v>13750</v>
      </c>
      <c r="G709" s="328"/>
      <c r="H709" s="328" t="s">
        <v>1337</v>
      </c>
      <c r="I709" s="330" t="s">
        <v>205</v>
      </c>
    </row>
    <row r="710" spans="1:10" ht="11.1" customHeight="1" outlineLevel="1">
      <c r="A710" s="325" t="s">
        <v>2082</v>
      </c>
      <c r="B710" s="325" t="s">
        <v>2083</v>
      </c>
      <c r="C710" s="325" t="s">
        <v>2084</v>
      </c>
      <c r="D710" s="325" t="s">
        <v>20</v>
      </c>
      <c r="E710" s="326">
        <v>9</v>
      </c>
      <c r="F710" s="327">
        <v>2520</v>
      </c>
      <c r="G710" s="328"/>
      <c r="H710" s="328" t="s">
        <v>1147</v>
      </c>
      <c r="I710" s="324" t="s">
        <v>21</v>
      </c>
    </row>
    <row r="711" spans="1:10" ht="11.1" customHeight="1" outlineLevel="1">
      <c r="A711" s="325" t="s">
        <v>1152</v>
      </c>
      <c r="B711" s="325" t="s">
        <v>2085</v>
      </c>
      <c r="C711" s="325" t="s">
        <v>2086</v>
      </c>
      <c r="D711" s="325" t="s">
        <v>20</v>
      </c>
      <c r="E711" s="326">
        <v>1</v>
      </c>
      <c r="F711" s="331">
        <v>165</v>
      </c>
      <c r="G711" s="328"/>
      <c r="H711" s="328" t="s">
        <v>563</v>
      </c>
      <c r="I711" s="330" t="s">
        <v>289</v>
      </c>
    </row>
    <row r="712" spans="1:10" ht="11.1" customHeight="1" outlineLevel="1">
      <c r="A712" s="325" t="s">
        <v>1152</v>
      </c>
      <c r="B712" s="325" t="s">
        <v>1223</v>
      </c>
      <c r="C712" s="325" t="s">
        <v>1224</v>
      </c>
      <c r="D712" s="325" t="s">
        <v>20</v>
      </c>
      <c r="E712" s="326">
        <v>5</v>
      </c>
      <c r="F712" s="331">
        <v>210</v>
      </c>
      <c r="G712" s="328"/>
      <c r="H712" s="160" t="s">
        <v>1225</v>
      </c>
      <c r="I712" s="330" t="s">
        <v>289</v>
      </c>
    </row>
    <row r="713" spans="1:10" ht="11.1" customHeight="1" outlineLevel="1">
      <c r="A713" s="325" t="s">
        <v>1152</v>
      </c>
      <c r="B713" s="325" t="s">
        <v>1223</v>
      </c>
      <c r="C713" s="325" t="s">
        <v>1224</v>
      </c>
      <c r="D713" s="325" t="s">
        <v>20</v>
      </c>
      <c r="E713" s="326">
        <v>5</v>
      </c>
      <c r="F713" s="331">
        <v>183.5</v>
      </c>
      <c r="G713" s="328"/>
      <c r="H713" s="160" t="s">
        <v>1225</v>
      </c>
      <c r="I713" s="330" t="s">
        <v>289</v>
      </c>
    </row>
    <row r="714" spans="1:10" ht="11.1" customHeight="1" outlineLevel="1">
      <c r="A714" s="325" t="s">
        <v>1152</v>
      </c>
      <c r="B714" s="325" t="s">
        <v>1223</v>
      </c>
      <c r="C714" s="325" t="s">
        <v>1224</v>
      </c>
      <c r="D714" s="325" t="s">
        <v>20</v>
      </c>
      <c r="E714" s="326">
        <v>5</v>
      </c>
      <c r="F714" s="331">
        <v>183.5</v>
      </c>
      <c r="G714" s="328"/>
      <c r="H714" s="160" t="s">
        <v>1225</v>
      </c>
      <c r="I714" s="330" t="s">
        <v>289</v>
      </c>
    </row>
    <row r="715" spans="1:10" ht="11.1" customHeight="1" outlineLevel="1">
      <c r="A715" s="325" t="s">
        <v>1152</v>
      </c>
      <c r="B715" s="325" t="s">
        <v>1223</v>
      </c>
      <c r="C715" s="325" t="s">
        <v>1224</v>
      </c>
      <c r="D715" s="325" t="s">
        <v>20</v>
      </c>
      <c r="E715" s="326">
        <v>19</v>
      </c>
      <c r="F715" s="331">
        <v>697.3</v>
      </c>
      <c r="G715" s="328"/>
      <c r="H715" s="160" t="s">
        <v>1225</v>
      </c>
      <c r="I715" s="330" t="s">
        <v>289</v>
      </c>
    </row>
    <row r="716" spans="1:10" ht="11.1" customHeight="1" outlineLevel="1">
      <c r="A716" s="325" t="s">
        <v>1152</v>
      </c>
      <c r="B716" s="325" t="s">
        <v>1223</v>
      </c>
      <c r="C716" s="325" t="s">
        <v>1224</v>
      </c>
      <c r="D716" s="325" t="s">
        <v>20</v>
      </c>
      <c r="E716" s="326">
        <v>10</v>
      </c>
      <c r="F716" s="331">
        <v>358</v>
      </c>
      <c r="G716" s="328"/>
      <c r="H716" s="160" t="s">
        <v>1225</v>
      </c>
      <c r="I716" s="330" t="s">
        <v>289</v>
      </c>
    </row>
    <row r="717" spans="1:10" ht="11.1" customHeight="1" outlineLevel="1">
      <c r="A717" s="325" t="s">
        <v>1152</v>
      </c>
      <c r="B717" s="325" t="s">
        <v>2087</v>
      </c>
      <c r="C717" s="325" t="s">
        <v>2088</v>
      </c>
      <c r="D717" s="325" t="s">
        <v>20</v>
      </c>
      <c r="E717" s="326">
        <v>27</v>
      </c>
      <c r="F717" s="327">
        <v>1010.88</v>
      </c>
      <c r="G717" s="328"/>
      <c r="H717" s="160" t="s">
        <v>1225</v>
      </c>
      <c r="I717" s="330" t="s">
        <v>289</v>
      </c>
    </row>
    <row r="718" spans="1:10" ht="11.1" customHeight="1" outlineLevel="1">
      <c r="A718" s="325" t="s">
        <v>1152</v>
      </c>
      <c r="B718" s="325" t="s">
        <v>2089</v>
      </c>
      <c r="C718" s="325" t="s">
        <v>2090</v>
      </c>
      <c r="D718" s="325" t="s">
        <v>20</v>
      </c>
      <c r="E718" s="326">
        <v>1</v>
      </c>
      <c r="F718" s="331">
        <v>285</v>
      </c>
      <c r="G718" s="328"/>
      <c r="H718" s="160" t="s">
        <v>577</v>
      </c>
      <c r="I718" s="330" t="s">
        <v>289</v>
      </c>
    </row>
    <row r="719" spans="1:10" ht="11.1" customHeight="1" outlineLevel="1">
      <c r="A719" s="325" t="s">
        <v>2091</v>
      </c>
      <c r="B719" s="325" t="s">
        <v>2092</v>
      </c>
      <c r="C719" s="325" t="s">
        <v>2093</v>
      </c>
      <c r="D719" s="325" t="s">
        <v>20</v>
      </c>
      <c r="E719" s="326">
        <v>11</v>
      </c>
      <c r="F719" s="331">
        <v>880</v>
      </c>
      <c r="G719" s="328"/>
      <c r="H719" s="328" t="s">
        <v>1147</v>
      </c>
      <c r="I719" s="324" t="s">
        <v>21</v>
      </c>
    </row>
    <row r="720" spans="1:10" ht="11.1" customHeight="1" outlineLevel="1">
      <c r="A720" s="325" t="s">
        <v>2091</v>
      </c>
      <c r="B720" s="325" t="s">
        <v>2092</v>
      </c>
      <c r="C720" s="325" t="s">
        <v>2093</v>
      </c>
      <c r="D720" s="325" t="s">
        <v>20</v>
      </c>
      <c r="E720" s="326">
        <v>12</v>
      </c>
      <c r="F720" s="331">
        <v>960</v>
      </c>
      <c r="G720" s="328"/>
      <c r="H720" s="328" t="s">
        <v>1147</v>
      </c>
      <c r="I720" s="324" t="s">
        <v>21</v>
      </c>
    </row>
    <row r="721" spans="1:9" ht="11.1" customHeight="1" outlineLevel="1">
      <c r="A721" s="325" t="s">
        <v>1152</v>
      </c>
      <c r="B721" s="325" t="s">
        <v>1228</v>
      </c>
      <c r="C721" s="325" t="s">
        <v>1229</v>
      </c>
      <c r="D721" s="325" t="s">
        <v>20</v>
      </c>
      <c r="E721" s="326">
        <v>19</v>
      </c>
      <c r="F721" s="327">
        <v>1330</v>
      </c>
      <c r="G721" s="328"/>
      <c r="H721" s="328" t="s">
        <v>1147</v>
      </c>
      <c r="I721" s="324" t="s">
        <v>21</v>
      </c>
    </row>
    <row r="722" spans="1:9" ht="11.1" customHeight="1" outlineLevel="1">
      <c r="A722" s="325" t="s">
        <v>1152</v>
      </c>
      <c r="B722" s="325" t="s">
        <v>1228</v>
      </c>
      <c r="C722" s="325" t="s">
        <v>1229</v>
      </c>
      <c r="D722" s="325" t="s">
        <v>20</v>
      </c>
      <c r="E722" s="326">
        <v>12</v>
      </c>
      <c r="F722" s="331">
        <v>150</v>
      </c>
      <c r="G722" s="328"/>
      <c r="H722" s="328" t="s">
        <v>1147</v>
      </c>
      <c r="I722" s="324" t="s">
        <v>21</v>
      </c>
    </row>
    <row r="723" spans="1:9" ht="11.1" customHeight="1" outlineLevel="1">
      <c r="A723" s="325" t="s">
        <v>1152</v>
      </c>
      <c r="B723" s="325" t="s">
        <v>1228</v>
      </c>
      <c r="C723" s="325" t="s">
        <v>1229</v>
      </c>
      <c r="D723" s="325" t="s">
        <v>20</v>
      </c>
      <c r="E723" s="326">
        <v>1</v>
      </c>
      <c r="F723" s="331">
        <v>12.5</v>
      </c>
      <c r="G723" s="328"/>
      <c r="H723" s="328" t="s">
        <v>1147</v>
      </c>
      <c r="I723" s="324" t="s">
        <v>21</v>
      </c>
    </row>
    <row r="724" spans="1:9" ht="11.1" customHeight="1" outlineLevel="1">
      <c r="A724" s="325" t="s">
        <v>1130</v>
      </c>
      <c r="B724" s="325" t="s">
        <v>2094</v>
      </c>
      <c r="C724" s="325" t="s">
        <v>2095</v>
      </c>
      <c r="D724" s="325" t="s">
        <v>261</v>
      </c>
      <c r="E724" s="326">
        <v>111.23</v>
      </c>
      <c r="F724" s="327">
        <v>3492.96</v>
      </c>
      <c r="G724" s="328"/>
      <c r="H724" s="328" t="s">
        <v>1147</v>
      </c>
      <c r="I724" s="324" t="s">
        <v>21</v>
      </c>
    </row>
    <row r="725" spans="1:9" ht="11.1" customHeight="1" outlineLevel="1">
      <c r="A725" s="325" t="s">
        <v>1130</v>
      </c>
      <c r="B725" s="325" t="s">
        <v>2094</v>
      </c>
      <c r="C725" s="325" t="s">
        <v>2095</v>
      </c>
      <c r="D725" s="325" t="s">
        <v>261</v>
      </c>
      <c r="E725" s="326">
        <v>-49.16</v>
      </c>
      <c r="F725" s="327">
        <v>-1536.6</v>
      </c>
      <c r="G725" s="328"/>
      <c r="H725" s="328" t="s">
        <v>1147</v>
      </c>
      <c r="I725" s="324" t="s">
        <v>21</v>
      </c>
    </row>
    <row r="726" spans="1:9" ht="11.1" customHeight="1" outlineLevel="1">
      <c r="A726" s="325" t="s">
        <v>1130</v>
      </c>
      <c r="B726" s="325" t="s">
        <v>2094</v>
      </c>
      <c r="C726" s="325" t="s">
        <v>2095</v>
      </c>
      <c r="D726" s="325" t="s">
        <v>261</v>
      </c>
      <c r="E726" s="328"/>
      <c r="F726" s="331">
        <v>0.01</v>
      </c>
      <c r="G726" s="328"/>
      <c r="H726" s="328" t="s">
        <v>1147</v>
      </c>
      <c r="I726" s="324" t="s">
        <v>21</v>
      </c>
    </row>
    <row r="727" spans="1:9" ht="11.1" customHeight="1" outlineLevel="1">
      <c r="A727" s="325" t="s">
        <v>1130</v>
      </c>
      <c r="B727" s="325" t="s">
        <v>2094</v>
      </c>
      <c r="C727" s="325" t="s">
        <v>2095</v>
      </c>
      <c r="D727" s="325" t="s">
        <v>261</v>
      </c>
      <c r="E727" s="326">
        <v>-1.21</v>
      </c>
      <c r="F727" s="331">
        <v>-37.549999999999997</v>
      </c>
      <c r="G727" s="328"/>
      <c r="H727" s="328" t="s">
        <v>1147</v>
      </c>
      <c r="I727" s="324" t="s">
        <v>21</v>
      </c>
    </row>
    <row r="728" spans="1:9" ht="11.1" customHeight="1" outlineLevel="1">
      <c r="A728" s="325" t="s">
        <v>1130</v>
      </c>
      <c r="B728" s="325" t="s">
        <v>2094</v>
      </c>
      <c r="C728" s="325" t="s">
        <v>2095</v>
      </c>
      <c r="D728" s="325" t="s">
        <v>261</v>
      </c>
      <c r="E728" s="326">
        <v>-38.49</v>
      </c>
      <c r="F728" s="327">
        <v>-1209.97</v>
      </c>
      <c r="G728" s="328"/>
      <c r="H728" s="328" t="s">
        <v>1147</v>
      </c>
      <c r="I728" s="324" t="s">
        <v>21</v>
      </c>
    </row>
    <row r="729" spans="1:9" ht="11.1" customHeight="1" outlineLevel="1">
      <c r="A729" s="325" t="s">
        <v>1152</v>
      </c>
      <c r="B729" s="325" t="s">
        <v>2096</v>
      </c>
      <c r="C729" s="325" t="s">
        <v>2097</v>
      </c>
      <c r="D729" s="325" t="s">
        <v>20</v>
      </c>
      <c r="E729" s="326">
        <v>3</v>
      </c>
      <c r="F729" s="331">
        <v>374.1</v>
      </c>
      <c r="G729" s="328"/>
      <c r="H729" s="328" t="s">
        <v>1147</v>
      </c>
      <c r="I729" s="324" t="s">
        <v>21</v>
      </c>
    </row>
    <row r="730" spans="1:9" ht="11.1" customHeight="1" outlineLevel="1">
      <c r="A730" s="325" t="s">
        <v>1152</v>
      </c>
      <c r="B730" s="325" t="s">
        <v>1230</v>
      </c>
      <c r="C730" s="325" t="s">
        <v>1231</v>
      </c>
      <c r="D730" s="325" t="s">
        <v>20</v>
      </c>
      <c r="E730" s="326">
        <v>9</v>
      </c>
      <c r="F730" s="331">
        <v>198</v>
      </c>
      <c r="G730" s="328"/>
      <c r="H730" s="328" t="s">
        <v>1147</v>
      </c>
      <c r="I730" s="324" t="s">
        <v>21</v>
      </c>
    </row>
    <row r="731" spans="1:9" ht="11.1" customHeight="1" outlineLevel="1">
      <c r="A731" s="325" t="s">
        <v>1133</v>
      </c>
      <c r="B731" s="325" t="s">
        <v>2098</v>
      </c>
      <c r="C731" s="325" t="s">
        <v>2099</v>
      </c>
      <c r="D731" s="325" t="s">
        <v>20</v>
      </c>
      <c r="E731" s="326">
        <v>30</v>
      </c>
      <c r="F731" s="331">
        <v>108</v>
      </c>
      <c r="G731" s="328"/>
      <c r="H731" s="160" t="s">
        <v>537</v>
      </c>
      <c r="I731" s="324" t="s">
        <v>1087</v>
      </c>
    </row>
    <row r="732" spans="1:9" ht="11.1" customHeight="1" outlineLevel="1">
      <c r="A732" s="325" t="s">
        <v>1133</v>
      </c>
      <c r="B732" s="325" t="s">
        <v>2100</v>
      </c>
      <c r="C732" s="325" t="s">
        <v>2101</v>
      </c>
      <c r="D732" s="325" t="s">
        <v>20</v>
      </c>
      <c r="E732" s="326">
        <v>2</v>
      </c>
      <c r="F732" s="331">
        <v>11.48</v>
      </c>
      <c r="G732" s="328"/>
      <c r="H732" s="160" t="s">
        <v>537</v>
      </c>
      <c r="I732" s="324" t="s">
        <v>1087</v>
      </c>
    </row>
    <row r="733" spans="1:9" ht="11.1" customHeight="1" outlineLevel="1">
      <c r="A733" s="325" t="s">
        <v>1152</v>
      </c>
      <c r="B733" s="325" t="s">
        <v>2102</v>
      </c>
      <c r="C733" s="325" t="s">
        <v>2103</v>
      </c>
      <c r="D733" s="325" t="s">
        <v>20</v>
      </c>
      <c r="E733" s="326">
        <v>2</v>
      </c>
      <c r="F733" s="331">
        <v>770</v>
      </c>
      <c r="G733" s="328"/>
      <c r="H733" s="328" t="s">
        <v>1147</v>
      </c>
      <c r="I733" s="324" t="s">
        <v>21</v>
      </c>
    </row>
    <row r="734" spans="1:9" ht="11.1" customHeight="1" outlineLevel="1">
      <c r="A734" s="325" t="s">
        <v>1133</v>
      </c>
      <c r="B734" s="325" t="s">
        <v>2104</v>
      </c>
      <c r="C734" s="325" t="s">
        <v>2105</v>
      </c>
      <c r="D734" s="325" t="s">
        <v>20</v>
      </c>
      <c r="E734" s="326">
        <v>10</v>
      </c>
      <c r="F734" s="331">
        <v>53</v>
      </c>
      <c r="G734" s="328"/>
      <c r="H734" s="160" t="s">
        <v>1561</v>
      </c>
      <c r="I734" s="324" t="s">
        <v>205</v>
      </c>
    </row>
    <row r="735" spans="1:9" ht="11.1" customHeight="1" outlineLevel="1">
      <c r="A735" s="325" t="s">
        <v>2106</v>
      </c>
      <c r="B735" s="325" t="s">
        <v>2107</v>
      </c>
      <c r="C735" s="325" t="s">
        <v>2108</v>
      </c>
      <c r="D735" s="325" t="s">
        <v>20</v>
      </c>
      <c r="E735" s="326">
        <v>2</v>
      </c>
      <c r="F735" s="327">
        <v>23695.21</v>
      </c>
      <c r="G735" s="328"/>
      <c r="H735" s="328" t="s">
        <v>2109</v>
      </c>
      <c r="I735" s="329" t="s">
        <v>425</v>
      </c>
    </row>
    <row r="736" spans="1:9" ht="11.1" customHeight="1" outlineLevel="1">
      <c r="A736" s="325" t="s">
        <v>1152</v>
      </c>
      <c r="B736" s="325" t="s">
        <v>2110</v>
      </c>
      <c r="C736" s="325" t="s">
        <v>2111</v>
      </c>
      <c r="D736" s="325" t="s">
        <v>20</v>
      </c>
      <c r="E736" s="326">
        <v>2</v>
      </c>
      <c r="F736" s="327">
        <v>2740</v>
      </c>
      <c r="G736" s="328"/>
      <c r="H736" s="328" t="s">
        <v>2112</v>
      </c>
      <c r="I736" s="330" t="s">
        <v>289</v>
      </c>
    </row>
    <row r="737" spans="1:9" ht="11.1" customHeight="1" outlineLevel="1">
      <c r="A737" s="325" t="s">
        <v>1152</v>
      </c>
      <c r="B737" s="325" t="s">
        <v>2113</v>
      </c>
      <c r="C737" s="325" t="s">
        <v>2114</v>
      </c>
      <c r="D737" s="325" t="s">
        <v>20</v>
      </c>
      <c r="E737" s="326">
        <v>1</v>
      </c>
      <c r="F737" s="331">
        <v>537.67999999999995</v>
      </c>
      <c r="G737" s="328"/>
      <c r="H737" s="328" t="s">
        <v>1147</v>
      </c>
      <c r="I737" s="324" t="s">
        <v>21</v>
      </c>
    </row>
    <row r="738" spans="1:9" ht="11.1" customHeight="1" outlineLevel="1">
      <c r="A738" s="325" t="s">
        <v>1133</v>
      </c>
      <c r="B738" s="325" t="s">
        <v>2115</v>
      </c>
      <c r="C738" s="325" t="s">
        <v>2116</v>
      </c>
      <c r="D738" s="325" t="s">
        <v>14</v>
      </c>
      <c r="E738" s="326">
        <v>310</v>
      </c>
      <c r="F738" s="327">
        <v>17300</v>
      </c>
      <c r="G738" s="328"/>
      <c r="H738" s="160" t="s">
        <v>1034</v>
      </c>
      <c r="I738" s="324" t="s">
        <v>1087</v>
      </c>
    </row>
    <row r="739" spans="1:9" ht="11.1" customHeight="1" outlineLevel="1">
      <c r="A739" s="325" t="s">
        <v>1133</v>
      </c>
      <c r="B739" s="325" t="s">
        <v>1199</v>
      </c>
      <c r="C739" s="325" t="s">
        <v>1200</v>
      </c>
      <c r="D739" s="325" t="s">
        <v>14</v>
      </c>
      <c r="E739" s="326">
        <v>642</v>
      </c>
      <c r="F739" s="327">
        <v>37454.28</v>
      </c>
      <c r="G739" s="328"/>
      <c r="H739" s="160" t="s">
        <v>1034</v>
      </c>
      <c r="I739" s="324" t="s">
        <v>1087</v>
      </c>
    </row>
    <row r="740" spans="1:9" ht="11.1" customHeight="1" outlineLevel="1">
      <c r="A740" s="325" t="s">
        <v>1133</v>
      </c>
      <c r="B740" s="325" t="s">
        <v>1199</v>
      </c>
      <c r="C740" s="325" t="s">
        <v>1200</v>
      </c>
      <c r="D740" s="325" t="s">
        <v>14</v>
      </c>
      <c r="E740" s="326">
        <v>348</v>
      </c>
      <c r="F740" s="327">
        <v>20778.32</v>
      </c>
      <c r="G740" s="328"/>
      <c r="H740" s="160" t="s">
        <v>1034</v>
      </c>
      <c r="I740" s="324" t="s">
        <v>1087</v>
      </c>
    </row>
    <row r="741" spans="1:9" ht="11.1" customHeight="1" outlineLevel="1">
      <c r="A741" s="325" t="s">
        <v>1133</v>
      </c>
      <c r="B741" s="325" t="s">
        <v>1199</v>
      </c>
      <c r="C741" s="325" t="s">
        <v>1200</v>
      </c>
      <c r="D741" s="325" t="s">
        <v>14</v>
      </c>
      <c r="E741" s="326">
        <v>175</v>
      </c>
      <c r="F741" s="327">
        <v>10209.5</v>
      </c>
      <c r="G741" s="328"/>
      <c r="H741" s="160" t="s">
        <v>1034</v>
      </c>
      <c r="I741" s="324" t="s">
        <v>1087</v>
      </c>
    </row>
    <row r="742" spans="1:9" ht="11.1" customHeight="1" outlineLevel="1">
      <c r="A742" s="325" t="s">
        <v>1133</v>
      </c>
      <c r="B742" s="325" t="s">
        <v>2117</v>
      </c>
      <c r="C742" s="325" t="s">
        <v>2118</v>
      </c>
      <c r="D742" s="325" t="s">
        <v>20</v>
      </c>
      <c r="E742" s="326">
        <v>3</v>
      </c>
      <c r="F742" s="327">
        <v>4800</v>
      </c>
      <c r="G742" s="328"/>
      <c r="H742" s="160" t="s">
        <v>1430</v>
      </c>
      <c r="I742" s="330" t="s">
        <v>2119</v>
      </c>
    </row>
    <row r="743" spans="1:9" ht="11.1" customHeight="1" outlineLevel="1">
      <c r="A743" s="325" t="s">
        <v>1152</v>
      </c>
      <c r="B743" s="325" t="s">
        <v>2120</v>
      </c>
      <c r="C743" s="325" t="s">
        <v>2121</v>
      </c>
      <c r="D743" s="325" t="s">
        <v>20</v>
      </c>
      <c r="E743" s="326">
        <v>4</v>
      </c>
      <c r="F743" s="331">
        <v>219.6</v>
      </c>
      <c r="G743" s="328"/>
      <c r="H743" s="328" t="s">
        <v>1147</v>
      </c>
      <c r="I743" s="324" t="s">
        <v>21</v>
      </c>
    </row>
    <row r="744" spans="1:9" ht="11.1" customHeight="1" outlineLevel="1">
      <c r="A744" s="325" t="s">
        <v>1152</v>
      </c>
      <c r="B744" s="325" t="s">
        <v>2122</v>
      </c>
      <c r="C744" s="325" t="s">
        <v>2123</v>
      </c>
      <c r="D744" s="325" t="s">
        <v>20</v>
      </c>
      <c r="E744" s="326">
        <v>2</v>
      </c>
      <c r="F744" s="331">
        <v>160</v>
      </c>
      <c r="G744" s="328"/>
      <c r="H744" s="328" t="s">
        <v>1147</v>
      </c>
      <c r="I744" s="324" t="s">
        <v>21</v>
      </c>
    </row>
    <row r="745" spans="1:9" ht="11.1" customHeight="1" outlineLevel="1">
      <c r="A745" s="325" t="s">
        <v>1152</v>
      </c>
      <c r="B745" s="325" t="s">
        <v>1232</v>
      </c>
      <c r="C745" s="325" t="s">
        <v>1233</v>
      </c>
      <c r="D745" s="325" t="s">
        <v>20</v>
      </c>
      <c r="E745" s="326">
        <v>18</v>
      </c>
      <c r="F745" s="331">
        <v>525.6</v>
      </c>
      <c r="G745" s="328"/>
      <c r="H745" s="328" t="s">
        <v>1147</v>
      </c>
      <c r="I745" s="324" t="s">
        <v>21</v>
      </c>
    </row>
    <row r="746" spans="1:9" ht="11.1" customHeight="1" outlineLevel="1">
      <c r="A746" s="325" t="s">
        <v>1152</v>
      </c>
      <c r="B746" s="325" t="s">
        <v>1232</v>
      </c>
      <c r="C746" s="325" t="s">
        <v>1233</v>
      </c>
      <c r="D746" s="325" t="s">
        <v>20</v>
      </c>
      <c r="E746" s="326">
        <v>10</v>
      </c>
      <c r="F746" s="331">
        <v>292</v>
      </c>
      <c r="G746" s="328"/>
      <c r="H746" s="328" t="s">
        <v>1147</v>
      </c>
      <c r="I746" s="324" t="s">
        <v>21</v>
      </c>
    </row>
    <row r="747" spans="1:9" ht="11.1" customHeight="1" outlineLevel="1">
      <c r="A747" s="325" t="s">
        <v>1152</v>
      </c>
      <c r="B747" s="325" t="s">
        <v>1232</v>
      </c>
      <c r="C747" s="325" t="s">
        <v>1233</v>
      </c>
      <c r="D747" s="325" t="s">
        <v>20</v>
      </c>
      <c r="E747" s="326">
        <v>3</v>
      </c>
      <c r="F747" s="331">
        <v>87.6</v>
      </c>
      <c r="G747" s="328"/>
      <c r="H747" s="328" t="s">
        <v>1147</v>
      </c>
      <c r="I747" s="324" t="s">
        <v>21</v>
      </c>
    </row>
    <row r="748" spans="1:9" ht="11.1" customHeight="1" outlineLevel="1">
      <c r="A748" s="325" t="s">
        <v>1133</v>
      </c>
      <c r="B748" s="325" t="s">
        <v>2124</v>
      </c>
      <c r="C748" s="325" t="s">
        <v>2125</v>
      </c>
      <c r="D748" s="325" t="s">
        <v>912</v>
      </c>
      <c r="E748" s="326">
        <v>2</v>
      </c>
      <c r="F748" s="327">
        <v>18683.330000000002</v>
      </c>
      <c r="G748" s="328"/>
      <c r="H748" s="160" t="s">
        <v>542</v>
      </c>
      <c r="I748" s="324" t="s">
        <v>205</v>
      </c>
    </row>
    <row r="749" spans="1:9" ht="11.1" customHeight="1" outlineLevel="1">
      <c r="A749" s="325" t="s">
        <v>1152</v>
      </c>
      <c r="B749" s="325" t="s">
        <v>1237</v>
      </c>
      <c r="C749" s="325" t="s">
        <v>1235</v>
      </c>
      <c r="D749" s="325" t="s">
        <v>14</v>
      </c>
      <c r="E749" s="326">
        <v>60</v>
      </c>
      <c r="F749" s="327">
        <v>3900</v>
      </c>
      <c r="G749" s="328"/>
      <c r="H749" s="160" t="s">
        <v>1236</v>
      </c>
      <c r="I749" s="324" t="s">
        <v>21</v>
      </c>
    </row>
    <row r="750" spans="1:9" ht="11.1" customHeight="1" outlineLevel="1">
      <c r="A750" s="325" t="s">
        <v>1152</v>
      </c>
      <c r="B750" s="325" t="s">
        <v>1237</v>
      </c>
      <c r="C750" s="325" t="s">
        <v>1235</v>
      </c>
      <c r="D750" s="325" t="s">
        <v>14</v>
      </c>
      <c r="E750" s="326">
        <v>15</v>
      </c>
      <c r="F750" s="331">
        <v>975</v>
      </c>
      <c r="G750" s="328"/>
      <c r="H750" s="160" t="s">
        <v>1236</v>
      </c>
      <c r="I750" s="324" t="s">
        <v>21</v>
      </c>
    </row>
    <row r="751" spans="1:9" ht="11.1" customHeight="1" outlineLevel="1">
      <c r="A751" s="325" t="s">
        <v>1152</v>
      </c>
      <c r="B751" s="325" t="s">
        <v>1234</v>
      </c>
      <c r="C751" s="325" t="s">
        <v>1235</v>
      </c>
      <c r="D751" s="325" t="s">
        <v>14</v>
      </c>
      <c r="E751" s="326">
        <v>15</v>
      </c>
      <c r="F751" s="331">
        <v>975</v>
      </c>
      <c r="G751" s="328"/>
      <c r="H751" s="160" t="s">
        <v>1236</v>
      </c>
      <c r="I751" s="324" t="s">
        <v>21</v>
      </c>
    </row>
    <row r="752" spans="1:9" ht="11.1" customHeight="1" outlineLevel="1">
      <c r="A752" s="325" t="s">
        <v>1133</v>
      </c>
      <c r="B752" s="325" t="s">
        <v>1237</v>
      </c>
      <c r="C752" s="325" t="s">
        <v>1235</v>
      </c>
      <c r="D752" s="325" t="s">
        <v>14</v>
      </c>
      <c r="E752" s="326">
        <v>150</v>
      </c>
      <c r="F752" s="327">
        <v>9750</v>
      </c>
      <c r="G752" s="328"/>
      <c r="H752" s="160" t="s">
        <v>1236</v>
      </c>
      <c r="I752" s="324" t="s">
        <v>21</v>
      </c>
    </row>
    <row r="753" spans="1:9" ht="11.1" customHeight="1" outlineLevel="1">
      <c r="A753" s="325" t="s">
        <v>1152</v>
      </c>
      <c r="B753" s="325" t="s">
        <v>1237</v>
      </c>
      <c r="C753" s="325" t="s">
        <v>1235</v>
      </c>
      <c r="D753" s="325" t="s">
        <v>14</v>
      </c>
      <c r="E753" s="328"/>
      <c r="F753" s="327">
        <v>-17185.55</v>
      </c>
      <c r="G753" s="328"/>
      <c r="H753" s="160" t="s">
        <v>1236</v>
      </c>
      <c r="I753" s="324" t="s">
        <v>21</v>
      </c>
    </row>
    <row r="754" spans="1:9" ht="11.1" customHeight="1" outlineLevel="1">
      <c r="A754" s="325" t="s">
        <v>1133</v>
      </c>
      <c r="B754" s="325" t="s">
        <v>1237</v>
      </c>
      <c r="C754" s="325" t="s">
        <v>1235</v>
      </c>
      <c r="D754" s="325" t="s">
        <v>14</v>
      </c>
      <c r="E754" s="326">
        <v>26.48</v>
      </c>
      <c r="F754" s="327">
        <v>2015.43</v>
      </c>
      <c r="G754" s="328"/>
      <c r="H754" s="160" t="s">
        <v>1236</v>
      </c>
      <c r="I754" s="324" t="s">
        <v>21</v>
      </c>
    </row>
    <row r="755" spans="1:9" ht="11.1" customHeight="1" outlineLevel="1">
      <c r="A755" s="325" t="s">
        <v>1152</v>
      </c>
      <c r="B755" s="325" t="s">
        <v>1237</v>
      </c>
      <c r="C755" s="325" t="s">
        <v>1235</v>
      </c>
      <c r="D755" s="325" t="s">
        <v>14</v>
      </c>
      <c r="E755" s="326">
        <v>140</v>
      </c>
      <c r="F755" s="327">
        <v>9100</v>
      </c>
      <c r="G755" s="328"/>
      <c r="H755" s="160" t="s">
        <v>1236</v>
      </c>
      <c r="I755" s="324" t="s">
        <v>21</v>
      </c>
    </row>
    <row r="756" spans="1:9" ht="11.1" customHeight="1" outlineLevel="1">
      <c r="A756" s="325" t="s">
        <v>1133</v>
      </c>
      <c r="B756" s="325" t="s">
        <v>1237</v>
      </c>
      <c r="C756" s="325" t="s">
        <v>1235</v>
      </c>
      <c r="D756" s="325" t="s">
        <v>14</v>
      </c>
      <c r="E756" s="326">
        <v>150</v>
      </c>
      <c r="F756" s="327">
        <v>9750</v>
      </c>
      <c r="G756" s="328"/>
      <c r="H756" s="160" t="s">
        <v>1236</v>
      </c>
      <c r="I756" s="324" t="s">
        <v>21</v>
      </c>
    </row>
    <row r="757" spans="1:9" ht="11.1" customHeight="1" outlineLevel="1">
      <c r="A757" s="325" t="s">
        <v>1152</v>
      </c>
      <c r="B757" s="325" t="s">
        <v>2126</v>
      </c>
      <c r="C757" s="325" t="s">
        <v>2127</v>
      </c>
      <c r="D757" s="325" t="s">
        <v>14</v>
      </c>
      <c r="E757" s="326">
        <v>62</v>
      </c>
      <c r="F757" s="327">
        <v>5970.6</v>
      </c>
      <c r="G757" s="328"/>
      <c r="H757" s="160" t="s">
        <v>1236</v>
      </c>
      <c r="I757" s="324" t="s">
        <v>21</v>
      </c>
    </row>
    <row r="758" spans="1:9" ht="11.1" customHeight="1" outlineLevel="1">
      <c r="A758" s="325" t="s">
        <v>1152</v>
      </c>
      <c r="B758" s="325" t="s">
        <v>2128</v>
      </c>
      <c r="C758" s="325" t="s">
        <v>2129</v>
      </c>
      <c r="D758" s="325" t="s">
        <v>14</v>
      </c>
      <c r="E758" s="326">
        <v>30</v>
      </c>
      <c r="F758" s="327">
        <v>2725.2</v>
      </c>
      <c r="G758" s="328"/>
      <c r="H758" s="160" t="s">
        <v>1236</v>
      </c>
      <c r="I758" s="324" t="s">
        <v>21</v>
      </c>
    </row>
    <row r="759" spans="1:9" ht="11.1" customHeight="1" outlineLevel="1">
      <c r="A759" s="325" t="s">
        <v>1152</v>
      </c>
      <c r="B759" s="325" t="s">
        <v>2128</v>
      </c>
      <c r="C759" s="325" t="s">
        <v>2129</v>
      </c>
      <c r="D759" s="325" t="s">
        <v>14</v>
      </c>
      <c r="E759" s="326">
        <v>75</v>
      </c>
      <c r="F759" s="327">
        <v>5437.5</v>
      </c>
      <c r="G759" s="328"/>
      <c r="H759" s="160" t="s">
        <v>1236</v>
      </c>
      <c r="I759" s="324" t="s">
        <v>21</v>
      </c>
    </row>
    <row r="760" spans="1:9" ht="11.1" customHeight="1" outlineLevel="1">
      <c r="A760" s="325" t="s">
        <v>1152</v>
      </c>
      <c r="B760" s="325" t="s">
        <v>2128</v>
      </c>
      <c r="C760" s="325" t="s">
        <v>2129</v>
      </c>
      <c r="D760" s="325" t="s">
        <v>14</v>
      </c>
      <c r="E760" s="326">
        <v>20</v>
      </c>
      <c r="F760" s="327">
        <v>1450</v>
      </c>
      <c r="G760" s="328"/>
      <c r="H760" s="160" t="s">
        <v>1236</v>
      </c>
      <c r="I760" s="324" t="s">
        <v>21</v>
      </c>
    </row>
    <row r="761" spans="1:9" ht="11.1" customHeight="1" outlineLevel="1">
      <c r="A761" s="325" t="s">
        <v>1133</v>
      </c>
      <c r="B761" s="325" t="s">
        <v>2130</v>
      </c>
      <c r="C761" s="325" t="s">
        <v>2131</v>
      </c>
      <c r="D761" s="325" t="s">
        <v>20</v>
      </c>
      <c r="E761" s="326">
        <v>1</v>
      </c>
      <c r="F761" s="327">
        <v>5049.4799999999996</v>
      </c>
      <c r="G761" s="328"/>
      <c r="H761" s="174" t="s">
        <v>1054</v>
      </c>
      <c r="I761" s="324" t="s">
        <v>1070</v>
      </c>
    </row>
    <row r="762" spans="1:9" ht="11.1" customHeight="1" outlineLevel="1">
      <c r="A762" s="325" t="s">
        <v>1133</v>
      </c>
      <c r="B762" s="325" t="s">
        <v>2132</v>
      </c>
      <c r="C762" s="325" t="s">
        <v>2133</v>
      </c>
      <c r="D762" s="325" t="s">
        <v>20</v>
      </c>
      <c r="E762" s="326">
        <v>1</v>
      </c>
      <c r="F762" s="327">
        <v>4940.16</v>
      </c>
      <c r="G762" s="328"/>
      <c r="H762" s="174" t="s">
        <v>1054</v>
      </c>
      <c r="I762" s="324" t="s">
        <v>1070</v>
      </c>
    </row>
    <row r="763" spans="1:9" ht="11.1" customHeight="1" outlineLevel="1">
      <c r="A763" s="325" t="s">
        <v>1152</v>
      </c>
      <c r="B763" s="325" t="s">
        <v>2134</v>
      </c>
      <c r="C763" s="325" t="s">
        <v>2026</v>
      </c>
      <c r="D763" s="325" t="s">
        <v>20</v>
      </c>
      <c r="E763" s="326">
        <v>17</v>
      </c>
      <c r="F763" s="327">
        <v>5525</v>
      </c>
      <c r="G763" s="328"/>
      <c r="H763" s="328" t="s">
        <v>1147</v>
      </c>
      <c r="I763" s="324" t="s">
        <v>21</v>
      </c>
    </row>
    <row r="764" spans="1:9" ht="11.1" customHeight="1" outlineLevel="1">
      <c r="A764" s="325" t="s">
        <v>1152</v>
      </c>
      <c r="B764" s="325" t="s">
        <v>2134</v>
      </c>
      <c r="C764" s="325" t="s">
        <v>2026</v>
      </c>
      <c r="D764" s="325" t="s">
        <v>20</v>
      </c>
      <c r="E764" s="326">
        <v>-17</v>
      </c>
      <c r="F764" s="327">
        <v>-5525</v>
      </c>
      <c r="G764" s="328"/>
      <c r="H764" s="328" t="s">
        <v>1147</v>
      </c>
      <c r="I764" s="324" t="s">
        <v>21</v>
      </c>
    </row>
    <row r="765" spans="1:9" ht="11.1" customHeight="1" outlineLevel="1">
      <c r="A765" s="325" t="s">
        <v>1152</v>
      </c>
      <c r="B765" s="325" t="s">
        <v>2025</v>
      </c>
      <c r="C765" s="325" t="s">
        <v>2026</v>
      </c>
      <c r="D765" s="325" t="s">
        <v>14</v>
      </c>
      <c r="E765" s="326">
        <v>7</v>
      </c>
      <c r="F765" s="327">
        <v>2275</v>
      </c>
      <c r="G765" s="328"/>
      <c r="H765" s="328" t="s">
        <v>1147</v>
      </c>
      <c r="I765" s="324" t="s">
        <v>21</v>
      </c>
    </row>
    <row r="766" spans="1:9" ht="11.1" customHeight="1" outlineLevel="1">
      <c r="A766" s="325" t="s">
        <v>1152</v>
      </c>
      <c r="B766" s="325" t="s">
        <v>2134</v>
      </c>
      <c r="C766" s="325" t="s">
        <v>2026</v>
      </c>
      <c r="D766" s="325" t="s">
        <v>20</v>
      </c>
      <c r="E766" s="326">
        <v>35</v>
      </c>
      <c r="F766" s="327">
        <v>12075</v>
      </c>
      <c r="G766" s="328"/>
      <c r="H766" s="328" t="s">
        <v>1147</v>
      </c>
      <c r="I766" s="324" t="s">
        <v>21</v>
      </c>
    </row>
    <row r="767" spans="1:9" ht="11.1" customHeight="1" outlineLevel="1">
      <c r="A767" s="325" t="s">
        <v>1152</v>
      </c>
      <c r="B767" s="325" t="s">
        <v>2134</v>
      </c>
      <c r="C767" s="325" t="s">
        <v>2026</v>
      </c>
      <c r="D767" s="325" t="s">
        <v>20</v>
      </c>
      <c r="E767" s="326">
        <v>18</v>
      </c>
      <c r="F767" s="327">
        <v>6210</v>
      </c>
      <c r="G767" s="328"/>
      <c r="H767" s="328" t="s">
        <v>1147</v>
      </c>
      <c r="I767" s="324" t="s">
        <v>21</v>
      </c>
    </row>
    <row r="768" spans="1:9" ht="11.1" customHeight="1" outlineLevel="1">
      <c r="A768" s="325" t="s">
        <v>1133</v>
      </c>
      <c r="B768" s="325" t="s">
        <v>2135</v>
      </c>
      <c r="C768" s="325" t="s">
        <v>2136</v>
      </c>
      <c r="D768" s="325" t="s">
        <v>14</v>
      </c>
      <c r="E768" s="326">
        <v>20</v>
      </c>
      <c r="F768" s="327">
        <v>2250</v>
      </c>
      <c r="G768" s="328"/>
      <c r="H768" s="160" t="s">
        <v>720</v>
      </c>
      <c r="I768" s="324" t="s">
        <v>21</v>
      </c>
    </row>
    <row r="769" spans="1:9" ht="11.1" customHeight="1" outlineLevel="1">
      <c r="A769" s="325" t="s">
        <v>1152</v>
      </c>
      <c r="B769" s="325" t="s">
        <v>1238</v>
      </c>
      <c r="C769" s="325" t="s">
        <v>1239</v>
      </c>
      <c r="D769" s="325" t="s">
        <v>14</v>
      </c>
      <c r="E769" s="326">
        <v>3</v>
      </c>
      <c r="F769" s="331">
        <v>337.5</v>
      </c>
      <c r="G769" s="328"/>
      <c r="H769" s="160" t="s">
        <v>720</v>
      </c>
      <c r="I769" s="324" t="s">
        <v>21</v>
      </c>
    </row>
    <row r="770" spans="1:9" ht="11.1" customHeight="1" outlineLevel="1">
      <c r="A770" s="325" t="s">
        <v>1152</v>
      </c>
      <c r="B770" s="325" t="s">
        <v>1238</v>
      </c>
      <c r="C770" s="325" t="s">
        <v>1239</v>
      </c>
      <c r="D770" s="325" t="s">
        <v>14</v>
      </c>
      <c r="E770" s="326">
        <v>100</v>
      </c>
      <c r="F770" s="327">
        <v>10300</v>
      </c>
      <c r="G770" s="328"/>
      <c r="H770" s="160" t="s">
        <v>720</v>
      </c>
      <c r="I770" s="324" t="s">
        <v>21</v>
      </c>
    </row>
    <row r="771" spans="1:9" ht="11.1" customHeight="1" outlineLevel="1">
      <c r="A771" s="325" t="s">
        <v>1152</v>
      </c>
      <c r="B771" s="325" t="s">
        <v>1238</v>
      </c>
      <c r="C771" s="325" t="s">
        <v>1239</v>
      </c>
      <c r="D771" s="325" t="s">
        <v>14</v>
      </c>
      <c r="E771" s="326">
        <v>11.5</v>
      </c>
      <c r="F771" s="327">
        <v>2097.6</v>
      </c>
      <c r="G771" s="328"/>
      <c r="H771" s="160" t="s">
        <v>720</v>
      </c>
      <c r="I771" s="324" t="s">
        <v>21</v>
      </c>
    </row>
    <row r="772" spans="1:9" ht="11.1" customHeight="1" outlineLevel="1">
      <c r="A772" s="325" t="s">
        <v>1152</v>
      </c>
      <c r="B772" s="325" t="s">
        <v>1238</v>
      </c>
      <c r="C772" s="325" t="s">
        <v>1239</v>
      </c>
      <c r="D772" s="325" t="s">
        <v>14</v>
      </c>
      <c r="E772" s="326">
        <v>6.5</v>
      </c>
      <c r="F772" s="331">
        <v>731.25</v>
      </c>
      <c r="G772" s="328"/>
      <c r="H772" s="160" t="s">
        <v>720</v>
      </c>
      <c r="I772" s="324" t="s">
        <v>21</v>
      </c>
    </row>
    <row r="773" spans="1:9" ht="11.1" customHeight="1" outlineLevel="1">
      <c r="A773" s="325" t="s">
        <v>1152</v>
      </c>
      <c r="B773" s="325" t="s">
        <v>1238</v>
      </c>
      <c r="C773" s="325" t="s">
        <v>1239</v>
      </c>
      <c r="D773" s="325" t="s">
        <v>14</v>
      </c>
      <c r="E773" s="326">
        <v>36</v>
      </c>
      <c r="F773" s="327">
        <v>4050</v>
      </c>
      <c r="G773" s="328"/>
      <c r="H773" s="160" t="s">
        <v>720</v>
      </c>
      <c r="I773" s="324" t="s">
        <v>21</v>
      </c>
    </row>
    <row r="774" spans="1:9" ht="11.1" customHeight="1" outlineLevel="1">
      <c r="A774" s="325" t="s">
        <v>1152</v>
      </c>
      <c r="B774" s="325" t="s">
        <v>1238</v>
      </c>
      <c r="C774" s="325" t="s">
        <v>1239</v>
      </c>
      <c r="D774" s="325" t="s">
        <v>14</v>
      </c>
      <c r="E774" s="326">
        <v>102.5</v>
      </c>
      <c r="F774" s="327">
        <v>11082.3</v>
      </c>
      <c r="G774" s="328"/>
      <c r="H774" s="160" t="s">
        <v>720</v>
      </c>
      <c r="I774" s="324" t="s">
        <v>21</v>
      </c>
    </row>
    <row r="775" spans="1:9" ht="11.1" customHeight="1" outlineLevel="1">
      <c r="A775" s="325" t="s">
        <v>1133</v>
      </c>
      <c r="B775" s="325" t="s">
        <v>1494</v>
      </c>
      <c r="C775" s="325" t="s">
        <v>1495</v>
      </c>
      <c r="D775" s="325" t="s">
        <v>20</v>
      </c>
      <c r="E775" s="326">
        <v>4</v>
      </c>
      <c r="F775" s="331">
        <v>267</v>
      </c>
      <c r="G775" s="328"/>
      <c r="H775" s="160" t="s">
        <v>1496</v>
      </c>
      <c r="I775" s="324" t="s">
        <v>289</v>
      </c>
    </row>
    <row r="776" spans="1:9" ht="11.1" customHeight="1" outlineLevel="1">
      <c r="A776" s="325" t="s">
        <v>1152</v>
      </c>
      <c r="B776" s="325" t="s">
        <v>2137</v>
      </c>
      <c r="C776" s="325" t="s">
        <v>2138</v>
      </c>
      <c r="D776" s="325" t="s">
        <v>1300</v>
      </c>
      <c r="E776" s="326">
        <v>1</v>
      </c>
      <c r="F776" s="331">
        <v>47.5</v>
      </c>
      <c r="G776" s="328"/>
      <c r="H776" s="328" t="s">
        <v>2139</v>
      </c>
      <c r="I776" s="324" t="s">
        <v>289</v>
      </c>
    </row>
    <row r="777" spans="1:9" ht="11.1" customHeight="1" outlineLevel="1">
      <c r="A777" s="325" t="s">
        <v>1152</v>
      </c>
      <c r="B777" s="325" t="s">
        <v>2140</v>
      </c>
      <c r="C777" s="325" t="s">
        <v>2141</v>
      </c>
      <c r="D777" s="325" t="s">
        <v>1300</v>
      </c>
      <c r="E777" s="326">
        <v>4</v>
      </c>
      <c r="F777" s="331">
        <v>390</v>
      </c>
      <c r="G777" s="328"/>
      <c r="H777" s="328" t="s">
        <v>2139</v>
      </c>
      <c r="I777" s="324" t="s">
        <v>289</v>
      </c>
    </row>
    <row r="778" spans="1:9" ht="11.1" customHeight="1" outlineLevel="1">
      <c r="A778" s="325" t="s">
        <v>1152</v>
      </c>
      <c r="B778" s="325" t="s">
        <v>2140</v>
      </c>
      <c r="C778" s="325" t="s">
        <v>2141</v>
      </c>
      <c r="D778" s="325" t="s">
        <v>1300</v>
      </c>
      <c r="E778" s="326">
        <v>3</v>
      </c>
      <c r="F778" s="331">
        <v>375</v>
      </c>
      <c r="G778" s="328"/>
      <c r="H778" s="328" t="s">
        <v>2139</v>
      </c>
      <c r="I778" s="324" t="s">
        <v>289</v>
      </c>
    </row>
    <row r="779" spans="1:9" ht="11.1" customHeight="1" outlineLevel="1">
      <c r="A779" s="325" t="s">
        <v>1152</v>
      </c>
      <c r="B779" s="325" t="s">
        <v>2142</v>
      </c>
      <c r="C779" s="325" t="s">
        <v>2143</v>
      </c>
      <c r="D779" s="325" t="s">
        <v>20</v>
      </c>
      <c r="E779" s="326">
        <v>3</v>
      </c>
      <c r="F779" s="331">
        <v>50.01</v>
      </c>
      <c r="G779" s="328"/>
      <c r="H779" s="328" t="s">
        <v>1499</v>
      </c>
      <c r="I779" s="324" t="s">
        <v>1070</v>
      </c>
    </row>
    <row r="780" spans="1:9" ht="11.1" customHeight="1" outlineLevel="1">
      <c r="A780" s="325" t="s">
        <v>1152</v>
      </c>
      <c r="B780" s="325" t="s">
        <v>2144</v>
      </c>
      <c r="C780" s="325" t="s">
        <v>2145</v>
      </c>
      <c r="D780" s="325" t="s">
        <v>20</v>
      </c>
      <c r="E780" s="326">
        <v>1</v>
      </c>
      <c r="F780" s="331">
        <v>45</v>
      </c>
      <c r="G780" s="328"/>
      <c r="H780" s="328" t="s">
        <v>1499</v>
      </c>
      <c r="I780" s="324" t="s">
        <v>1070</v>
      </c>
    </row>
    <row r="781" spans="1:9" ht="11.1" customHeight="1" outlineLevel="1">
      <c r="A781" s="325" t="s">
        <v>1152</v>
      </c>
      <c r="B781" s="325" t="s">
        <v>2146</v>
      </c>
      <c r="C781" s="325" t="s">
        <v>2147</v>
      </c>
      <c r="D781" s="325" t="s">
        <v>20</v>
      </c>
      <c r="E781" s="326">
        <v>6</v>
      </c>
      <c r="F781" s="331">
        <v>525</v>
      </c>
      <c r="G781" s="328"/>
      <c r="H781" s="328" t="s">
        <v>1147</v>
      </c>
      <c r="I781" s="324" t="s">
        <v>21</v>
      </c>
    </row>
    <row r="782" spans="1:9" ht="11.1" customHeight="1" outlineLevel="1">
      <c r="A782" s="325" t="s">
        <v>1152</v>
      </c>
      <c r="B782" s="325" t="s">
        <v>2148</v>
      </c>
      <c r="C782" s="325" t="s">
        <v>2149</v>
      </c>
      <c r="D782" s="325" t="s">
        <v>20</v>
      </c>
      <c r="E782" s="326">
        <v>3</v>
      </c>
      <c r="F782" s="331">
        <v>457.5</v>
      </c>
      <c r="G782" s="328"/>
      <c r="H782" s="328" t="s">
        <v>1147</v>
      </c>
      <c r="I782" s="324" t="s">
        <v>21</v>
      </c>
    </row>
    <row r="783" spans="1:9" ht="11.1" customHeight="1" outlineLevel="1">
      <c r="A783" s="325" t="s">
        <v>1133</v>
      </c>
      <c r="B783" s="325" t="s">
        <v>2150</v>
      </c>
      <c r="C783" s="325" t="s">
        <v>2151</v>
      </c>
      <c r="D783" s="325" t="s">
        <v>20</v>
      </c>
      <c r="E783" s="326">
        <v>114</v>
      </c>
      <c r="F783" s="331">
        <v>383.04</v>
      </c>
      <c r="G783" s="328"/>
      <c r="H783" s="160" t="s">
        <v>807</v>
      </c>
      <c r="I783" s="324" t="s">
        <v>1087</v>
      </c>
    </row>
    <row r="784" spans="1:9" ht="11.1" customHeight="1" outlineLevel="1">
      <c r="A784" s="325" t="s">
        <v>1152</v>
      </c>
      <c r="B784" s="325" t="s">
        <v>1146</v>
      </c>
      <c r="C784" s="325" t="s">
        <v>730</v>
      </c>
      <c r="D784" s="325" t="s">
        <v>20</v>
      </c>
      <c r="E784" s="326">
        <v>1</v>
      </c>
      <c r="F784" s="331">
        <v>234.5</v>
      </c>
      <c r="G784" s="328"/>
      <c r="H784" s="328" t="s">
        <v>1147</v>
      </c>
      <c r="I784" s="324" t="s">
        <v>21</v>
      </c>
    </row>
    <row r="785" spans="1:9" ht="11.1" customHeight="1" outlineLevel="1">
      <c r="A785" s="325" t="s">
        <v>1133</v>
      </c>
      <c r="B785" s="325" t="s">
        <v>2152</v>
      </c>
      <c r="C785" s="325" t="s">
        <v>2153</v>
      </c>
      <c r="D785" s="325" t="s">
        <v>20</v>
      </c>
      <c r="E785" s="326">
        <v>6</v>
      </c>
      <c r="F785" s="331">
        <v>33</v>
      </c>
      <c r="G785" s="328"/>
      <c r="H785" s="328" t="s">
        <v>1147</v>
      </c>
      <c r="I785" s="324" t="s">
        <v>21</v>
      </c>
    </row>
    <row r="786" spans="1:9" ht="11.1" customHeight="1" outlineLevel="1">
      <c r="A786" s="325" t="s">
        <v>1152</v>
      </c>
      <c r="B786" s="325" t="s">
        <v>1242</v>
      </c>
      <c r="C786" s="325" t="s">
        <v>1243</v>
      </c>
      <c r="D786" s="325" t="s">
        <v>20</v>
      </c>
      <c r="E786" s="326">
        <v>4</v>
      </c>
      <c r="F786" s="331">
        <v>590</v>
      </c>
      <c r="G786" s="328"/>
      <c r="H786" s="328" t="s">
        <v>1147</v>
      </c>
      <c r="I786" s="324" t="s">
        <v>21</v>
      </c>
    </row>
    <row r="787" spans="1:9" ht="11.1" customHeight="1" outlineLevel="1">
      <c r="A787" s="325" t="s">
        <v>1152</v>
      </c>
      <c r="B787" s="325" t="s">
        <v>1242</v>
      </c>
      <c r="C787" s="325" t="s">
        <v>1243</v>
      </c>
      <c r="D787" s="325" t="s">
        <v>20</v>
      </c>
      <c r="E787" s="326">
        <v>2</v>
      </c>
      <c r="F787" s="331">
        <v>288.87</v>
      </c>
      <c r="G787" s="328"/>
      <c r="H787" s="328" t="s">
        <v>1147</v>
      </c>
      <c r="I787" s="324" t="s">
        <v>21</v>
      </c>
    </row>
    <row r="788" spans="1:9" ht="11.1" customHeight="1" outlineLevel="1">
      <c r="A788" s="325" t="s">
        <v>1152</v>
      </c>
      <c r="B788" s="325" t="s">
        <v>2154</v>
      </c>
      <c r="C788" s="325" t="s">
        <v>2155</v>
      </c>
      <c r="D788" s="325" t="s">
        <v>20</v>
      </c>
      <c r="E788" s="326">
        <v>1</v>
      </c>
      <c r="F788" s="331">
        <v>156.69999999999999</v>
      </c>
      <c r="G788" s="328"/>
      <c r="H788" s="328" t="s">
        <v>1147</v>
      </c>
      <c r="I788" s="324" t="s">
        <v>21</v>
      </c>
    </row>
    <row r="789" spans="1:9" ht="11.1" customHeight="1" outlineLevel="1">
      <c r="A789" s="325" t="s">
        <v>1152</v>
      </c>
      <c r="B789" s="325" t="s">
        <v>2156</v>
      </c>
      <c r="C789" s="325" t="s">
        <v>2157</v>
      </c>
      <c r="D789" s="325" t="s">
        <v>20</v>
      </c>
      <c r="E789" s="326">
        <v>1</v>
      </c>
      <c r="F789" s="331">
        <v>722.5</v>
      </c>
      <c r="G789" s="328"/>
      <c r="H789" s="328" t="s">
        <v>1147</v>
      </c>
      <c r="I789" s="324" t="s">
        <v>21</v>
      </c>
    </row>
    <row r="790" spans="1:9" ht="11.1" customHeight="1" outlineLevel="1">
      <c r="A790" s="325" t="s">
        <v>1152</v>
      </c>
      <c r="B790" s="325" t="s">
        <v>2158</v>
      </c>
      <c r="C790" s="325" t="s">
        <v>2159</v>
      </c>
      <c r="D790" s="325" t="s">
        <v>886</v>
      </c>
      <c r="E790" s="326">
        <v>0.30499999999999999</v>
      </c>
      <c r="F790" s="327">
        <v>7300</v>
      </c>
      <c r="G790" s="328"/>
      <c r="H790" s="174" t="s">
        <v>2160</v>
      </c>
      <c r="I790" s="324" t="s">
        <v>289</v>
      </c>
    </row>
    <row r="791" spans="1:9" ht="11.1" customHeight="1" outlineLevel="1">
      <c r="A791" s="325" t="s">
        <v>1152</v>
      </c>
      <c r="B791" s="325" t="s">
        <v>1150</v>
      </c>
      <c r="C791" s="325" t="s">
        <v>1151</v>
      </c>
      <c r="D791" s="325" t="s">
        <v>886</v>
      </c>
      <c r="E791" s="326">
        <v>0.03</v>
      </c>
      <c r="F791" s="327">
        <v>10299.9</v>
      </c>
      <c r="G791" s="328"/>
      <c r="H791" s="328" t="s">
        <v>1147</v>
      </c>
      <c r="I791" s="324" t="s">
        <v>21</v>
      </c>
    </row>
    <row r="792" spans="1:9" ht="11.1" customHeight="1" outlineLevel="1">
      <c r="A792" s="325" t="s">
        <v>2091</v>
      </c>
      <c r="B792" s="325" t="s">
        <v>2161</v>
      </c>
      <c r="C792" s="325" t="s">
        <v>2162</v>
      </c>
      <c r="D792" s="325" t="s">
        <v>20</v>
      </c>
      <c r="E792" s="326">
        <v>8</v>
      </c>
      <c r="F792" s="327">
        <v>2000</v>
      </c>
      <c r="G792" s="328"/>
      <c r="H792" s="328" t="s">
        <v>1147</v>
      </c>
      <c r="I792" s="324" t="s">
        <v>21</v>
      </c>
    </row>
    <row r="793" spans="1:9" ht="11.1" customHeight="1" outlineLevel="1">
      <c r="A793" s="325" t="s">
        <v>1133</v>
      </c>
      <c r="B793" s="325" t="s">
        <v>2163</v>
      </c>
      <c r="C793" s="325" t="s">
        <v>2164</v>
      </c>
      <c r="D793" s="325" t="s">
        <v>1519</v>
      </c>
      <c r="E793" s="326">
        <v>17</v>
      </c>
      <c r="F793" s="331">
        <v>578</v>
      </c>
      <c r="G793" s="328"/>
      <c r="H793" s="328" t="s">
        <v>1147</v>
      </c>
      <c r="I793" s="324" t="s">
        <v>21</v>
      </c>
    </row>
    <row r="794" spans="1:9" ht="11.1" customHeight="1" outlineLevel="1">
      <c r="A794" s="325" t="s">
        <v>1152</v>
      </c>
      <c r="B794" s="325" t="s">
        <v>2165</v>
      </c>
      <c r="C794" s="325" t="s">
        <v>2166</v>
      </c>
      <c r="D794" s="325" t="s">
        <v>295</v>
      </c>
      <c r="E794" s="326">
        <v>22</v>
      </c>
      <c r="F794" s="327">
        <v>2046</v>
      </c>
      <c r="G794" s="328"/>
      <c r="H794" s="328" t="s">
        <v>1147</v>
      </c>
      <c r="I794" s="324" t="s">
        <v>21</v>
      </c>
    </row>
    <row r="795" spans="1:9" ht="11.1" customHeight="1" outlineLevel="1">
      <c r="A795" s="325" t="s">
        <v>1152</v>
      </c>
      <c r="B795" s="325" t="s">
        <v>2167</v>
      </c>
      <c r="C795" s="325" t="s">
        <v>2168</v>
      </c>
      <c r="D795" s="325" t="s">
        <v>20</v>
      </c>
      <c r="E795" s="326">
        <v>2</v>
      </c>
      <c r="F795" s="331">
        <v>526</v>
      </c>
      <c r="G795" s="328"/>
      <c r="H795" s="328" t="s">
        <v>1147</v>
      </c>
      <c r="I795" s="324" t="s">
        <v>21</v>
      </c>
    </row>
    <row r="796" spans="1:9" ht="11.1" customHeight="1" outlineLevel="1">
      <c r="A796" s="325" t="s">
        <v>1152</v>
      </c>
      <c r="B796" s="325" t="s">
        <v>2169</v>
      </c>
      <c r="C796" s="325" t="s">
        <v>2170</v>
      </c>
      <c r="D796" s="325" t="s">
        <v>20</v>
      </c>
      <c r="E796" s="326">
        <v>2</v>
      </c>
      <c r="F796" s="331">
        <v>950</v>
      </c>
      <c r="G796" s="328"/>
      <c r="H796" s="328" t="s">
        <v>1147</v>
      </c>
      <c r="I796" s="324" t="s">
        <v>21</v>
      </c>
    </row>
    <row r="797" spans="1:9" ht="11.1" customHeight="1" outlineLevel="1">
      <c r="A797" s="325" t="s">
        <v>1152</v>
      </c>
      <c r="B797" s="325" t="s">
        <v>2171</v>
      </c>
      <c r="C797" s="325" t="s">
        <v>2172</v>
      </c>
      <c r="D797" s="325" t="s">
        <v>725</v>
      </c>
      <c r="E797" s="326">
        <v>2</v>
      </c>
      <c r="F797" s="331">
        <v>585</v>
      </c>
      <c r="G797" s="328"/>
      <c r="H797" s="328" t="s">
        <v>1147</v>
      </c>
      <c r="I797" s="324" t="s">
        <v>21</v>
      </c>
    </row>
    <row r="798" spans="1:9" ht="11.1" customHeight="1" outlineLevel="1">
      <c r="A798" s="325" t="s">
        <v>1152</v>
      </c>
      <c r="B798" s="325" t="s">
        <v>2171</v>
      </c>
      <c r="C798" s="325" t="s">
        <v>2172</v>
      </c>
      <c r="D798" s="325" t="s">
        <v>725</v>
      </c>
      <c r="E798" s="326">
        <v>3</v>
      </c>
      <c r="F798" s="331">
        <v>877.5</v>
      </c>
      <c r="G798" s="328"/>
      <c r="H798" s="328" t="s">
        <v>1147</v>
      </c>
      <c r="I798" s="324" t="s">
        <v>21</v>
      </c>
    </row>
    <row r="799" spans="1:9" ht="11.1" customHeight="1" outlineLevel="1">
      <c r="A799" s="325" t="s">
        <v>1152</v>
      </c>
      <c r="B799" s="325" t="s">
        <v>1246</v>
      </c>
      <c r="C799" s="325" t="s">
        <v>1247</v>
      </c>
      <c r="D799" s="325" t="s">
        <v>20</v>
      </c>
      <c r="E799" s="326">
        <v>1</v>
      </c>
      <c r="F799" s="331">
        <v>103.33</v>
      </c>
      <c r="G799" s="328"/>
      <c r="H799" s="328" t="s">
        <v>1147</v>
      </c>
      <c r="I799" s="324" t="s">
        <v>21</v>
      </c>
    </row>
    <row r="800" spans="1:9" ht="11.1" customHeight="1" outlineLevel="1">
      <c r="A800" s="325" t="s">
        <v>1152</v>
      </c>
      <c r="B800" s="325" t="s">
        <v>2173</v>
      </c>
      <c r="C800" s="325" t="s">
        <v>2174</v>
      </c>
      <c r="D800" s="325" t="s">
        <v>20</v>
      </c>
      <c r="E800" s="326">
        <v>6</v>
      </c>
      <c r="F800" s="327">
        <v>1446</v>
      </c>
      <c r="G800" s="328"/>
      <c r="H800" s="328" t="s">
        <v>1147</v>
      </c>
      <c r="I800" s="324" t="s">
        <v>21</v>
      </c>
    </row>
    <row r="801" spans="1:9" ht="11.1" customHeight="1" outlineLevel="1">
      <c r="A801" s="325" t="s">
        <v>1152</v>
      </c>
      <c r="B801" s="325" t="s">
        <v>1248</v>
      </c>
      <c r="C801" s="325" t="s">
        <v>1249</v>
      </c>
      <c r="D801" s="325" t="s">
        <v>20</v>
      </c>
      <c r="E801" s="326">
        <v>2</v>
      </c>
      <c r="F801" s="331">
        <v>518.75</v>
      </c>
      <c r="G801" s="328"/>
      <c r="H801" s="328" t="s">
        <v>1147</v>
      </c>
      <c r="I801" s="324" t="s">
        <v>21</v>
      </c>
    </row>
    <row r="802" spans="1:9" ht="11.1" customHeight="1" outlineLevel="1">
      <c r="A802" s="325" t="s">
        <v>1152</v>
      </c>
      <c r="B802" s="325" t="s">
        <v>2175</v>
      </c>
      <c r="C802" s="325" t="s">
        <v>2176</v>
      </c>
      <c r="D802" s="325" t="s">
        <v>20</v>
      </c>
      <c r="E802" s="326">
        <v>1</v>
      </c>
      <c r="F802" s="331">
        <v>436</v>
      </c>
      <c r="G802" s="328"/>
      <c r="H802" s="328" t="s">
        <v>1147</v>
      </c>
      <c r="I802" s="324" t="s">
        <v>21</v>
      </c>
    </row>
    <row r="803" spans="1:9" ht="11.1" customHeight="1" outlineLevel="1">
      <c r="A803" s="325" t="s">
        <v>1152</v>
      </c>
      <c r="B803" s="325" t="s">
        <v>2177</v>
      </c>
      <c r="C803" s="325" t="s">
        <v>2178</v>
      </c>
      <c r="D803" s="325" t="s">
        <v>20</v>
      </c>
      <c r="E803" s="326">
        <v>1</v>
      </c>
      <c r="F803" s="331">
        <v>735</v>
      </c>
      <c r="G803" s="328"/>
      <c r="H803" s="328" t="s">
        <v>1147</v>
      </c>
      <c r="I803" s="324" t="s">
        <v>21</v>
      </c>
    </row>
    <row r="804" spans="1:9" ht="11.1" customHeight="1" outlineLevel="1">
      <c r="A804" s="325" t="s">
        <v>1152</v>
      </c>
      <c r="B804" s="325" t="s">
        <v>1252</v>
      </c>
      <c r="C804" s="325" t="s">
        <v>1253</v>
      </c>
      <c r="D804" s="325" t="s">
        <v>20</v>
      </c>
      <c r="E804" s="326">
        <v>1</v>
      </c>
      <c r="F804" s="331">
        <v>595</v>
      </c>
      <c r="G804" s="328"/>
      <c r="H804" s="328" t="s">
        <v>1147</v>
      </c>
      <c r="I804" s="324" t="s">
        <v>21</v>
      </c>
    </row>
    <row r="805" spans="1:9" ht="11.1" customHeight="1" outlineLevel="1">
      <c r="A805" s="325" t="s">
        <v>1152</v>
      </c>
      <c r="B805" s="325" t="s">
        <v>1252</v>
      </c>
      <c r="C805" s="325" t="s">
        <v>1253</v>
      </c>
      <c r="D805" s="325" t="s">
        <v>20</v>
      </c>
      <c r="E805" s="326">
        <v>15</v>
      </c>
      <c r="F805" s="327">
        <v>7875</v>
      </c>
      <c r="G805" s="328"/>
      <c r="H805" s="328" t="s">
        <v>1147</v>
      </c>
      <c r="I805" s="324" t="s">
        <v>21</v>
      </c>
    </row>
    <row r="806" spans="1:9" ht="11.1" customHeight="1" outlineLevel="1">
      <c r="A806" s="325" t="s">
        <v>1152</v>
      </c>
      <c r="B806" s="325" t="s">
        <v>1252</v>
      </c>
      <c r="C806" s="325" t="s">
        <v>1253</v>
      </c>
      <c r="D806" s="325" t="s">
        <v>20</v>
      </c>
      <c r="E806" s="326">
        <v>4</v>
      </c>
      <c r="F806" s="327">
        <v>2392</v>
      </c>
      <c r="G806" s="328"/>
      <c r="H806" s="328" t="s">
        <v>1147</v>
      </c>
      <c r="I806" s="324" t="s">
        <v>21</v>
      </c>
    </row>
    <row r="807" spans="1:9" ht="11.1" customHeight="1" outlineLevel="1">
      <c r="A807" s="325" t="s">
        <v>1152</v>
      </c>
      <c r="B807" s="325" t="s">
        <v>1252</v>
      </c>
      <c r="C807" s="325" t="s">
        <v>1253</v>
      </c>
      <c r="D807" s="325" t="s">
        <v>20</v>
      </c>
      <c r="E807" s="326">
        <v>10</v>
      </c>
      <c r="F807" s="327">
        <v>3790</v>
      </c>
      <c r="G807" s="328"/>
      <c r="H807" s="328" t="s">
        <v>1147</v>
      </c>
      <c r="I807" s="324" t="s">
        <v>21</v>
      </c>
    </row>
    <row r="808" spans="1:9" ht="11.1" customHeight="1" outlineLevel="1">
      <c r="A808" s="325" t="s">
        <v>1152</v>
      </c>
      <c r="B808" s="325" t="s">
        <v>1252</v>
      </c>
      <c r="C808" s="325" t="s">
        <v>1253</v>
      </c>
      <c r="D808" s="325" t="s">
        <v>20</v>
      </c>
      <c r="E808" s="326">
        <v>6</v>
      </c>
      <c r="F808" s="327">
        <v>2370</v>
      </c>
      <c r="G808" s="328"/>
      <c r="H808" s="328" t="s">
        <v>1147</v>
      </c>
      <c r="I808" s="324" t="s">
        <v>21</v>
      </c>
    </row>
    <row r="809" spans="1:9" ht="11.1" customHeight="1" outlineLevel="1">
      <c r="A809" s="325" t="s">
        <v>1152</v>
      </c>
      <c r="B809" s="325" t="s">
        <v>2179</v>
      </c>
      <c r="C809" s="325" t="s">
        <v>2180</v>
      </c>
      <c r="D809" s="325" t="s">
        <v>20</v>
      </c>
      <c r="E809" s="326">
        <v>2</v>
      </c>
      <c r="F809" s="327">
        <v>1600</v>
      </c>
      <c r="G809" s="328"/>
      <c r="H809" s="328" t="s">
        <v>1147</v>
      </c>
      <c r="I809" s="324" t="s">
        <v>21</v>
      </c>
    </row>
    <row r="810" spans="1:9" ht="11.1" customHeight="1" outlineLevel="1">
      <c r="A810" s="325" t="s">
        <v>1152</v>
      </c>
      <c r="B810" s="325" t="s">
        <v>1254</v>
      </c>
      <c r="C810" s="325" t="s">
        <v>1255</v>
      </c>
      <c r="D810" s="325" t="s">
        <v>20</v>
      </c>
      <c r="E810" s="326">
        <v>9</v>
      </c>
      <c r="F810" s="327">
        <v>1252.8</v>
      </c>
      <c r="G810" s="328"/>
      <c r="H810" s="328" t="s">
        <v>1147</v>
      </c>
      <c r="I810" s="324" t="s">
        <v>21</v>
      </c>
    </row>
    <row r="811" spans="1:9" ht="11.1" customHeight="1" outlineLevel="1">
      <c r="A811" s="325" t="s">
        <v>1152</v>
      </c>
      <c r="B811" s="325" t="s">
        <v>2181</v>
      </c>
      <c r="C811" s="325" t="s">
        <v>2182</v>
      </c>
      <c r="D811" s="325" t="s">
        <v>20</v>
      </c>
      <c r="E811" s="326">
        <v>7</v>
      </c>
      <c r="F811" s="327">
        <v>1081</v>
      </c>
      <c r="G811" s="328"/>
      <c r="H811" s="328" t="s">
        <v>1147</v>
      </c>
      <c r="I811" s="324" t="s">
        <v>21</v>
      </c>
    </row>
    <row r="812" spans="1:9" ht="11.1" customHeight="1" outlineLevel="1">
      <c r="A812" s="325" t="s">
        <v>1152</v>
      </c>
      <c r="B812" s="325" t="s">
        <v>2181</v>
      </c>
      <c r="C812" s="325" t="s">
        <v>2182</v>
      </c>
      <c r="D812" s="325" t="s">
        <v>20</v>
      </c>
      <c r="E812" s="326">
        <v>2</v>
      </c>
      <c r="F812" s="331">
        <v>386</v>
      </c>
      <c r="G812" s="328"/>
      <c r="H812" s="328" t="s">
        <v>1147</v>
      </c>
      <c r="I812" s="324" t="s">
        <v>21</v>
      </c>
    </row>
    <row r="813" spans="1:9" ht="11.1" customHeight="1" outlineLevel="1">
      <c r="A813" s="325" t="s">
        <v>1152</v>
      </c>
      <c r="B813" s="325" t="s">
        <v>2181</v>
      </c>
      <c r="C813" s="325" t="s">
        <v>2182</v>
      </c>
      <c r="D813" s="325" t="s">
        <v>20</v>
      </c>
      <c r="E813" s="326">
        <v>3</v>
      </c>
      <c r="F813" s="331">
        <v>477.6</v>
      </c>
      <c r="G813" s="328"/>
      <c r="H813" s="328" t="s">
        <v>1147</v>
      </c>
      <c r="I813" s="324" t="s">
        <v>21</v>
      </c>
    </row>
    <row r="814" spans="1:9" ht="11.1" customHeight="1" outlineLevel="1">
      <c r="A814" s="325" t="s">
        <v>1152</v>
      </c>
      <c r="B814" s="325" t="s">
        <v>2183</v>
      </c>
      <c r="C814" s="325" t="s">
        <v>2184</v>
      </c>
      <c r="D814" s="325" t="s">
        <v>20</v>
      </c>
      <c r="E814" s="326">
        <v>1</v>
      </c>
      <c r="F814" s="331">
        <v>548.33000000000004</v>
      </c>
      <c r="G814" s="328"/>
      <c r="H814" s="328" t="s">
        <v>1147</v>
      </c>
      <c r="I814" s="324" t="s">
        <v>21</v>
      </c>
    </row>
    <row r="815" spans="1:9" ht="11.1" customHeight="1" outlineLevel="1">
      <c r="A815" s="325" t="s">
        <v>1152</v>
      </c>
      <c r="B815" s="325" t="s">
        <v>2185</v>
      </c>
      <c r="C815" s="325" t="s">
        <v>2186</v>
      </c>
      <c r="D815" s="325" t="s">
        <v>20</v>
      </c>
      <c r="E815" s="326">
        <v>1</v>
      </c>
      <c r="F815" s="327">
        <v>2190</v>
      </c>
      <c r="G815" s="328"/>
      <c r="H815" s="328" t="s">
        <v>1147</v>
      </c>
      <c r="I815" s="324" t="s">
        <v>21</v>
      </c>
    </row>
    <row r="816" spans="1:9" ht="11.1" customHeight="1" outlineLevel="1">
      <c r="A816" s="325" t="s">
        <v>1152</v>
      </c>
      <c r="B816" s="325" t="s">
        <v>2187</v>
      </c>
      <c r="C816" s="325" t="s">
        <v>2188</v>
      </c>
      <c r="D816" s="325" t="s">
        <v>1101</v>
      </c>
      <c r="E816" s="326">
        <v>1</v>
      </c>
      <c r="F816" s="327">
        <v>4042</v>
      </c>
      <c r="G816" s="328"/>
      <c r="H816" s="328" t="s">
        <v>1147</v>
      </c>
      <c r="I816" s="324" t="s">
        <v>21</v>
      </c>
    </row>
    <row r="817" spans="1:9" ht="11.1" customHeight="1" outlineLevel="1">
      <c r="A817" s="325" t="s">
        <v>1133</v>
      </c>
      <c r="B817" s="325" t="s">
        <v>2189</v>
      </c>
      <c r="C817" s="325" t="s">
        <v>2190</v>
      </c>
      <c r="D817" s="325" t="s">
        <v>20</v>
      </c>
      <c r="E817" s="326">
        <v>0.5</v>
      </c>
      <c r="F817" s="331">
        <v>24.85</v>
      </c>
      <c r="G817" s="328"/>
      <c r="H817" s="328" t="s">
        <v>1147</v>
      </c>
      <c r="I817" s="324" t="s">
        <v>21</v>
      </c>
    </row>
    <row r="818" spans="1:9" ht="11.1" customHeight="1" outlineLevel="1">
      <c r="A818" s="325" t="s">
        <v>1152</v>
      </c>
      <c r="B818" s="325" t="s">
        <v>1256</v>
      </c>
      <c r="C818" s="325" t="s">
        <v>1257</v>
      </c>
      <c r="D818" s="325" t="s">
        <v>20</v>
      </c>
      <c r="E818" s="326">
        <v>2</v>
      </c>
      <c r="F818" s="331">
        <v>138.4</v>
      </c>
      <c r="G818" s="328"/>
      <c r="H818" s="328" t="s">
        <v>1147</v>
      </c>
      <c r="I818" s="324" t="s">
        <v>21</v>
      </c>
    </row>
    <row r="819" spans="1:9" ht="11.1" customHeight="1" outlineLevel="1">
      <c r="A819" s="325" t="s">
        <v>1152</v>
      </c>
      <c r="B819" s="325" t="s">
        <v>2191</v>
      </c>
      <c r="C819" s="325" t="s">
        <v>2192</v>
      </c>
      <c r="D819" s="325" t="s">
        <v>20</v>
      </c>
      <c r="E819" s="326">
        <v>120</v>
      </c>
      <c r="F819" s="327">
        <v>6096</v>
      </c>
      <c r="G819" s="328"/>
      <c r="H819" s="328" t="s">
        <v>1147</v>
      </c>
      <c r="I819" s="324" t="s">
        <v>21</v>
      </c>
    </row>
    <row r="820" spans="1:9" ht="11.1" customHeight="1" outlineLevel="1">
      <c r="A820" s="325" t="s">
        <v>1152</v>
      </c>
      <c r="B820" s="325" t="s">
        <v>1157</v>
      </c>
      <c r="C820" s="325" t="s">
        <v>1158</v>
      </c>
      <c r="D820" s="325" t="s">
        <v>20</v>
      </c>
      <c r="E820" s="326">
        <v>13</v>
      </c>
      <c r="F820" s="331">
        <v>237.9</v>
      </c>
      <c r="G820" s="328"/>
      <c r="H820" s="160" t="s">
        <v>1159</v>
      </c>
      <c r="I820" s="324" t="s">
        <v>21</v>
      </c>
    </row>
    <row r="821" spans="1:9" ht="11.1" customHeight="1" outlineLevel="1">
      <c r="A821" s="325" t="s">
        <v>1152</v>
      </c>
      <c r="B821" s="325" t="s">
        <v>1157</v>
      </c>
      <c r="C821" s="325" t="s">
        <v>1158</v>
      </c>
      <c r="D821" s="325" t="s">
        <v>20</v>
      </c>
      <c r="E821" s="326">
        <v>-1</v>
      </c>
      <c r="F821" s="331">
        <v>-18.3</v>
      </c>
      <c r="G821" s="328"/>
      <c r="H821" s="160" t="s">
        <v>1159</v>
      </c>
      <c r="I821" s="324" t="s">
        <v>21</v>
      </c>
    </row>
    <row r="822" spans="1:9" ht="11.1" customHeight="1" outlineLevel="1">
      <c r="A822" s="325" t="s">
        <v>1152</v>
      </c>
      <c r="B822" s="325" t="s">
        <v>1157</v>
      </c>
      <c r="C822" s="325" t="s">
        <v>1158</v>
      </c>
      <c r="D822" s="325" t="s">
        <v>20</v>
      </c>
      <c r="E822" s="326">
        <v>-10</v>
      </c>
      <c r="F822" s="331">
        <v>-150</v>
      </c>
      <c r="G822" s="328"/>
      <c r="H822" s="160" t="s">
        <v>1159</v>
      </c>
      <c r="I822" s="324" t="s">
        <v>21</v>
      </c>
    </row>
    <row r="823" spans="1:9" ht="11.1" customHeight="1" outlineLevel="1">
      <c r="A823" s="325" t="s">
        <v>1152</v>
      </c>
      <c r="B823" s="325" t="s">
        <v>1262</v>
      </c>
      <c r="C823" s="325" t="s">
        <v>1263</v>
      </c>
      <c r="D823" s="325" t="s">
        <v>20</v>
      </c>
      <c r="E823" s="326">
        <v>15</v>
      </c>
      <c r="F823" s="327">
        <v>2962.5</v>
      </c>
      <c r="G823" s="328"/>
      <c r="H823" s="160" t="s">
        <v>1159</v>
      </c>
      <c r="I823" s="324" t="s">
        <v>21</v>
      </c>
    </row>
    <row r="824" spans="1:9" ht="11.1" customHeight="1" outlineLevel="1">
      <c r="A824" s="325" t="s">
        <v>1152</v>
      </c>
      <c r="B824" s="325" t="s">
        <v>1264</v>
      </c>
      <c r="C824" s="325" t="s">
        <v>1265</v>
      </c>
      <c r="D824" s="325" t="s">
        <v>20</v>
      </c>
      <c r="E824" s="326">
        <v>38</v>
      </c>
      <c r="F824" s="327">
        <v>1930.4</v>
      </c>
      <c r="G824" s="328"/>
      <c r="H824" s="160" t="s">
        <v>1159</v>
      </c>
      <c r="I824" s="324" t="s">
        <v>21</v>
      </c>
    </row>
    <row r="825" spans="1:9" ht="11.1" customHeight="1" outlineLevel="1">
      <c r="A825" s="325" t="s">
        <v>1152</v>
      </c>
      <c r="B825" s="325" t="s">
        <v>1264</v>
      </c>
      <c r="C825" s="325" t="s">
        <v>1265</v>
      </c>
      <c r="D825" s="325" t="s">
        <v>20</v>
      </c>
      <c r="E825" s="326">
        <v>-14</v>
      </c>
      <c r="F825" s="327">
        <v>-1103.77</v>
      </c>
      <c r="G825" s="328"/>
      <c r="H825" s="160" t="s">
        <v>1159</v>
      </c>
      <c r="I825" s="324" t="s">
        <v>21</v>
      </c>
    </row>
    <row r="826" spans="1:9" ht="11.1" customHeight="1" outlineLevel="1">
      <c r="A826" s="325" t="s">
        <v>1152</v>
      </c>
      <c r="B826" s="325" t="s">
        <v>1264</v>
      </c>
      <c r="C826" s="325" t="s">
        <v>1265</v>
      </c>
      <c r="D826" s="325" t="s">
        <v>20</v>
      </c>
      <c r="E826" s="326">
        <v>23</v>
      </c>
      <c r="F826" s="327">
        <v>1168.4000000000001</v>
      </c>
      <c r="G826" s="328"/>
      <c r="H826" s="160" t="s">
        <v>1159</v>
      </c>
      <c r="I826" s="324" t="s">
        <v>21</v>
      </c>
    </row>
    <row r="827" spans="1:9" ht="11.1" customHeight="1" outlineLevel="1">
      <c r="A827" s="325" t="s">
        <v>1152</v>
      </c>
      <c r="B827" s="325" t="s">
        <v>1266</v>
      </c>
      <c r="C827" s="325" t="s">
        <v>1267</v>
      </c>
      <c r="D827" s="325" t="s">
        <v>20</v>
      </c>
      <c r="E827" s="326">
        <v>4</v>
      </c>
      <c r="F827" s="331">
        <v>146.80000000000001</v>
      </c>
      <c r="G827" s="328"/>
      <c r="H827" s="328" t="s">
        <v>1147</v>
      </c>
      <c r="I827" s="324" t="s">
        <v>21</v>
      </c>
    </row>
    <row r="828" spans="1:9" ht="11.1" customHeight="1" outlineLevel="1">
      <c r="A828" s="325" t="s">
        <v>1152</v>
      </c>
      <c r="B828" s="325" t="s">
        <v>1266</v>
      </c>
      <c r="C828" s="325" t="s">
        <v>1267</v>
      </c>
      <c r="D828" s="325" t="s">
        <v>20</v>
      </c>
      <c r="E828" s="326">
        <v>5</v>
      </c>
      <c r="F828" s="331">
        <v>854</v>
      </c>
      <c r="G828" s="328"/>
      <c r="H828" s="328" t="s">
        <v>1147</v>
      </c>
      <c r="I828" s="324" t="s">
        <v>21</v>
      </c>
    </row>
    <row r="829" spans="1:9" ht="11.1" customHeight="1" outlineLevel="1">
      <c r="A829" s="325" t="s">
        <v>1152</v>
      </c>
      <c r="B829" s="325" t="s">
        <v>1268</v>
      </c>
      <c r="C829" s="325" t="s">
        <v>1269</v>
      </c>
      <c r="D829" s="325" t="s">
        <v>20</v>
      </c>
      <c r="E829" s="326">
        <v>17</v>
      </c>
      <c r="F829" s="331">
        <v>496.4</v>
      </c>
      <c r="G829" s="328"/>
      <c r="H829" s="328" t="s">
        <v>1147</v>
      </c>
      <c r="I829" s="324" t="s">
        <v>21</v>
      </c>
    </row>
    <row r="830" spans="1:9" ht="11.1" customHeight="1" outlineLevel="1">
      <c r="A830" s="325" t="s">
        <v>1152</v>
      </c>
      <c r="B830" s="325" t="s">
        <v>1268</v>
      </c>
      <c r="C830" s="325" t="s">
        <v>1269</v>
      </c>
      <c r="D830" s="325" t="s">
        <v>20</v>
      </c>
      <c r="E830" s="326">
        <v>20</v>
      </c>
      <c r="F830" s="331">
        <v>584</v>
      </c>
      <c r="G830" s="328"/>
      <c r="H830" s="328" t="s">
        <v>1147</v>
      </c>
      <c r="I830" s="324" t="s">
        <v>21</v>
      </c>
    </row>
    <row r="831" spans="1:9" ht="11.1" customHeight="1" outlineLevel="1">
      <c r="A831" s="325" t="s">
        <v>1152</v>
      </c>
      <c r="B831" s="325" t="s">
        <v>1268</v>
      </c>
      <c r="C831" s="325" t="s">
        <v>1269</v>
      </c>
      <c r="D831" s="325" t="s">
        <v>20</v>
      </c>
      <c r="E831" s="326">
        <v>10</v>
      </c>
      <c r="F831" s="331">
        <v>292</v>
      </c>
      <c r="G831" s="328"/>
      <c r="H831" s="328" t="s">
        <v>1147</v>
      </c>
      <c r="I831" s="324" t="s">
        <v>21</v>
      </c>
    </row>
    <row r="832" spans="1:9" ht="11.1" customHeight="1" outlineLevel="1">
      <c r="A832" s="325" t="s">
        <v>1152</v>
      </c>
      <c r="B832" s="325" t="s">
        <v>2193</v>
      </c>
      <c r="C832" s="325" t="s">
        <v>2194</v>
      </c>
      <c r="D832" s="325" t="s">
        <v>20</v>
      </c>
      <c r="E832" s="326">
        <v>4</v>
      </c>
      <c r="F832" s="327">
        <v>1046.8</v>
      </c>
      <c r="G832" s="328"/>
      <c r="H832" s="328" t="s">
        <v>1147</v>
      </c>
      <c r="I832" s="324" t="s">
        <v>21</v>
      </c>
    </row>
    <row r="833" spans="1:9" ht="11.1" customHeight="1" outlineLevel="1">
      <c r="A833" s="325" t="s">
        <v>1152</v>
      </c>
      <c r="B833" s="325" t="s">
        <v>2193</v>
      </c>
      <c r="C833" s="325" t="s">
        <v>2194</v>
      </c>
      <c r="D833" s="325" t="s">
        <v>20</v>
      </c>
      <c r="E833" s="326">
        <v>2</v>
      </c>
      <c r="F833" s="331">
        <v>531.66</v>
      </c>
      <c r="G833" s="328"/>
      <c r="H833" s="328" t="s">
        <v>1147</v>
      </c>
      <c r="I833" s="324" t="s">
        <v>21</v>
      </c>
    </row>
    <row r="834" spans="1:9" ht="11.1" customHeight="1" outlineLevel="1">
      <c r="A834" s="325" t="s">
        <v>1152</v>
      </c>
      <c r="B834" s="325" t="s">
        <v>1270</v>
      </c>
      <c r="C834" s="325" t="s">
        <v>1271</v>
      </c>
      <c r="D834" s="325" t="s">
        <v>20</v>
      </c>
      <c r="E834" s="326">
        <v>5</v>
      </c>
      <c r="F834" s="327">
        <v>1329</v>
      </c>
      <c r="G834" s="328"/>
      <c r="H834" s="328" t="s">
        <v>1147</v>
      </c>
      <c r="I834" s="324" t="s">
        <v>21</v>
      </c>
    </row>
    <row r="835" spans="1:9" ht="11.1" customHeight="1" outlineLevel="1">
      <c r="A835" s="325" t="s">
        <v>1152</v>
      </c>
      <c r="B835" s="325" t="s">
        <v>1270</v>
      </c>
      <c r="C835" s="325" t="s">
        <v>1271</v>
      </c>
      <c r="D835" s="325" t="s">
        <v>20</v>
      </c>
      <c r="E835" s="326">
        <v>2</v>
      </c>
      <c r="F835" s="331">
        <v>531.6</v>
      </c>
      <c r="G835" s="328"/>
      <c r="H835" s="328" t="s">
        <v>1147</v>
      </c>
      <c r="I835" s="324" t="s">
        <v>21</v>
      </c>
    </row>
    <row r="836" spans="1:9" ht="11.1" customHeight="1" outlineLevel="1">
      <c r="A836" s="325" t="s">
        <v>1152</v>
      </c>
      <c r="B836" s="325" t="s">
        <v>1270</v>
      </c>
      <c r="C836" s="325" t="s">
        <v>1271</v>
      </c>
      <c r="D836" s="325" t="s">
        <v>20</v>
      </c>
      <c r="E836" s="326">
        <v>5</v>
      </c>
      <c r="F836" s="331">
        <v>728.4</v>
      </c>
      <c r="G836" s="328"/>
      <c r="H836" s="328" t="s">
        <v>1147</v>
      </c>
      <c r="I836" s="324" t="s">
        <v>21</v>
      </c>
    </row>
    <row r="837" spans="1:9" ht="11.1" customHeight="1" outlineLevel="1">
      <c r="A837" s="325" t="s">
        <v>1152</v>
      </c>
      <c r="B837" s="325" t="s">
        <v>2195</v>
      </c>
      <c r="C837" s="325" t="s">
        <v>2196</v>
      </c>
      <c r="D837" s="325" t="s">
        <v>20</v>
      </c>
      <c r="E837" s="326">
        <v>3</v>
      </c>
      <c r="F837" s="331">
        <v>575.01</v>
      </c>
      <c r="G837" s="328"/>
      <c r="H837" s="328" t="s">
        <v>1147</v>
      </c>
      <c r="I837" s="324" t="s">
        <v>21</v>
      </c>
    </row>
    <row r="838" spans="1:9" ht="11.1" customHeight="1" outlineLevel="1">
      <c r="A838" s="325" t="s">
        <v>1152</v>
      </c>
      <c r="B838" s="325" t="s">
        <v>2195</v>
      </c>
      <c r="C838" s="325" t="s">
        <v>2196</v>
      </c>
      <c r="D838" s="325" t="s">
        <v>20</v>
      </c>
      <c r="E838" s="326">
        <v>1</v>
      </c>
      <c r="F838" s="331">
        <v>274.74</v>
      </c>
      <c r="G838" s="328"/>
      <c r="H838" s="328" t="s">
        <v>1147</v>
      </c>
      <c r="I838" s="324" t="s">
        <v>21</v>
      </c>
    </row>
    <row r="839" spans="1:9" ht="11.1" customHeight="1" outlineLevel="1">
      <c r="A839" s="325" t="s">
        <v>1152</v>
      </c>
      <c r="B839" s="325" t="s">
        <v>2195</v>
      </c>
      <c r="C839" s="325" t="s">
        <v>2196</v>
      </c>
      <c r="D839" s="325" t="s">
        <v>20</v>
      </c>
      <c r="E839" s="326">
        <v>2</v>
      </c>
      <c r="F839" s="331">
        <v>496.66</v>
      </c>
      <c r="G839" s="328"/>
      <c r="H839" s="328" t="s">
        <v>1147</v>
      </c>
      <c r="I839" s="324" t="s">
        <v>21</v>
      </c>
    </row>
    <row r="840" spans="1:9" ht="11.1" customHeight="1" outlineLevel="1">
      <c r="A840" s="325" t="s">
        <v>1152</v>
      </c>
      <c r="B840" s="325" t="s">
        <v>2195</v>
      </c>
      <c r="C840" s="325" t="s">
        <v>2196</v>
      </c>
      <c r="D840" s="325" t="s">
        <v>20</v>
      </c>
      <c r="E840" s="326">
        <v>1</v>
      </c>
      <c r="F840" s="331">
        <v>251.67</v>
      </c>
      <c r="G840" s="328"/>
      <c r="H840" s="328" t="s">
        <v>1147</v>
      </c>
      <c r="I840" s="324" t="s">
        <v>21</v>
      </c>
    </row>
    <row r="841" spans="1:9" ht="11.1" customHeight="1" outlineLevel="1">
      <c r="A841" s="325" t="s">
        <v>1152</v>
      </c>
      <c r="B841" s="325" t="s">
        <v>2195</v>
      </c>
      <c r="C841" s="325" t="s">
        <v>2196</v>
      </c>
      <c r="D841" s="325" t="s">
        <v>20</v>
      </c>
      <c r="E841" s="326">
        <v>1</v>
      </c>
      <c r="F841" s="331">
        <v>251.7</v>
      </c>
      <c r="G841" s="328"/>
      <c r="H841" s="328" t="s">
        <v>1147</v>
      </c>
      <c r="I841" s="324" t="s">
        <v>21</v>
      </c>
    </row>
    <row r="842" spans="1:9" ht="11.1" customHeight="1" outlineLevel="1">
      <c r="A842" s="325" t="s">
        <v>1152</v>
      </c>
      <c r="B842" s="325" t="s">
        <v>2195</v>
      </c>
      <c r="C842" s="325" t="s">
        <v>2196</v>
      </c>
      <c r="D842" s="325" t="s">
        <v>20</v>
      </c>
      <c r="E842" s="326">
        <v>1</v>
      </c>
      <c r="F842" s="331">
        <v>561.70000000000005</v>
      </c>
      <c r="G842" s="328"/>
      <c r="H842" s="328" t="s">
        <v>1147</v>
      </c>
      <c r="I842" s="324" t="s">
        <v>21</v>
      </c>
    </row>
    <row r="843" spans="1:9" ht="11.1" customHeight="1" outlineLevel="1">
      <c r="A843" s="325" t="s">
        <v>1152</v>
      </c>
      <c r="B843" s="325" t="s">
        <v>2197</v>
      </c>
      <c r="C843" s="325" t="s">
        <v>2198</v>
      </c>
      <c r="D843" s="325" t="s">
        <v>20</v>
      </c>
      <c r="E843" s="326">
        <v>4</v>
      </c>
      <c r="F843" s="327">
        <v>1180</v>
      </c>
      <c r="G843" s="328"/>
      <c r="H843" s="328" t="s">
        <v>1147</v>
      </c>
      <c r="I843" s="324" t="s">
        <v>21</v>
      </c>
    </row>
    <row r="844" spans="1:9" ht="11.1" customHeight="1" outlineLevel="1">
      <c r="A844" s="325" t="s">
        <v>1152</v>
      </c>
      <c r="B844" s="325" t="s">
        <v>2199</v>
      </c>
      <c r="C844" s="325" t="s">
        <v>2200</v>
      </c>
      <c r="D844" s="325" t="s">
        <v>20</v>
      </c>
      <c r="E844" s="326">
        <v>5</v>
      </c>
      <c r="F844" s="327">
        <v>3184</v>
      </c>
      <c r="G844" s="328"/>
      <c r="H844" s="328" t="s">
        <v>1147</v>
      </c>
      <c r="I844" s="324" t="s">
        <v>21</v>
      </c>
    </row>
    <row r="845" spans="1:9" ht="11.1" customHeight="1" outlineLevel="1">
      <c r="A845" s="325" t="s">
        <v>1133</v>
      </c>
      <c r="B845" s="325" t="s">
        <v>1653</v>
      </c>
      <c r="C845" s="325" t="s">
        <v>1654</v>
      </c>
      <c r="D845" s="325" t="s">
        <v>20</v>
      </c>
      <c r="E845" s="326">
        <v>2</v>
      </c>
      <c r="F845" s="331">
        <v>437.5</v>
      </c>
      <c r="G845" s="328"/>
      <c r="H845" s="328" t="s">
        <v>1655</v>
      </c>
      <c r="I845" s="324" t="s">
        <v>1105</v>
      </c>
    </row>
    <row r="846" spans="1:9" ht="11.1" customHeight="1" outlineLevel="1">
      <c r="A846" s="325" t="s">
        <v>1152</v>
      </c>
      <c r="B846" s="325" t="s">
        <v>2201</v>
      </c>
      <c r="C846" s="325" t="s">
        <v>2202</v>
      </c>
      <c r="D846" s="325" t="s">
        <v>20</v>
      </c>
      <c r="E846" s="326">
        <v>1</v>
      </c>
      <c r="F846" s="331">
        <v>75</v>
      </c>
      <c r="G846" s="328"/>
      <c r="H846" s="328" t="s">
        <v>2203</v>
      </c>
      <c r="I846" s="324" t="s">
        <v>1105</v>
      </c>
    </row>
    <row r="847" spans="1:9" ht="11.1" customHeight="1" outlineLevel="1">
      <c r="A847" s="325" t="s">
        <v>1152</v>
      </c>
      <c r="B847" s="325" t="s">
        <v>2204</v>
      </c>
      <c r="C847" s="325" t="s">
        <v>2205</v>
      </c>
      <c r="D847" s="325" t="s">
        <v>20</v>
      </c>
      <c r="E847" s="326">
        <v>10</v>
      </c>
      <c r="F847" s="327">
        <v>1098.9000000000001</v>
      </c>
      <c r="G847" s="328"/>
      <c r="H847" s="328" t="s">
        <v>1147</v>
      </c>
      <c r="I847" s="324" t="s">
        <v>21</v>
      </c>
    </row>
    <row r="848" spans="1:9" ht="11.1" customHeight="1" outlineLevel="1">
      <c r="A848" s="325" t="s">
        <v>1152</v>
      </c>
      <c r="B848" s="325" t="s">
        <v>2204</v>
      </c>
      <c r="C848" s="325" t="s">
        <v>2205</v>
      </c>
      <c r="D848" s="325" t="s">
        <v>20</v>
      </c>
      <c r="E848" s="326">
        <v>7</v>
      </c>
      <c r="F848" s="331">
        <v>221.55</v>
      </c>
      <c r="G848" s="328"/>
      <c r="H848" s="328" t="s">
        <v>1147</v>
      </c>
      <c r="I848" s="324" t="s">
        <v>21</v>
      </c>
    </row>
    <row r="849" spans="1:9" ht="11.1" customHeight="1" outlineLevel="1">
      <c r="A849" s="325" t="s">
        <v>1152</v>
      </c>
      <c r="B849" s="325" t="s">
        <v>2204</v>
      </c>
      <c r="C849" s="325" t="s">
        <v>2205</v>
      </c>
      <c r="D849" s="325" t="s">
        <v>20</v>
      </c>
      <c r="E849" s="326">
        <v>4</v>
      </c>
      <c r="F849" s="331">
        <v>248.34</v>
      </c>
      <c r="G849" s="328"/>
      <c r="H849" s="328" t="s">
        <v>1147</v>
      </c>
      <c r="I849" s="324" t="s">
        <v>21</v>
      </c>
    </row>
    <row r="850" spans="1:9" ht="11.1" customHeight="1" outlineLevel="1">
      <c r="A850" s="325" t="s">
        <v>1152</v>
      </c>
      <c r="B850" s="325" t="s">
        <v>2204</v>
      </c>
      <c r="C850" s="325" t="s">
        <v>2205</v>
      </c>
      <c r="D850" s="325" t="s">
        <v>20</v>
      </c>
      <c r="E850" s="326">
        <v>2</v>
      </c>
      <c r="F850" s="331">
        <v>150</v>
      </c>
      <c r="G850" s="328"/>
      <c r="H850" s="328" t="s">
        <v>1147</v>
      </c>
      <c r="I850" s="324" t="s">
        <v>21</v>
      </c>
    </row>
    <row r="851" spans="1:9" ht="11.1" customHeight="1" outlineLevel="1">
      <c r="A851" s="325" t="s">
        <v>1152</v>
      </c>
      <c r="B851" s="325" t="s">
        <v>2206</v>
      </c>
      <c r="C851" s="325" t="s">
        <v>2207</v>
      </c>
      <c r="D851" s="325" t="s">
        <v>20</v>
      </c>
      <c r="E851" s="326">
        <v>4</v>
      </c>
      <c r="F851" s="331">
        <v>476</v>
      </c>
      <c r="G851" s="328"/>
      <c r="H851" s="328" t="s">
        <v>1147</v>
      </c>
      <c r="I851" s="324" t="s">
        <v>21</v>
      </c>
    </row>
    <row r="852" spans="1:9" ht="11.1" customHeight="1" outlineLevel="1">
      <c r="A852" s="325" t="s">
        <v>1152</v>
      </c>
      <c r="B852" s="325" t="s">
        <v>2208</v>
      </c>
      <c r="C852" s="325" t="s">
        <v>2209</v>
      </c>
      <c r="D852" s="325" t="s">
        <v>20</v>
      </c>
      <c r="E852" s="326">
        <v>6</v>
      </c>
      <c r="F852" s="327">
        <v>5160</v>
      </c>
      <c r="G852" s="328"/>
      <c r="H852" s="328" t="s">
        <v>1147</v>
      </c>
      <c r="I852" s="324" t="s">
        <v>21</v>
      </c>
    </row>
    <row r="853" spans="1:9" ht="11.1" customHeight="1" outlineLevel="1">
      <c r="A853" s="325" t="s">
        <v>1152</v>
      </c>
      <c r="B853" s="325" t="s">
        <v>1272</v>
      </c>
      <c r="C853" s="325" t="s">
        <v>1273</v>
      </c>
      <c r="D853" s="325" t="s">
        <v>20</v>
      </c>
      <c r="E853" s="326">
        <v>4</v>
      </c>
      <c r="F853" s="331">
        <v>210</v>
      </c>
      <c r="G853" s="328"/>
      <c r="H853" s="328" t="s">
        <v>1147</v>
      </c>
      <c r="I853" s="324" t="s">
        <v>21</v>
      </c>
    </row>
    <row r="854" spans="1:9" ht="11.1" customHeight="1" outlineLevel="1">
      <c r="A854" s="325" t="s">
        <v>1152</v>
      </c>
      <c r="B854" s="325" t="s">
        <v>1272</v>
      </c>
      <c r="C854" s="325" t="s">
        <v>1273</v>
      </c>
      <c r="D854" s="325" t="s">
        <v>20</v>
      </c>
      <c r="E854" s="326">
        <v>5</v>
      </c>
      <c r="F854" s="331">
        <v>825</v>
      </c>
      <c r="G854" s="328"/>
      <c r="H854" s="328" t="s">
        <v>1147</v>
      </c>
      <c r="I854" s="324" t="s">
        <v>21</v>
      </c>
    </row>
    <row r="855" spans="1:9" ht="11.1" customHeight="1" outlineLevel="1">
      <c r="A855" s="325" t="s">
        <v>1152</v>
      </c>
      <c r="B855" s="325" t="s">
        <v>2210</v>
      </c>
      <c r="C855" s="325" t="s">
        <v>2211</v>
      </c>
      <c r="D855" s="325" t="s">
        <v>20</v>
      </c>
      <c r="E855" s="326">
        <v>1</v>
      </c>
      <c r="F855" s="331">
        <v>259.02</v>
      </c>
      <c r="G855" s="328"/>
      <c r="H855" s="328" t="s">
        <v>1147</v>
      </c>
      <c r="I855" s="324" t="s">
        <v>21</v>
      </c>
    </row>
    <row r="856" spans="1:9" ht="11.1" customHeight="1" outlineLevel="1">
      <c r="A856" s="325" t="s">
        <v>1152</v>
      </c>
      <c r="B856" s="325" t="s">
        <v>2212</v>
      </c>
      <c r="C856" s="325" t="s">
        <v>2213</v>
      </c>
      <c r="D856" s="325" t="s">
        <v>20</v>
      </c>
      <c r="E856" s="326">
        <v>1</v>
      </c>
      <c r="F856" s="331">
        <v>246.7</v>
      </c>
      <c r="G856" s="328"/>
      <c r="H856" s="328" t="s">
        <v>1147</v>
      </c>
      <c r="I856" s="324" t="s">
        <v>21</v>
      </c>
    </row>
    <row r="857" spans="1:9" ht="11.1" customHeight="1" outlineLevel="1">
      <c r="A857" s="325" t="s">
        <v>1152</v>
      </c>
      <c r="B857" s="325" t="s">
        <v>2214</v>
      </c>
      <c r="C857" s="325" t="s">
        <v>2215</v>
      </c>
      <c r="D857" s="325" t="s">
        <v>20</v>
      </c>
      <c r="E857" s="326">
        <v>1</v>
      </c>
      <c r="F857" s="331">
        <v>910</v>
      </c>
      <c r="G857" s="328"/>
      <c r="H857" s="328" t="s">
        <v>1147</v>
      </c>
      <c r="I857" s="324" t="s">
        <v>21</v>
      </c>
    </row>
    <row r="858" spans="1:9" ht="11.1" customHeight="1" outlineLevel="1">
      <c r="A858" s="325" t="s">
        <v>1152</v>
      </c>
      <c r="B858" s="325" t="s">
        <v>1274</v>
      </c>
      <c r="C858" s="325" t="s">
        <v>1275</v>
      </c>
      <c r="D858" s="325" t="s">
        <v>20</v>
      </c>
      <c r="E858" s="326">
        <v>1</v>
      </c>
      <c r="F858" s="327">
        <v>3580</v>
      </c>
      <c r="G858" s="328"/>
      <c r="H858" s="328" t="s">
        <v>1147</v>
      </c>
      <c r="I858" s="324" t="s">
        <v>21</v>
      </c>
    </row>
    <row r="859" spans="1:9" ht="11.1" customHeight="1" outlineLevel="1">
      <c r="A859" s="325" t="s">
        <v>1133</v>
      </c>
      <c r="B859" s="325" t="s">
        <v>2216</v>
      </c>
      <c r="C859" s="325" t="s">
        <v>2217</v>
      </c>
      <c r="D859" s="325" t="s">
        <v>12</v>
      </c>
      <c r="E859" s="326">
        <v>75</v>
      </c>
      <c r="F859" s="327">
        <v>1800</v>
      </c>
      <c r="G859" s="328"/>
      <c r="H859" s="328" t="s">
        <v>1147</v>
      </c>
      <c r="I859" s="324" t="s">
        <v>21</v>
      </c>
    </row>
    <row r="860" spans="1:9" ht="11.1" customHeight="1" outlineLevel="1">
      <c r="A860" s="325" t="s">
        <v>1152</v>
      </c>
      <c r="B860" s="325" t="s">
        <v>2218</v>
      </c>
      <c r="C860" s="325" t="s">
        <v>2219</v>
      </c>
      <c r="D860" s="325" t="s">
        <v>20</v>
      </c>
      <c r="E860" s="326">
        <v>1</v>
      </c>
      <c r="F860" s="331">
        <v>118.75</v>
      </c>
      <c r="G860" s="328"/>
      <c r="H860" s="328" t="s">
        <v>1147</v>
      </c>
      <c r="I860" s="324" t="s">
        <v>21</v>
      </c>
    </row>
    <row r="861" spans="1:9" ht="11.1" customHeight="1" outlineLevel="1">
      <c r="A861" s="325" t="s">
        <v>1152</v>
      </c>
      <c r="B861" s="325" t="s">
        <v>2220</v>
      </c>
      <c r="C861" s="325" t="s">
        <v>2221</v>
      </c>
      <c r="D861" s="325" t="s">
        <v>20</v>
      </c>
      <c r="E861" s="326">
        <v>2</v>
      </c>
      <c r="F861" s="331">
        <v>400</v>
      </c>
      <c r="G861" s="328"/>
      <c r="H861" s="328" t="s">
        <v>1147</v>
      </c>
      <c r="I861" s="324" t="s">
        <v>21</v>
      </c>
    </row>
    <row r="862" spans="1:9" ht="11.1" customHeight="1" outlineLevel="1">
      <c r="A862" s="325" t="s">
        <v>1152</v>
      </c>
      <c r="B862" s="325" t="s">
        <v>2222</v>
      </c>
      <c r="C862" s="325" t="s">
        <v>2223</v>
      </c>
      <c r="D862" s="325" t="s">
        <v>20</v>
      </c>
      <c r="E862" s="326">
        <v>2</v>
      </c>
      <c r="F862" s="331">
        <v>434.17</v>
      </c>
      <c r="G862" s="328"/>
      <c r="H862" s="328" t="s">
        <v>1147</v>
      </c>
      <c r="I862" s="324" t="s">
        <v>21</v>
      </c>
    </row>
    <row r="863" spans="1:9" ht="11.1" customHeight="1" outlineLevel="1">
      <c r="A863" s="325" t="s">
        <v>1152</v>
      </c>
      <c r="B863" s="325" t="s">
        <v>2224</v>
      </c>
      <c r="C863" s="325" t="s">
        <v>2225</v>
      </c>
      <c r="D863" s="325" t="s">
        <v>20</v>
      </c>
      <c r="E863" s="326">
        <v>2</v>
      </c>
      <c r="F863" s="327">
        <v>2700</v>
      </c>
      <c r="G863" s="328"/>
      <c r="H863" s="328" t="s">
        <v>1147</v>
      </c>
      <c r="I863" s="324" t="s">
        <v>21</v>
      </c>
    </row>
    <row r="864" spans="1:9" ht="11.1" customHeight="1" outlineLevel="1">
      <c r="A864" s="325" t="s">
        <v>1133</v>
      </c>
      <c r="B864" s="325" t="s">
        <v>2226</v>
      </c>
      <c r="C864" s="325" t="s">
        <v>2227</v>
      </c>
      <c r="D864" s="325" t="s">
        <v>20</v>
      </c>
      <c r="E864" s="326">
        <v>1</v>
      </c>
      <c r="F864" s="331">
        <v>43.56</v>
      </c>
      <c r="G864" s="328"/>
      <c r="H864" s="160" t="s">
        <v>560</v>
      </c>
      <c r="I864" s="324" t="s">
        <v>1070</v>
      </c>
    </row>
    <row r="865" spans="1:9" ht="11.1" customHeight="1" outlineLevel="1">
      <c r="A865" s="325" t="s">
        <v>1152</v>
      </c>
      <c r="B865" s="325" t="s">
        <v>2228</v>
      </c>
      <c r="C865" s="325" t="s">
        <v>2229</v>
      </c>
      <c r="D865" s="325" t="s">
        <v>1558</v>
      </c>
      <c r="E865" s="326">
        <v>1</v>
      </c>
      <c r="F865" s="331">
        <v>237</v>
      </c>
      <c r="G865" s="328"/>
      <c r="H865" s="328" t="s">
        <v>1147</v>
      </c>
      <c r="I865" s="324" t="s">
        <v>21</v>
      </c>
    </row>
    <row r="866" spans="1:9" ht="11.1" customHeight="1" outlineLevel="1">
      <c r="A866" s="325" t="s">
        <v>1152</v>
      </c>
      <c r="B866" s="325" t="s">
        <v>2230</v>
      </c>
      <c r="C866" s="325" t="s">
        <v>2231</v>
      </c>
      <c r="D866" s="325" t="s">
        <v>20</v>
      </c>
      <c r="E866" s="326">
        <v>1</v>
      </c>
      <c r="F866" s="327">
        <v>1769.2</v>
      </c>
      <c r="G866" s="328"/>
      <c r="H866" s="328" t="s">
        <v>1147</v>
      </c>
      <c r="I866" s="324" t="s">
        <v>21</v>
      </c>
    </row>
    <row r="867" spans="1:9" ht="11.1" customHeight="1" outlineLevel="1">
      <c r="A867" s="325" t="s">
        <v>1152</v>
      </c>
      <c r="B867" s="325" t="s">
        <v>2232</v>
      </c>
      <c r="C867" s="325" t="s">
        <v>2233</v>
      </c>
      <c r="D867" s="325" t="s">
        <v>20</v>
      </c>
      <c r="E867" s="326">
        <v>1</v>
      </c>
      <c r="F867" s="331">
        <v>75</v>
      </c>
      <c r="G867" s="328"/>
      <c r="H867" s="328" t="s">
        <v>1147</v>
      </c>
      <c r="I867" s="324" t="s">
        <v>21</v>
      </c>
    </row>
    <row r="868" spans="1:9" ht="11.1" customHeight="1" outlineLevel="1">
      <c r="A868" s="325" t="s">
        <v>1152</v>
      </c>
      <c r="B868" s="325" t="s">
        <v>1276</v>
      </c>
      <c r="C868" s="325" t="s">
        <v>1277</v>
      </c>
      <c r="D868" s="325" t="s">
        <v>20</v>
      </c>
      <c r="E868" s="326">
        <v>46</v>
      </c>
      <c r="F868" s="331">
        <v>851</v>
      </c>
      <c r="G868" s="328"/>
      <c r="H868" s="328" t="s">
        <v>1147</v>
      </c>
      <c r="I868" s="324" t="s">
        <v>21</v>
      </c>
    </row>
    <row r="869" spans="1:9" ht="11.1" customHeight="1" outlineLevel="1">
      <c r="A869" s="325" t="s">
        <v>1152</v>
      </c>
      <c r="B869" s="325" t="s">
        <v>1276</v>
      </c>
      <c r="C869" s="325" t="s">
        <v>1277</v>
      </c>
      <c r="D869" s="325" t="s">
        <v>20</v>
      </c>
      <c r="E869" s="326">
        <v>11</v>
      </c>
      <c r="F869" s="331">
        <v>203.5</v>
      </c>
      <c r="G869" s="328"/>
      <c r="H869" s="328" t="s">
        <v>1147</v>
      </c>
      <c r="I869" s="324" t="s">
        <v>21</v>
      </c>
    </row>
    <row r="870" spans="1:9" ht="11.1" customHeight="1" outlineLevel="1">
      <c r="A870" s="325" t="s">
        <v>1152</v>
      </c>
      <c r="B870" s="325" t="s">
        <v>1276</v>
      </c>
      <c r="C870" s="325" t="s">
        <v>1277</v>
      </c>
      <c r="D870" s="325" t="s">
        <v>20</v>
      </c>
      <c r="E870" s="326">
        <v>19</v>
      </c>
      <c r="F870" s="331">
        <v>912</v>
      </c>
      <c r="G870" s="328"/>
      <c r="H870" s="328" t="s">
        <v>1147</v>
      </c>
      <c r="I870" s="324" t="s">
        <v>21</v>
      </c>
    </row>
    <row r="871" spans="1:9" ht="11.1" customHeight="1" outlineLevel="1">
      <c r="A871" s="325" t="s">
        <v>1152</v>
      </c>
      <c r="B871" s="325" t="s">
        <v>2234</v>
      </c>
      <c r="C871" s="325" t="s">
        <v>2235</v>
      </c>
      <c r="D871" s="325" t="s">
        <v>20</v>
      </c>
      <c r="E871" s="326">
        <v>3</v>
      </c>
      <c r="F871" s="331">
        <v>117</v>
      </c>
      <c r="G871" s="328"/>
      <c r="H871" s="328" t="s">
        <v>1147</v>
      </c>
      <c r="I871" s="324" t="s">
        <v>21</v>
      </c>
    </row>
    <row r="872" spans="1:9" ht="11.1" customHeight="1" outlineLevel="1">
      <c r="A872" s="325" t="s">
        <v>1152</v>
      </c>
      <c r="B872" s="325" t="s">
        <v>1168</v>
      </c>
      <c r="C872" s="325" t="s">
        <v>1169</v>
      </c>
      <c r="D872" s="325" t="s">
        <v>20</v>
      </c>
      <c r="E872" s="326">
        <v>2</v>
      </c>
      <c r="F872" s="331">
        <v>81.599999999999994</v>
      </c>
      <c r="G872" s="328"/>
      <c r="H872" s="328" t="s">
        <v>1147</v>
      </c>
      <c r="I872" s="324" t="s">
        <v>21</v>
      </c>
    </row>
    <row r="873" spans="1:9" ht="11.1" customHeight="1" outlineLevel="1">
      <c r="A873" s="325" t="s">
        <v>1152</v>
      </c>
      <c r="B873" s="325" t="s">
        <v>1168</v>
      </c>
      <c r="C873" s="325" t="s">
        <v>1169</v>
      </c>
      <c r="D873" s="325" t="s">
        <v>20</v>
      </c>
      <c r="E873" s="326">
        <v>11</v>
      </c>
      <c r="F873" s="331">
        <v>788.7</v>
      </c>
      <c r="G873" s="328"/>
      <c r="H873" s="328" t="s">
        <v>1147</v>
      </c>
      <c r="I873" s="324" t="s">
        <v>21</v>
      </c>
    </row>
    <row r="874" spans="1:9" ht="11.1" customHeight="1" outlineLevel="1">
      <c r="A874" s="325" t="s">
        <v>1152</v>
      </c>
      <c r="B874" s="325" t="s">
        <v>1168</v>
      </c>
      <c r="C874" s="325" t="s">
        <v>1169</v>
      </c>
      <c r="D874" s="325" t="s">
        <v>20</v>
      </c>
      <c r="E874" s="326">
        <v>1</v>
      </c>
      <c r="F874" s="331">
        <v>92</v>
      </c>
      <c r="G874" s="328"/>
      <c r="H874" s="328" t="s">
        <v>1147</v>
      </c>
      <c r="I874" s="324" t="s">
        <v>21</v>
      </c>
    </row>
    <row r="875" spans="1:9" ht="11.1" customHeight="1" outlineLevel="1">
      <c r="A875" s="325" t="s">
        <v>1152</v>
      </c>
      <c r="B875" s="325" t="s">
        <v>1168</v>
      </c>
      <c r="C875" s="325" t="s">
        <v>1169</v>
      </c>
      <c r="D875" s="325" t="s">
        <v>20</v>
      </c>
      <c r="E875" s="326">
        <v>3</v>
      </c>
      <c r="F875" s="331">
        <v>122.4</v>
      </c>
      <c r="G875" s="328"/>
      <c r="H875" s="328" t="s">
        <v>1147</v>
      </c>
      <c r="I875" s="324" t="s">
        <v>21</v>
      </c>
    </row>
    <row r="876" spans="1:9" ht="11.1" customHeight="1" outlineLevel="1">
      <c r="A876" s="325" t="s">
        <v>1152</v>
      </c>
      <c r="B876" s="325" t="s">
        <v>1168</v>
      </c>
      <c r="C876" s="325" t="s">
        <v>1169</v>
      </c>
      <c r="D876" s="325" t="s">
        <v>20</v>
      </c>
      <c r="E876" s="326">
        <v>-5</v>
      </c>
      <c r="F876" s="331">
        <v>-344.28</v>
      </c>
      <c r="G876" s="328"/>
      <c r="H876" s="328" t="s">
        <v>1147</v>
      </c>
      <c r="I876" s="324" t="s">
        <v>21</v>
      </c>
    </row>
    <row r="877" spans="1:9" ht="11.1" customHeight="1" outlineLevel="1">
      <c r="A877" s="325" t="s">
        <v>1152</v>
      </c>
      <c r="B877" s="325" t="s">
        <v>1170</v>
      </c>
      <c r="C877" s="325" t="s">
        <v>1171</v>
      </c>
      <c r="D877" s="325" t="s">
        <v>20</v>
      </c>
      <c r="E877" s="326">
        <v>1</v>
      </c>
      <c r="F877" s="331">
        <v>159.19999999999999</v>
      </c>
      <c r="G877" s="328"/>
      <c r="H877" s="328" t="s">
        <v>1147</v>
      </c>
      <c r="I877" s="324" t="s">
        <v>21</v>
      </c>
    </row>
    <row r="878" spans="1:9" ht="11.1" customHeight="1" outlineLevel="1">
      <c r="A878" s="325" t="s">
        <v>1152</v>
      </c>
      <c r="B878" s="325" t="s">
        <v>1170</v>
      </c>
      <c r="C878" s="325" t="s">
        <v>1171</v>
      </c>
      <c r="D878" s="325" t="s">
        <v>20</v>
      </c>
      <c r="E878" s="326">
        <v>7</v>
      </c>
      <c r="F878" s="327">
        <v>1324.4</v>
      </c>
      <c r="G878" s="328"/>
      <c r="H878" s="328" t="s">
        <v>1147</v>
      </c>
      <c r="I878" s="324" t="s">
        <v>21</v>
      </c>
    </row>
    <row r="879" spans="1:9" ht="11.1" customHeight="1" outlineLevel="1">
      <c r="A879" s="325" t="s">
        <v>1133</v>
      </c>
      <c r="B879" s="325" t="s">
        <v>2236</v>
      </c>
      <c r="C879" s="325" t="s">
        <v>2237</v>
      </c>
      <c r="D879" s="325" t="s">
        <v>20</v>
      </c>
      <c r="E879" s="326">
        <v>0.4</v>
      </c>
      <c r="F879" s="331">
        <v>23.85</v>
      </c>
      <c r="G879" s="328"/>
      <c r="H879" s="328" t="s">
        <v>1147</v>
      </c>
      <c r="I879" s="324" t="s">
        <v>21</v>
      </c>
    </row>
    <row r="880" spans="1:9" ht="11.1" customHeight="1" outlineLevel="1">
      <c r="A880" s="325" t="s">
        <v>1152</v>
      </c>
      <c r="B880" s="325" t="s">
        <v>2238</v>
      </c>
      <c r="C880" s="325" t="s">
        <v>2239</v>
      </c>
      <c r="D880" s="325" t="s">
        <v>20</v>
      </c>
      <c r="E880" s="326">
        <v>2</v>
      </c>
      <c r="F880" s="331">
        <v>338.4</v>
      </c>
      <c r="G880" s="328"/>
      <c r="H880" s="328" t="s">
        <v>1147</v>
      </c>
      <c r="I880" s="324" t="s">
        <v>21</v>
      </c>
    </row>
    <row r="881" spans="1:9" ht="11.1" customHeight="1" outlineLevel="1">
      <c r="A881" s="325" t="s">
        <v>1152</v>
      </c>
      <c r="B881" s="325" t="s">
        <v>2240</v>
      </c>
      <c r="C881" s="325" t="s">
        <v>2241</v>
      </c>
      <c r="D881" s="325" t="s">
        <v>20</v>
      </c>
      <c r="E881" s="326">
        <v>2</v>
      </c>
      <c r="F881" s="327">
        <v>9770</v>
      </c>
      <c r="G881" s="328"/>
      <c r="H881" s="328" t="s">
        <v>1147</v>
      </c>
      <c r="I881" s="324" t="s">
        <v>21</v>
      </c>
    </row>
    <row r="882" spans="1:9" ht="11.1" customHeight="1" outlineLevel="1">
      <c r="A882" s="325" t="s">
        <v>1152</v>
      </c>
      <c r="B882" s="325" t="s">
        <v>2242</v>
      </c>
      <c r="C882" s="325" t="s">
        <v>2243</v>
      </c>
      <c r="D882" s="325" t="s">
        <v>20</v>
      </c>
      <c r="E882" s="326">
        <v>1</v>
      </c>
      <c r="F882" s="331">
        <v>113.33</v>
      </c>
      <c r="G882" s="328"/>
      <c r="H882" s="328" t="s">
        <v>1147</v>
      </c>
      <c r="I882" s="324" t="s">
        <v>21</v>
      </c>
    </row>
    <row r="883" spans="1:9" ht="11.1" customHeight="1" outlineLevel="1">
      <c r="A883" s="325" t="s">
        <v>1152</v>
      </c>
      <c r="B883" s="325" t="s">
        <v>2244</v>
      </c>
      <c r="C883" s="325" t="s">
        <v>2245</v>
      </c>
      <c r="D883" s="325" t="s">
        <v>20</v>
      </c>
      <c r="E883" s="326">
        <v>1</v>
      </c>
      <c r="F883" s="331">
        <v>148.33000000000001</v>
      </c>
      <c r="G883" s="328"/>
      <c r="H883" s="328" t="s">
        <v>1147</v>
      </c>
      <c r="I883" s="324" t="s">
        <v>21</v>
      </c>
    </row>
    <row r="884" spans="1:9" ht="11.1" customHeight="1" outlineLevel="1">
      <c r="A884" s="325" t="s">
        <v>1152</v>
      </c>
      <c r="B884" s="325" t="s">
        <v>2244</v>
      </c>
      <c r="C884" s="325" t="s">
        <v>2245</v>
      </c>
      <c r="D884" s="325" t="s">
        <v>20</v>
      </c>
      <c r="E884" s="326">
        <v>1</v>
      </c>
      <c r="F884" s="331">
        <v>103.33</v>
      </c>
      <c r="G884" s="328"/>
      <c r="H884" s="328" t="s">
        <v>1147</v>
      </c>
      <c r="I884" s="324" t="s">
        <v>21</v>
      </c>
    </row>
    <row r="885" spans="1:9" ht="11.1" customHeight="1" outlineLevel="1">
      <c r="A885" s="325" t="s">
        <v>1133</v>
      </c>
      <c r="B885" s="325" t="s">
        <v>2246</v>
      </c>
      <c r="C885" s="325" t="s">
        <v>2247</v>
      </c>
      <c r="D885" s="325" t="s">
        <v>20</v>
      </c>
      <c r="E885" s="326">
        <v>0.8</v>
      </c>
      <c r="F885" s="331">
        <v>135.36000000000001</v>
      </c>
      <c r="G885" s="328"/>
      <c r="H885" s="328" t="s">
        <v>1147</v>
      </c>
      <c r="I885" s="324" t="s">
        <v>21</v>
      </c>
    </row>
    <row r="886" spans="1:9" ht="11.1" customHeight="1" outlineLevel="1">
      <c r="A886" s="325" t="s">
        <v>1133</v>
      </c>
      <c r="B886" s="325" t="s">
        <v>2246</v>
      </c>
      <c r="C886" s="325" t="s">
        <v>2247</v>
      </c>
      <c r="D886" s="325" t="s">
        <v>20</v>
      </c>
      <c r="E886" s="326">
        <v>0.4</v>
      </c>
      <c r="F886" s="331">
        <v>67.680000000000007</v>
      </c>
      <c r="G886" s="328"/>
      <c r="H886" s="328" t="s">
        <v>1147</v>
      </c>
      <c r="I886" s="324" t="s">
        <v>21</v>
      </c>
    </row>
    <row r="887" spans="1:9" ht="11.1" customHeight="1" outlineLevel="1">
      <c r="A887" s="325" t="s">
        <v>1133</v>
      </c>
      <c r="B887" s="325" t="s">
        <v>1172</v>
      </c>
      <c r="C887" s="325" t="s">
        <v>1173</v>
      </c>
      <c r="D887" s="325" t="s">
        <v>886</v>
      </c>
      <c r="E887" s="326">
        <v>0.02</v>
      </c>
      <c r="F887" s="331">
        <v>930.72</v>
      </c>
      <c r="G887" s="328"/>
      <c r="H887" s="328" t="s">
        <v>1147</v>
      </c>
      <c r="I887" s="324" t="s">
        <v>21</v>
      </c>
    </row>
    <row r="888" spans="1:9" ht="11.1" customHeight="1" outlineLevel="1">
      <c r="A888" s="325" t="s">
        <v>1152</v>
      </c>
      <c r="B888" s="325" t="s">
        <v>2248</v>
      </c>
      <c r="C888" s="325" t="s">
        <v>2249</v>
      </c>
      <c r="D888" s="325" t="s">
        <v>20</v>
      </c>
      <c r="E888" s="326">
        <v>1</v>
      </c>
      <c r="F888" s="327">
        <v>1182.5</v>
      </c>
      <c r="G888" s="328"/>
      <c r="H888" s="328" t="s">
        <v>1147</v>
      </c>
      <c r="I888" s="324" t="s">
        <v>21</v>
      </c>
    </row>
    <row r="889" spans="1:9" ht="11.1" customHeight="1" outlineLevel="1">
      <c r="A889" s="325" t="s">
        <v>1152</v>
      </c>
      <c r="B889" s="325" t="s">
        <v>2250</v>
      </c>
      <c r="C889" s="325" t="s">
        <v>2251</v>
      </c>
      <c r="D889" s="325" t="s">
        <v>20</v>
      </c>
      <c r="E889" s="326">
        <v>10</v>
      </c>
      <c r="F889" s="327">
        <v>1492</v>
      </c>
      <c r="G889" s="328"/>
      <c r="H889" s="328" t="s">
        <v>1147</v>
      </c>
      <c r="I889" s="324" t="s">
        <v>21</v>
      </c>
    </row>
    <row r="890" spans="1:9" ht="11.1" customHeight="1" outlineLevel="1">
      <c r="A890" s="325" t="s">
        <v>1152</v>
      </c>
      <c r="B890" s="325" t="s">
        <v>2252</v>
      </c>
      <c r="C890" s="325" t="s">
        <v>2253</v>
      </c>
      <c r="D890" s="325" t="s">
        <v>20</v>
      </c>
      <c r="E890" s="326">
        <v>1</v>
      </c>
      <c r="F890" s="327">
        <v>1833.34</v>
      </c>
      <c r="G890" s="328"/>
      <c r="H890" s="328" t="s">
        <v>1147</v>
      </c>
      <c r="I890" s="324" t="s">
        <v>21</v>
      </c>
    </row>
    <row r="891" spans="1:9" ht="11.1" customHeight="1" outlineLevel="1">
      <c r="A891" s="325" t="s">
        <v>1152</v>
      </c>
      <c r="B891" s="325" t="s">
        <v>2254</v>
      </c>
      <c r="C891" s="325" t="s">
        <v>2255</v>
      </c>
      <c r="D891" s="325" t="s">
        <v>20</v>
      </c>
      <c r="E891" s="326">
        <v>4</v>
      </c>
      <c r="F891" s="327">
        <v>5208</v>
      </c>
      <c r="G891" s="328"/>
      <c r="H891" s="328" t="s">
        <v>1147</v>
      </c>
      <c r="I891" s="324" t="s">
        <v>21</v>
      </c>
    </row>
    <row r="892" spans="1:9" ht="11.1" customHeight="1" outlineLevel="1">
      <c r="A892" s="325" t="s">
        <v>1152</v>
      </c>
      <c r="B892" s="325" t="s">
        <v>2256</v>
      </c>
      <c r="C892" s="325" t="s">
        <v>769</v>
      </c>
      <c r="D892" s="325" t="s">
        <v>20</v>
      </c>
      <c r="E892" s="326">
        <v>6</v>
      </c>
      <c r="F892" s="327">
        <v>1440</v>
      </c>
      <c r="G892" s="328"/>
      <c r="H892" s="328" t="s">
        <v>1147</v>
      </c>
      <c r="I892" s="324" t="s">
        <v>21</v>
      </c>
    </row>
    <row r="893" spans="1:9" ht="11.1" customHeight="1" outlineLevel="1">
      <c r="A893" s="325" t="s">
        <v>1152</v>
      </c>
      <c r="B893" s="325" t="s">
        <v>2257</v>
      </c>
      <c r="C893" s="325" t="s">
        <v>2258</v>
      </c>
      <c r="D893" s="325" t="s">
        <v>20</v>
      </c>
      <c r="E893" s="326">
        <v>2</v>
      </c>
      <c r="F893" s="327">
        <v>2590</v>
      </c>
      <c r="G893" s="328"/>
      <c r="H893" s="328" t="s">
        <v>1147</v>
      </c>
      <c r="I893" s="324" t="s">
        <v>21</v>
      </c>
    </row>
    <row r="894" spans="1:9" ht="11.1" customHeight="1" outlineLevel="1">
      <c r="A894" s="325" t="s">
        <v>1152</v>
      </c>
      <c r="B894" s="325" t="s">
        <v>2259</v>
      </c>
      <c r="C894" s="325" t="s">
        <v>2260</v>
      </c>
      <c r="D894" s="325" t="s">
        <v>20</v>
      </c>
      <c r="E894" s="326">
        <v>1</v>
      </c>
      <c r="F894" s="331">
        <v>144.16999999999999</v>
      </c>
      <c r="G894" s="328"/>
      <c r="H894" s="328" t="s">
        <v>1147</v>
      </c>
      <c r="I894" s="324" t="s">
        <v>21</v>
      </c>
    </row>
    <row r="895" spans="1:9" ht="11.1" customHeight="1" outlineLevel="1">
      <c r="A895" s="325" t="s">
        <v>1152</v>
      </c>
      <c r="B895" s="325" t="s">
        <v>2261</v>
      </c>
      <c r="C895" s="325" t="s">
        <v>2262</v>
      </c>
      <c r="D895" s="325" t="s">
        <v>20</v>
      </c>
      <c r="E895" s="326">
        <v>1</v>
      </c>
      <c r="F895" s="331">
        <v>569.16999999999996</v>
      </c>
      <c r="G895" s="328"/>
      <c r="H895" s="328" t="s">
        <v>1147</v>
      </c>
      <c r="I895" s="324" t="s">
        <v>21</v>
      </c>
    </row>
    <row r="896" spans="1:9" ht="11.1" customHeight="1" outlineLevel="1">
      <c r="A896" s="325" t="s">
        <v>1152</v>
      </c>
      <c r="B896" s="325" t="s">
        <v>2263</v>
      </c>
      <c r="C896" s="325" t="s">
        <v>2264</v>
      </c>
      <c r="D896" s="325" t="s">
        <v>20</v>
      </c>
      <c r="E896" s="326">
        <v>2</v>
      </c>
      <c r="F896" s="331">
        <v>300</v>
      </c>
      <c r="G896" s="328"/>
      <c r="H896" s="328" t="s">
        <v>1147</v>
      </c>
      <c r="I896" s="324" t="s">
        <v>21</v>
      </c>
    </row>
    <row r="897" spans="1:9" ht="11.1" customHeight="1" outlineLevel="1">
      <c r="A897" s="325" t="s">
        <v>1152</v>
      </c>
      <c r="B897" s="325" t="s">
        <v>2265</v>
      </c>
      <c r="C897" s="325" t="s">
        <v>2266</v>
      </c>
      <c r="D897" s="325" t="s">
        <v>1519</v>
      </c>
      <c r="E897" s="326">
        <v>50</v>
      </c>
      <c r="F897" s="327">
        <v>1800</v>
      </c>
      <c r="G897" s="328"/>
      <c r="H897" s="328" t="s">
        <v>1147</v>
      </c>
      <c r="I897" s="324" t="s">
        <v>21</v>
      </c>
    </row>
    <row r="898" spans="1:9" ht="11.1" customHeight="1" outlineLevel="1">
      <c r="A898" s="325" t="s">
        <v>1152</v>
      </c>
      <c r="B898" s="325" t="s">
        <v>2265</v>
      </c>
      <c r="C898" s="325" t="s">
        <v>2266</v>
      </c>
      <c r="D898" s="325" t="s">
        <v>1519</v>
      </c>
      <c r="E898" s="326">
        <v>150</v>
      </c>
      <c r="F898" s="327">
        <v>5400</v>
      </c>
      <c r="G898" s="328"/>
      <c r="H898" s="328" t="s">
        <v>1147</v>
      </c>
      <c r="I898" s="324" t="s">
        <v>21</v>
      </c>
    </row>
    <row r="899" spans="1:9" ht="11.1" customHeight="1" outlineLevel="1">
      <c r="A899" s="325" t="s">
        <v>1152</v>
      </c>
      <c r="B899" s="325" t="s">
        <v>2267</v>
      </c>
      <c r="C899" s="325" t="s">
        <v>2268</v>
      </c>
      <c r="D899" s="325" t="s">
        <v>20</v>
      </c>
      <c r="E899" s="326">
        <v>1</v>
      </c>
      <c r="F899" s="331">
        <v>248.33</v>
      </c>
      <c r="G899" s="328"/>
      <c r="H899" s="328" t="s">
        <v>1147</v>
      </c>
      <c r="I899" s="324" t="s">
        <v>21</v>
      </c>
    </row>
    <row r="900" spans="1:9" ht="11.1" customHeight="1" outlineLevel="1">
      <c r="A900" s="325" t="s">
        <v>1152</v>
      </c>
      <c r="B900" s="325" t="s">
        <v>2267</v>
      </c>
      <c r="C900" s="325" t="s">
        <v>2268</v>
      </c>
      <c r="D900" s="325" t="s">
        <v>20</v>
      </c>
      <c r="E900" s="326">
        <v>2</v>
      </c>
      <c r="F900" s="331">
        <v>310</v>
      </c>
      <c r="G900" s="328"/>
      <c r="H900" s="328" t="s">
        <v>1147</v>
      </c>
      <c r="I900" s="324" t="s">
        <v>21</v>
      </c>
    </row>
    <row r="901" spans="1:9" ht="11.1" customHeight="1" outlineLevel="1">
      <c r="A901" s="325" t="s">
        <v>1152</v>
      </c>
      <c r="B901" s="325" t="s">
        <v>2267</v>
      </c>
      <c r="C901" s="325" t="s">
        <v>2268</v>
      </c>
      <c r="D901" s="325" t="s">
        <v>20</v>
      </c>
      <c r="E901" s="326">
        <v>2</v>
      </c>
      <c r="F901" s="331">
        <v>390</v>
      </c>
      <c r="G901" s="328"/>
      <c r="H901" s="328" t="s">
        <v>1147</v>
      </c>
      <c r="I901" s="324" t="s">
        <v>21</v>
      </c>
    </row>
    <row r="902" spans="1:9" ht="11.1" customHeight="1" outlineLevel="1">
      <c r="A902" s="325" t="s">
        <v>1152</v>
      </c>
      <c r="B902" s="325" t="s">
        <v>2267</v>
      </c>
      <c r="C902" s="325" t="s">
        <v>2268</v>
      </c>
      <c r="D902" s="325" t="s">
        <v>20</v>
      </c>
      <c r="E902" s="326">
        <v>2</v>
      </c>
      <c r="F902" s="331">
        <v>240</v>
      </c>
      <c r="G902" s="328"/>
      <c r="H902" s="328" t="s">
        <v>1147</v>
      </c>
      <c r="I902" s="324" t="s">
        <v>21</v>
      </c>
    </row>
    <row r="903" spans="1:9" ht="11.1" customHeight="1" outlineLevel="1">
      <c r="A903" s="325" t="s">
        <v>1152</v>
      </c>
      <c r="B903" s="325" t="s">
        <v>2269</v>
      </c>
      <c r="C903" s="325" t="s">
        <v>2270</v>
      </c>
      <c r="D903" s="325" t="s">
        <v>20</v>
      </c>
      <c r="E903" s="326">
        <v>1</v>
      </c>
      <c r="F903" s="331">
        <v>372.5</v>
      </c>
      <c r="G903" s="328"/>
      <c r="H903" s="328" t="s">
        <v>1147</v>
      </c>
      <c r="I903" s="324" t="s">
        <v>21</v>
      </c>
    </row>
    <row r="904" spans="1:9" ht="11.1" customHeight="1" outlineLevel="1">
      <c r="A904" s="325" t="s">
        <v>1152</v>
      </c>
      <c r="B904" s="325" t="s">
        <v>2271</v>
      </c>
      <c r="C904" s="325" t="s">
        <v>2272</v>
      </c>
      <c r="D904" s="325" t="s">
        <v>12</v>
      </c>
      <c r="E904" s="326">
        <v>10</v>
      </c>
      <c r="F904" s="331">
        <v>110</v>
      </c>
      <c r="G904" s="328"/>
      <c r="H904" s="328" t="s">
        <v>1147</v>
      </c>
      <c r="I904" s="324" t="s">
        <v>21</v>
      </c>
    </row>
    <row r="905" spans="1:9" ht="11.1" customHeight="1" outlineLevel="1">
      <c r="A905" s="325" t="s">
        <v>1152</v>
      </c>
      <c r="B905" s="325" t="s">
        <v>2271</v>
      </c>
      <c r="C905" s="325" t="s">
        <v>2272</v>
      </c>
      <c r="D905" s="325" t="s">
        <v>12</v>
      </c>
      <c r="E905" s="326">
        <v>103.85</v>
      </c>
      <c r="F905" s="327">
        <v>1142.3499999999999</v>
      </c>
      <c r="G905" s="328"/>
      <c r="H905" s="328" t="s">
        <v>1147</v>
      </c>
      <c r="I905" s="324" t="s">
        <v>21</v>
      </c>
    </row>
    <row r="906" spans="1:9" ht="11.1" customHeight="1" outlineLevel="1">
      <c r="A906" s="325" t="s">
        <v>1133</v>
      </c>
      <c r="B906" s="325" t="s">
        <v>2273</v>
      </c>
      <c r="C906" s="325" t="s">
        <v>2274</v>
      </c>
      <c r="D906" s="325" t="s">
        <v>20</v>
      </c>
      <c r="E906" s="326">
        <v>1</v>
      </c>
      <c r="F906" s="331">
        <v>958</v>
      </c>
      <c r="G906" s="328"/>
      <c r="H906" s="328" t="s">
        <v>1147</v>
      </c>
      <c r="I906" s="324" t="s">
        <v>21</v>
      </c>
    </row>
    <row r="907" spans="1:9" ht="11.1" customHeight="1" outlineLevel="1">
      <c r="A907" s="325" t="s">
        <v>1152</v>
      </c>
      <c r="B907" s="325" t="s">
        <v>2275</v>
      </c>
      <c r="C907" s="325" t="s">
        <v>2276</v>
      </c>
      <c r="D907" s="325" t="s">
        <v>20</v>
      </c>
      <c r="E907" s="326">
        <v>3</v>
      </c>
      <c r="F907" s="331">
        <v>412.5</v>
      </c>
      <c r="G907" s="328"/>
      <c r="H907" s="328" t="s">
        <v>1147</v>
      </c>
      <c r="I907" s="324" t="s">
        <v>21</v>
      </c>
    </row>
    <row r="908" spans="1:9" ht="11.1" customHeight="1" outlineLevel="1">
      <c r="A908" s="325" t="s">
        <v>1152</v>
      </c>
      <c r="B908" s="325" t="s">
        <v>2277</v>
      </c>
      <c r="C908" s="325" t="s">
        <v>2278</v>
      </c>
      <c r="D908" s="325" t="s">
        <v>20</v>
      </c>
      <c r="E908" s="326">
        <v>3</v>
      </c>
      <c r="F908" s="331">
        <v>933.3</v>
      </c>
      <c r="G908" s="328"/>
      <c r="H908" s="328" t="s">
        <v>1147</v>
      </c>
      <c r="I908" s="324" t="s">
        <v>21</v>
      </c>
    </row>
    <row r="909" spans="1:9" ht="11.1" customHeight="1" outlineLevel="1">
      <c r="A909" s="325" t="s">
        <v>1152</v>
      </c>
      <c r="B909" s="325" t="s">
        <v>1179</v>
      </c>
      <c r="C909" s="325" t="s">
        <v>1180</v>
      </c>
      <c r="D909" s="325" t="s">
        <v>20</v>
      </c>
      <c r="E909" s="326">
        <v>1</v>
      </c>
      <c r="F909" s="331">
        <v>694</v>
      </c>
      <c r="G909" s="328"/>
      <c r="H909" s="328" t="s">
        <v>1147</v>
      </c>
      <c r="I909" s="324" t="s">
        <v>21</v>
      </c>
    </row>
    <row r="910" spans="1:9" ht="11.1" customHeight="1" outlineLevel="1">
      <c r="A910" s="325" t="s">
        <v>1152</v>
      </c>
      <c r="B910" s="325" t="s">
        <v>1282</v>
      </c>
      <c r="C910" s="325" t="s">
        <v>1283</v>
      </c>
      <c r="D910" s="325" t="s">
        <v>20</v>
      </c>
      <c r="E910" s="326">
        <v>2</v>
      </c>
      <c r="F910" s="327">
        <v>1935</v>
      </c>
      <c r="G910" s="328"/>
      <c r="H910" s="328" t="s">
        <v>1147</v>
      </c>
      <c r="I910" s="324" t="s">
        <v>21</v>
      </c>
    </row>
    <row r="911" spans="1:9" ht="11.1" customHeight="1" outlineLevel="1">
      <c r="A911" s="325" t="s">
        <v>1152</v>
      </c>
      <c r="B911" s="325" t="s">
        <v>1282</v>
      </c>
      <c r="C911" s="325" t="s">
        <v>1283</v>
      </c>
      <c r="D911" s="325" t="s">
        <v>20</v>
      </c>
      <c r="E911" s="326">
        <v>1</v>
      </c>
      <c r="F911" s="327">
        <v>1075</v>
      </c>
      <c r="G911" s="328"/>
      <c r="H911" s="328" t="s">
        <v>1147</v>
      </c>
      <c r="I911" s="324" t="s">
        <v>21</v>
      </c>
    </row>
    <row r="912" spans="1:9" ht="11.1" customHeight="1" outlineLevel="1">
      <c r="A912" s="325" t="s">
        <v>1152</v>
      </c>
      <c r="B912" s="325" t="s">
        <v>1282</v>
      </c>
      <c r="C912" s="325" t="s">
        <v>1283</v>
      </c>
      <c r="D912" s="325" t="s">
        <v>20</v>
      </c>
      <c r="E912" s="326">
        <v>2</v>
      </c>
      <c r="F912" s="327">
        <v>2150</v>
      </c>
      <c r="G912" s="328"/>
      <c r="H912" s="328" t="s">
        <v>1147</v>
      </c>
      <c r="I912" s="324" t="s">
        <v>21</v>
      </c>
    </row>
    <row r="913" spans="1:9" ht="11.1" customHeight="1" outlineLevel="1">
      <c r="A913" s="325" t="s">
        <v>1152</v>
      </c>
      <c r="B913" s="325" t="s">
        <v>1282</v>
      </c>
      <c r="C913" s="325" t="s">
        <v>1283</v>
      </c>
      <c r="D913" s="325" t="s">
        <v>20</v>
      </c>
      <c r="E913" s="326">
        <v>1</v>
      </c>
      <c r="F913" s="327">
        <v>1075</v>
      </c>
      <c r="G913" s="328"/>
      <c r="H913" s="328" t="s">
        <v>1147</v>
      </c>
      <c r="I913" s="324" t="s">
        <v>21</v>
      </c>
    </row>
    <row r="914" spans="1:9" ht="11.1" customHeight="1" outlineLevel="1">
      <c r="A914" s="325" t="s">
        <v>1152</v>
      </c>
      <c r="B914" s="325" t="s">
        <v>2279</v>
      </c>
      <c r="C914" s="325" t="s">
        <v>2280</v>
      </c>
      <c r="D914" s="325" t="s">
        <v>20</v>
      </c>
      <c r="E914" s="326">
        <v>1</v>
      </c>
      <c r="F914" s="331">
        <v>595</v>
      </c>
      <c r="G914" s="328"/>
      <c r="H914" s="328" t="s">
        <v>1147</v>
      </c>
      <c r="I914" s="324" t="s">
        <v>21</v>
      </c>
    </row>
    <row r="915" spans="1:9" ht="11.1" customHeight="1" outlineLevel="1">
      <c r="A915" s="325" t="s">
        <v>1152</v>
      </c>
      <c r="B915" s="325" t="s">
        <v>1284</v>
      </c>
      <c r="C915" s="325" t="s">
        <v>1285</v>
      </c>
      <c r="D915" s="325" t="s">
        <v>20</v>
      </c>
      <c r="E915" s="326">
        <v>3</v>
      </c>
      <c r="F915" s="327">
        <v>5808</v>
      </c>
      <c r="G915" s="328"/>
      <c r="H915" s="328" t="s">
        <v>1147</v>
      </c>
      <c r="I915" s="324" t="s">
        <v>21</v>
      </c>
    </row>
    <row r="916" spans="1:9" ht="11.1" customHeight="1" outlineLevel="1">
      <c r="A916" s="325" t="s">
        <v>1152</v>
      </c>
      <c r="B916" s="325" t="s">
        <v>2281</v>
      </c>
      <c r="C916" s="325" t="s">
        <v>2282</v>
      </c>
      <c r="D916" s="325" t="s">
        <v>20</v>
      </c>
      <c r="E916" s="326">
        <v>1</v>
      </c>
      <c r="F916" s="327">
        <v>1508</v>
      </c>
      <c r="G916" s="328"/>
      <c r="H916" s="328" t="s">
        <v>1147</v>
      </c>
      <c r="I916" s="324" t="s">
        <v>21</v>
      </c>
    </row>
    <row r="917" spans="1:9" ht="11.1" customHeight="1" outlineLevel="1">
      <c r="A917" s="325" t="s">
        <v>1152</v>
      </c>
      <c r="B917" s="325" t="s">
        <v>2283</v>
      </c>
      <c r="C917" s="325" t="s">
        <v>2284</v>
      </c>
      <c r="D917" s="325" t="s">
        <v>20</v>
      </c>
      <c r="E917" s="326">
        <v>2</v>
      </c>
      <c r="F917" s="327">
        <v>2340</v>
      </c>
      <c r="G917" s="328"/>
      <c r="H917" s="328" t="s">
        <v>1147</v>
      </c>
      <c r="I917" s="324" t="s">
        <v>21</v>
      </c>
    </row>
    <row r="918" spans="1:9" ht="11.1" customHeight="1" outlineLevel="1">
      <c r="A918" s="325" t="s">
        <v>1152</v>
      </c>
      <c r="B918" s="325" t="s">
        <v>2285</v>
      </c>
      <c r="C918" s="325" t="s">
        <v>2286</v>
      </c>
      <c r="D918" s="325" t="s">
        <v>20</v>
      </c>
      <c r="E918" s="326">
        <v>1</v>
      </c>
      <c r="F918" s="327">
        <v>1945</v>
      </c>
      <c r="G918" s="328"/>
      <c r="H918" s="328" t="s">
        <v>1147</v>
      </c>
      <c r="I918" s="324" t="s">
        <v>21</v>
      </c>
    </row>
    <row r="919" spans="1:9" ht="11.1" customHeight="1" outlineLevel="1">
      <c r="A919" s="325" t="s">
        <v>1152</v>
      </c>
      <c r="B919" s="325" t="s">
        <v>1286</v>
      </c>
      <c r="C919" s="325" t="s">
        <v>1287</v>
      </c>
      <c r="D919" s="325" t="s">
        <v>20</v>
      </c>
      <c r="E919" s="326">
        <v>4</v>
      </c>
      <c r="F919" s="327">
        <v>3300</v>
      </c>
      <c r="G919" s="328"/>
      <c r="H919" s="328" t="s">
        <v>1147</v>
      </c>
      <c r="I919" s="324" t="s">
        <v>21</v>
      </c>
    </row>
    <row r="920" spans="1:9" ht="11.1" customHeight="1" outlineLevel="1">
      <c r="A920" s="325" t="s">
        <v>1152</v>
      </c>
      <c r="B920" s="325" t="s">
        <v>1286</v>
      </c>
      <c r="C920" s="325" t="s">
        <v>1287</v>
      </c>
      <c r="D920" s="325" t="s">
        <v>20</v>
      </c>
      <c r="E920" s="326">
        <v>1</v>
      </c>
      <c r="F920" s="327">
        <v>1106.7</v>
      </c>
      <c r="G920" s="328"/>
      <c r="H920" s="328" t="s">
        <v>1147</v>
      </c>
      <c r="I920" s="324" t="s">
        <v>21</v>
      </c>
    </row>
    <row r="921" spans="1:9" ht="11.1" customHeight="1" outlineLevel="1">
      <c r="A921" s="325" t="s">
        <v>1152</v>
      </c>
      <c r="B921" s="325" t="s">
        <v>2287</v>
      </c>
      <c r="C921" s="325" t="s">
        <v>2288</v>
      </c>
      <c r="D921" s="325" t="s">
        <v>20</v>
      </c>
      <c r="E921" s="326">
        <v>2</v>
      </c>
      <c r="F921" s="331">
        <v>157.1</v>
      </c>
      <c r="G921" s="328"/>
      <c r="H921" s="328" t="s">
        <v>1147</v>
      </c>
      <c r="I921" s="324" t="s">
        <v>21</v>
      </c>
    </row>
    <row r="922" spans="1:9" ht="11.1" customHeight="1" outlineLevel="1">
      <c r="A922" s="325" t="s">
        <v>1152</v>
      </c>
      <c r="B922" s="325" t="s">
        <v>2289</v>
      </c>
      <c r="C922" s="325" t="s">
        <v>2290</v>
      </c>
      <c r="D922" s="325" t="s">
        <v>20</v>
      </c>
      <c r="E922" s="326">
        <v>2</v>
      </c>
      <c r="F922" s="331">
        <v>167.06</v>
      </c>
      <c r="G922" s="328"/>
      <c r="H922" s="328" t="s">
        <v>1147</v>
      </c>
      <c r="I922" s="324" t="s">
        <v>21</v>
      </c>
    </row>
    <row r="923" spans="1:9" ht="11.1" customHeight="1" outlineLevel="1">
      <c r="A923" s="325" t="s">
        <v>1133</v>
      </c>
      <c r="B923" s="325" t="s">
        <v>1797</v>
      </c>
      <c r="C923" s="325" t="s">
        <v>1798</v>
      </c>
      <c r="D923" s="325" t="s">
        <v>20</v>
      </c>
      <c r="E923" s="326">
        <v>5</v>
      </c>
      <c r="F923" s="331">
        <v>893.75</v>
      </c>
      <c r="G923" s="328"/>
      <c r="H923" s="328" t="s">
        <v>1147</v>
      </c>
      <c r="I923" s="324" t="s">
        <v>21</v>
      </c>
    </row>
    <row r="924" spans="1:9" ht="11.1" customHeight="1" outlineLevel="1">
      <c r="A924" s="325" t="s">
        <v>1133</v>
      </c>
      <c r="B924" s="325" t="s">
        <v>1797</v>
      </c>
      <c r="C924" s="325" t="s">
        <v>1798</v>
      </c>
      <c r="D924" s="325" t="s">
        <v>20</v>
      </c>
      <c r="E924" s="326">
        <v>1</v>
      </c>
      <c r="F924" s="331">
        <v>178.75</v>
      </c>
      <c r="G924" s="328"/>
      <c r="H924" s="328" t="s">
        <v>1147</v>
      </c>
      <c r="I924" s="324" t="s">
        <v>21</v>
      </c>
    </row>
    <row r="925" spans="1:9" ht="11.1" customHeight="1" outlineLevel="1">
      <c r="A925" s="325" t="s">
        <v>1152</v>
      </c>
      <c r="B925" s="325" t="s">
        <v>2291</v>
      </c>
      <c r="C925" s="325" t="s">
        <v>2292</v>
      </c>
      <c r="D925" s="325" t="s">
        <v>20</v>
      </c>
      <c r="E925" s="326">
        <v>7</v>
      </c>
      <c r="F925" s="331">
        <v>408.1</v>
      </c>
      <c r="G925" s="328"/>
      <c r="H925" s="328" t="s">
        <v>1147</v>
      </c>
      <c r="I925" s="324" t="s">
        <v>21</v>
      </c>
    </row>
    <row r="926" spans="1:9" ht="11.1" customHeight="1" outlineLevel="1">
      <c r="A926" s="325" t="s">
        <v>1152</v>
      </c>
      <c r="B926" s="325" t="s">
        <v>2291</v>
      </c>
      <c r="C926" s="325" t="s">
        <v>2292</v>
      </c>
      <c r="D926" s="325" t="s">
        <v>20</v>
      </c>
      <c r="E926" s="326">
        <v>2</v>
      </c>
      <c r="F926" s="331">
        <v>116.6</v>
      </c>
      <c r="G926" s="328"/>
      <c r="H926" s="328" t="s">
        <v>1147</v>
      </c>
      <c r="I926" s="324" t="s">
        <v>21</v>
      </c>
    </row>
    <row r="927" spans="1:9" ht="11.1" customHeight="1" outlineLevel="1">
      <c r="A927" s="325" t="s">
        <v>1152</v>
      </c>
      <c r="B927" s="325" t="s">
        <v>2291</v>
      </c>
      <c r="C927" s="325" t="s">
        <v>2292</v>
      </c>
      <c r="D927" s="325" t="s">
        <v>20</v>
      </c>
      <c r="E927" s="326">
        <v>5</v>
      </c>
      <c r="F927" s="331">
        <v>291.5</v>
      </c>
      <c r="G927" s="328"/>
      <c r="H927" s="328" t="s">
        <v>1147</v>
      </c>
      <c r="I927" s="324" t="s">
        <v>21</v>
      </c>
    </row>
    <row r="928" spans="1:9" ht="11.1" customHeight="1" outlineLevel="1">
      <c r="A928" s="325" t="s">
        <v>1152</v>
      </c>
      <c r="B928" s="325" t="s">
        <v>2291</v>
      </c>
      <c r="C928" s="325" t="s">
        <v>2292</v>
      </c>
      <c r="D928" s="325" t="s">
        <v>20</v>
      </c>
      <c r="E928" s="326">
        <v>4</v>
      </c>
      <c r="F928" s="331">
        <v>233.2</v>
      </c>
      <c r="G928" s="328"/>
      <c r="H928" s="328" t="s">
        <v>1147</v>
      </c>
      <c r="I928" s="324" t="s">
        <v>21</v>
      </c>
    </row>
    <row r="929" spans="1:9" ht="11.1" customHeight="1" outlineLevel="1">
      <c r="A929" s="325" t="s">
        <v>1152</v>
      </c>
      <c r="B929" s="325" t="s">
        <v>2291</v>
      </c>
      <c r="C929" s="325" t="s">
        <v>2292</v>
      </c>
      <c r="D929" s="325" t="s">
        <v>20</v>
      </c>
      <c r="E929" s="326">
        <v>10</v>
      </c>
      <c r="F929" s="331">
        <v>583</v>
      </c>
      <c r="G929" s="328"/>
      <c r="H929" s="328" t="s">
        <v>1147</v>
      </c>
      <c r="I929" s="324" t="s">
        <v>21</v>
      </c>
    </row>
    <row r="930" spans="1:9" ht="11.1" customHeight="1" outlineLevel="1">
      <c r="A930" s="325" t="s">
        <v>1152</v>
      </c>
      <c r="B930" s="325" t="s">
        <v>2291</v>
      </c>
      <c r="C930" s="325" t="s">
        <v>2292</v>
      </c>
      <c r="D930" s="325" t="s">
        <v>20</v>
      </c>
      <c r="E930" s="326">
        <v>25</v>
      </c>
      <c r="F930" s="327">
        <v>1312.5</v>
      </c>
      <c r="G930" s="328"/>
      <c r="H930" s="328" t="s">
        <v>1147</v>
      </c>
      <c r="I930" s="324" t="s">
        <v>21</v>
      </c>
    </row>
    <row r="931" spans="1:9" ht="11.1" customHeight="1" outlineLevel="1">
      <c r="A931" s="325" t="s">
        <v>1152</v>
      </c>
      <c r="B931" s="325" t="s">
        <v>2293</v>
      </c>
      <c r="C931" s="325" t="s">
        <v>2294</v>
      </c>
      <c r="D931" s="325" t="s">
        <v>20</v>
      </c>
      <c r="E931" s="326">
        <v>1</v>
      </c>
      <c r="F931" s="327">
        <v>1439.2</v>
      </c>
      <c r="G931" s="328"/>
      <c r="H931" s="328" t="s">
        <v>1147</v>
      </c>
      <c r="I931" s="324" t="s">
        <v>21</v>
      </c>
    </row>
    <row r="932" spans="1:9" ht="11.1" customHeight="1" outlineLevel="1">
      <c r="A932" s="325" t="s">
        <v>1152</v>
      </c>
      <c r="B932" s="325" t="s">
        <v>2295</v>
      </c>
      <c r="C932" s="325" t="s">
        <v>2296</v>
      </c>
      <c r="D932" s="325" t="s">
        <v>20</v>
      </c>
      <c r="E932" s="326">
        <v>2</v>
      </c>
      <c r="F932" s="327">
        <v>6413.4</v>
      </c>
      <c r="G932" s="328"/>
      <c r="H932" s="328" t="s">
        <v>1147</v>
      </c>
      <c r="I932" s="324" t="s">
        <v>21</v>
      </c>
    </row>
    <row r="933" spans="1:9" ht="11.1" customHeight="1" outlineLevel="1">
      <c r="A933" s="325" t="s">
        <v>1152</v>
      </c>
      <c r="B933" s="325" t="s">
        <v>2297</v>
      </c>
      <c r="C933" s="325" t="s">
        <v>2298</v>
      </c>
      <c r="D933" s="325" t="s">
        <v>20</v>
      </c>
      <c r="E933" s="326">
        <v>1</v>
      </c>
      <c r="F933" s="327">
        <v>1980</v>
      </c>
      <c r="G933" s="328"/>
      <c r="H933" s="328" t="s">
        <v>1147</v>
      </c>
      <c r="I933" s="324" t="s">
        <v>21</v>
      </c>
    </row>
    <row r="934" spans="1:9" ht="11.1" customHeight="1" outlineLevel="1">
      <c r="A934" s="325" t="s">
        <v>1152</v>
      </c>
      <c r="B934" s="325" t="s">
        <v>2299</v>
      </c>
      <c r="C934" s="325" t="s">
        <v>2300</v>
      </c>
      <c r="D934" s="325" t="s">
        <v>20</v>
      </c>
      <c r="E934" s="326">
        <v>1</v>
      </c>
      <c r="F934" s="327">
        <v>1537.4</v>
      </c>
      <c r="G934" s="328"/>
      <c r="H934" s="328" t="s">
        <v>1147</v>
      </c>
      <c r="I934" s="324" t="s">
        <v>21</v>
      </c>
    </row>
    <row r="935" spans="1:9" ht="11.1" customHeight="1" outlineLevel="1">
      <c r="A935" s="325" t="s">
        <v>1152</v>
      </c>
      <c r="B935" s="325" t="s">
        <v>2301</v>
      </c>
      <c r="C935" s="325" t="s">
        <v>2302</v>
      </c>
      <c r="D935" s="325" t="s">
        <v>20</v>
      </c>
      <c r="E935" s="326">
        <v>3</v>
      </c>
      <c r="F935" s="331">
        <v>435</v>
      </c>
      <c r="G935" s="328"/>
      <c r="H935" s="328" t="s">
        <v>1147</v>
      </c>
      <c r="I935" s="324" t="s">
        <v>21</v>
      </c>
    </row>
    <row r="936" spans="1:9" ht="11.1" customHeight="1" outlineLevel="1">
      <c r="A936" s="325" t="s">
        <v>1152</v>
      </c>
      <c r="B936" s="325" t="s">
        <v>2303</v>
      </c>
      <c r="C936" s="325" t="s">
        <v>2304</v>
      </c>
      <c r="D936" s="325" t="s">
        <v>20</v>
      </c>
      <c r="E936" s="326">
        <v>1</v>
      </c>
      <c r="F936" s="331">
        <v>175</v>
      </c>
      <c r="G936" s="328"/>
      <c r="H936" s="328" t="s">
        <v>1147</v>
      </c>
      <c r="I936" s="324" t="s">
        <v>21</v>
      </c>
    </row>
    <row r="937" spans="1:9" ht="11.1" customHeight="1" outlineLevel="1">
      <c r="A937" s="325" t="s">
        <v>1133</v>
      </c>
      <c r="B937" s="325" t="s">
        <v>1205</v>
      </c>
      <c r="C937" s="325" t="s">
        <v>1206</v>
      </c>
      <c r="D937" s="325" t="s">
        <v>261</v>
      </c>
      <c r="E937" s="326">
        <v>55</v>
      </c>
      <c r="F937" s="327">
        <v>3386.85</v>
      </c>
      <c r="G937" s="328"/>
      <c r="H937" s="160" t="s">
        <v>203</v>
      </c>
      <c r="I937" s="324" t="s">
        <v>1087</v>
      </c>
    </row>
    <row r="938" spans="1:9" ht="11.1" customHeight="1" outlineLevel="1">
      <c r="A938" s="325" t="s">
        <v>1133</v>
      </c>
      <c r="B938" s="325" t="s">
        <v>1205</v>
      </c>
      <c r="C938" s="325" t="s">
        <v>1206</v>
      </c>
      <c r="D938" s="325" t="s">
        <v>261</v>
      </c>
      <c r="E938" s="326">
        <v>96</v>
      </c>
      <c r="F938" s="327">
        <v>6304.32</v>
      </c>
      <c r="G938" s="328"/>
      <c r="H938" s="160" t="s">
        <v>203</v>
      </c>
      <c r="I938" s="324" t="s">
        <v>1087</v>
      </c>
    </row>
    <row r="939" spans="1:9" ht="11.1" customHeight="1" outlineLevel="1">
      <c r="A939" s="325" t="s">
        <v>1133</v>
      </c>
      <c r="B939" s="325" t="s">
        <v>1205</v>
      </c>
      <c r="C939" s="325" t="s">
        <v>1206</v>
      </c>
      <c r="D939" s="325" t="s">
        <v>261</v>
      </c>
      <c r="E939" s="326">
        <v>69.5</v>
      </c>
      <c r="F939" s="327">
        <v>4564.0600000000004</v>
      </c>
      <c r="G939" s="328"/>
      <c r="H939" s="160" t="s">
        <v>203</v>
      </c>
      <c r="I939" s="324" t="s">
        <v>1087</v>
      </c>
    </row>
    <row r="940" spans="1:9" ht="11.1" customHeight="1" outlineLevel="1">
      <c r="A940" s="325" t="s">
        <v>1152</v>
      </c>
      <c r="B940" s="325" t="s">
        <v>2305</v>
      </c>
      <c r="C940" s="325" t="s">
        <v>2306</v>
      </c>
      <c r="D940" s="325" t="s">
        <v>1187</v>
      </c>
      <c r="E940" s="328"/>
      <c r="F940" s="331">
        <v>85.69</v>
      </c>
      <c r="G940" s="328"/>
      <c r="H940" s="328" t="s">
        <v>1147</v>
      </c>
      <c r="I940" s="324" t="s">
        <v>21</v>
      </c>
    </row>
    <row r="941" spans="1:9" ht="11.1" customHeight="1" outlineLevel="1">
      <c r="A941" s="325" t="s">
        <v>1152</v>
      </c>
      <c r="B941" s="325" t="s">
        <v>2307</v>
      </c>
      <c r="C941" s="325" t="s">
        <v>2308</v>
      </c>
      <c r="D941" s="325" t="s">
        <v>1187</v>
      </c>
      <c r="E941" s="326">
        <v>50</v>
      </c>
      <c r="F941" s="327">
        <v>3250</v>
      </c>
      <c r="G941" s="328"/>
      <c r="H941" s="328" t="s">
        <v>1147</v>
      </c>
      <c r="I941" s="324" t="s">
        <v>21</v>
      </c>
    </row>
    <row r="942" spans="1:9" ht="11.1" customHeight="1" outlineLevel="1">
      <c r="A942" s="325" t="s">
        <v>1152</v>
      </c>
      <c r="B942" s="325" t="s">
        <v>1185</v>
      </c>
      <c r="C942" s="325" t="s">
        <v>1186</v>
      </c>
      <c r="D942" s="325" t="s">
        <v>1187</v>
      </c>
      <c r="E942" s="326">
        <v>4</v>
      </c>
      <c r="F942" s="331">
        <v>508</v>
      </c>
      <c r="G942" s="328"/>
      <c r="H942" s="328" t="s">
        <v>1147</v>
      </c>
      <c r="I942" s="324" t="s">
        <v>21</v>
      </c>
    </row>
    <row r="943" spans="1:9" ht="11.1" customHeight="1" outlineLevel="1">
      <c r="A943" s="325" t="s">
        <v>1152</v>
      </c>
      <c r="B943" s="325" t="s">
        <v>1185</v>
      </c>
      <c r="C943" s="325" t="s">
        <v>1186</v>
      </c>
      <c r="D943" s="325" t="s">
        <v>1187</v>
      </c>
      <c r="E943" s="326">
        <v>3</v>
      </c>
      <c r="F943" s="331">
        <v>807.6</v>
      </c>
      <c r="G943" s="328"/>
      <c r="H943" s="328" t="s">
        <v>1147</v>
      </c>
      <c r="I943" s="324" t="s">
        <v>21</v>
      </c>
    </row>
    <row r="944" spans="1:9" ht="11.1" customHeight="1" outlineLevel="1">
      <c r="A944" s="325" t="s">
        <v>1152</v>
      </c>
      <c r="B944" s="325" t="s">
        <v>1185</v>
      </c>
      <c r="C944" s="325" t="s">
        <v>1186</v>
      </c>
      <c r="D944" s="325" t="s">
        <v>1187</v>
      </c>
      <c r="E944" s="326">
        <v>2</v>
      </c>
      <c r="F944" s="331">
        <v>531.6</v>
      </c>
      <c r="G944" s="328"/>
      <c r="H944" s="328" t="s">
        <v>1147</v>
      </c>
      <c r="I944" s="324" t="s">
        <v>21</v>
      </c>
    </row>
    <row r="945" spans="1:9" ht="11.1" customHeight="1" outlineLevel="1">
      <c r="A945" s="325" t="s">
        <v>1152</v>
      </c>
      <c r="B945" s="325" t="s">
        <v>1185</v>
      </c>
      <c r="C945" s="325" t="s">
        <v>1186</v>
      </c>
      <c r="D945" s="325" t="s">
        <v>1187</v>
      </c>
      <c r="E945" s="326">
        <v>5</v>
      </c>
      <c r="F945" s="327">
        <v>1342.6</v>
      </c>
      <c r="G945" s="328"/>
      <c r="H945" s="328" t="s">
        <v>1147</v>
      </c>
      <c r="I945" s="324" t="s">
        <v>21</v>
      </c>
    </row>
    <row r="946" spans="1:9" ht="11.1" customHeight="1" outlineLevel="1">
      <c r="A946" s="325" t="s">
        <v>1152</v>
      </c>
      <c r="B946" s="325" t="s">
        <v>1185</v>
      </c>
      <c r="C946" s="325" t="s">
        <v>1186</v>
      </c>
      <c r="D946" s="325" t="s">
        <v>1187</v>
      </c>
      <c r="E946" s="326">
        <v>7</v>
      </c>
      <c r="F946" s="327">
        <v>1360.8</v>
      </c>
      <c r="G946" s="328"/>
      <c r="H946" s="328" t="s">
        <v>1147</v>
      </c>
      <c r="I946" s="324" t="s">
        <v>21</v>
      </c>
    </row>
    <row r="947" spans="1:9" ht="11.1" customHeight="1" outlineLevel="1">
      <c r="A947" s="325" t="s">
        <v>1152</v>
      </c>
      <c r="B947" s="325" t="s">
        <v>1288</v>
      </c>
      <c r="C947" s="325" t="s">
        <v>1289</v>
      </c>
      <c r="D947" s="325" t="s">
        <v>1187</v>
      </c>
      <c r="E947" s="326">
        <v>3</v>
      </c>
      <c r="F947" s="331">
        <v>87.65</v>
      </c>
      <c r="G947" s="328"/>
      <c r="H947" s="328" t="s">
        <v>1147</v>
      </c>
      <c r="I947" s="324" t="s">
        <v>21</v>
      </c>
    </row>
    <row r="948" spans="1:9" ht="11.1" customHeight="1" outlineLevel="1">
      <c r="A948" s="325" t="s">
        <v>1152</v>
      </c>
      <c r="B948" s="325" t="s">
        <v>2309</v>
      </c>
      <c r="C948" s="325" t="s">
        <v>2310</v>
      </c>
      <c r="D948" s="325" t="s">
        <v>20</v>
      </c>
      <c r="E948" s="326">
        <v>11</v>
      </c>
      <c r="F948" s="327">
        <v>3176.6</v>
      </c>
      <c r="G948" s="328"/>
      <c r="H948" s="328" t="s">
        <v>1147</v>
      </c>
      <c r="I948" s="324" t="s">
        <v>21</v>
      </c>
    </row>
    <row r="949" spans="1:9" ht="11.1" customHeight="1" outlineLevel="1">
      <c r="A949" s="325" t="s">
        <v>1152</v>
      </c>
      <c r="B949" s="325" t="s">
        <v>2309</v>
      </c>
      <c r="C949" s="325" t="s">
        <v>2310</v>
      </c>
      <c r="D949" s="325" t="s">
        <v>20</v>
      </c>
      <c r="E949" s="326">
        <v>3</v>
      </c>
      <c r="F949" s="331">
        <v>995.5</v>
      </c>
      <c r="G949" s="328"/>
      <c r="H949" s="328" t="s">
        <v>1147</v>
      </c>
      <c r="I949" s="324" t="s">
        <v>21</v>
      </c>
    </row>
    <row r="950" spans="1:9" ht="11.1" customHeight="1" outlineLevel="1">
      <c r="A950" s="325" t="s">
        <v>1152</v>
      </c>
      <c r="B950" s="325" t="s">
        <v>2309</v>
      </c>
      <c r="C950" s="325" t="s">
        <v>2310</v>
      </c>
      <c r="D950" s="325" t="s">
        <v>20</v>
      </c>
      <c r="E950" s="326">
        <v>8</v>
      </c>
      <c r="F950" s="327">
        <v>2188.1999999999998</v>
      </c>
      <c r="G950" s="328"/>
      <c r="H950" s="328" t="s">
        <v>1147</v>
      </c>
      <c r="I950" s="324" t="s">
        <v>21</v>
      </c>
    </row>
    <row r="951" spans="1:9" ht="11.1" customHeight="1" outlineLevel="1">
      <c r="A951" s="325" t="s">
        <v>1152</v>
      </c>
      <c r="B951" s="325" t="s">
        <v>1290</v>
      </c>
      <c r="C951" s="325" t="s">
        <v>1291</v>
      </c>
      <c r="D951" s="325" t="s">
        <v>20</v>
      </c>
      <c r="E951" s="326">
        <v>3</v>
      </c>
      <c r="F951" s="327">
        <v>1026</v>
      </c>
      <c r="G951" s="328"/>
      <c r="H951" s="328" t="s">
        <v>1147</v>
      </c>
      <c r="I951" s="324" t="s">
        <v>21</v>
      </c>
    </row>
    <row r="952" spans="1:9" ht="11.1" customHeight="1" outlineLevel="1">
      <c r="A952" s="325" t="s">
        <v>1152</v>
      </c>
      <c r="B952" s="325" t="s">
        <v>1290</v>
      </c>
      <c r="C952" s="325" t="s">
        <v>1291</v>
      </c>
      <c r="D952" s="325" t="s">
        <v>20</v>
      </c>
      <c r="E952" s="326">
        <v>5</v>
      </c>
      <c r="F952" s="327">
        <v>1531.68</v>
      </c>
      <c r="G952" s="328"/>
      <c r="H952" s="328" t="s">
        <v>1147</v>
      </c>
      <c r="I952" s="324" t="s">
        <v>21</v>
      </c>
    </row>
    <row r="953" spans="1:9" ht="11.1" customHeight="1" outlineLevel="1">
      <c r="A953" s="325" t="s">
        <v>1152</v>
      </c>
      <c r="B953" s="325" t="s">
        <v>1290</v>
      </c>
      <c r="C953" s="325" t="s">
        <v>1291</v>
      </c>
      <c r="D953" s="325" t="s">
        <v>20</v>
      </c>
      <c r="E953" s="326">
        <v>5</v>
      </c>
      <c r="F953" s="327">
        <v>1145.83</v>
      </c>
      <c r="G953" s="328"/>
      <c r="H953" s="328" t="s">
        <v>1147</v>
      </c>
      <c r="I953" s="324" t="s">
        <v>21</v>
      </c>
    </row>
    <row r="954" spans="1:9" ht="11.1" customHeight="1" outlineLevel="1">
      <c r="A954" s="325" t="s">
        <v>1152</v>
      </c>
      <c r="B954" s="325" t="s">
        <v>1290</v>
      </c>
      <c r="C954" s="325" t="s">
        <v>1291</v>
      </c>
      <c r="D954" s="325" t="s">
        <v>20</v>
      </c>
      <c r="E954" s="326">
        <v>1</v>
      </c>
      <c r="F954" s="327">
        <v>1401.7</v>
      </c>
      <c r="G954" s="328"/>
      <c r="H954" s="328" t="s">
        <v>1147</v>
      </c>
      <c r="I954" s="324" t="s">
        <v>21</v>
      </c>
    </row>
    <row r="955" spans="1:9" ht="11.1" customHeight="1" outlineLevel="1">
      <c r="A955" s="325" t="s">
        <v>1152</v>
      </c>
      <c r="B955" s="325" t="s">
        <v>1290</v>
      </c>
      <c r="C955" s="325" t="s">
        <v>1291</v>
      </c>
      <c r="D955" s="325" t="s">
        <v>20</v>
      </c>
      <c r="E955" s="326">
        <v>4</v>
      </c>
      <c r="F955" s="327">
        <v>1062.49</v>
      </c>
      <c r="G955" s="328"/>
      <c r="H955" s="328" t="s">
        <v>1147</v>
      </c>
      <c r="I955" s="324" t="s">
        <v>21</v>
      </c>
    </row>
    <row r="956" spans="1:9" ht="11.1" customHeight="1" outlineLevel="1">
      <c r="A956" s="325" t="s">
        <v>1152</v>
      </c>
      <c r="B956" s="325" t="s">
        <v>2311</v>
      </c>
      <c r="C956" s="325" t="s">
        <v>2312</v>
      </c>
      <c r="D956" s="325" t="s">
        <v>20</v>
      </c>
      <c r="E956" s="326">
        <v>3</v>
      </c>
      <c r="F956" s="331">
        <v>87</v>
      </c>
      <c r="G956" s="328"/>
      <c r="H956" s="328" t="s">
        <v>1147</v>
      </c>
      <c r="I956" s="324" t="s">
        <v>21</v>
      </c>
    </row>
    <row r="957" spans="1:9" ht="11.1" customHeight="1" outlineLevel="1">
      <c r="A957" s="325" t="s">
        <v>1152</v>
      </c>
      <c r="B957" s="325" t="s">
        <v>2313</v>
      </c>
      <c r="C957" s="325" t="s">
        <v>2314</v>
      </c>
      <c r="D957" s="325" t="s">
        <v>20</v>
      </c>
      <c r="E957" s="326">
        <v>4</v>
      </c>
      <c r="F957" s="327">
        <v>3840</v>
      </c>
      <c r="G957" s="328"/>
      <c r="H957" s="328" t="s">
        <v>1147</v>
      </c>
      <c r="I957" s="324" t="s">
        <v>21</v>
      </c>
    </row>
    <row r="958" spans="1:9" ht="11.1" customHeight="1" outlineLevel="1">
      <c r="A958" s="325" t="s">
        <v>1152</v>
      </c>
      <c r="B958" s="325" t="s">
        <v>2315</v>
      </c>
      <c r="C958" s="325" t="s">
        <v>2316</v>
      </c>
      <c r="D958" s="325" t="s">
        <v>20</v>
      </c>
      <c r="E958" s="326">
        <v>5</v>
      </c>
      <c r="F958" s="327">
        <v>1606.35</v>
      </c>
      <c r="G958" s="328"/>
      <c r="H958" s="328" t="s">
        <v>1147</v>
      </c>
      <c r="I958" s="324" t="s">
        <v>21</v>
      </c>
    </row>
    <row r="959" spans="1:9" ht="11.1" customHeight="1" outlineLevel="1">
      <c r="A959" s="325" t="s">
        <v>2106</v>
      </c>
      <c r="B959" s="325" t="s">
        <v>2031</v>
      </c>
      <c r="C959" s="325" t="s">
        <v>2032</v>
      </c>
      <c r="D959" s="325" t="s">
        <v>20</v>
      </c>
      <c r="E959" s="326">
        <v>20</v>
      </c>
      <c r="F959" s="327">
        <v>1616</v>
      </c>
      <c r="G959" s="328"/>
      <c r="H959" s="328" t="s">
        <v>1147</v>
      </c>
      <c r="I959" s="324" t="s">
        <v>21</v>
      </c>
    </row>
    <row r="960" spans="1:9" ht="11.1" customHeight="1" outlineLevel="1">
      <c r="A960" s="325" t="s">
        <v>1152</v>
      </c>
      <c r="B960" s="325" t="s">
        <v>2317</v>
      </c>
      <c r="C960" s="325" t="s">
        <v>2318</v>
      </c>
      <c r="D960" s="325" t="s">
        <v>20</v>
      </c>
      <c r="E960" s="326">
        <v>2</v>
      </c>
      <c r="F960" s="331">
        <v>586.11</v>
      </c>
      <c r="G960" s="328"/>
      <c r="H960" s="328" t="s">
        <v>1147</v>
      </c>
      <c r="I960" s="324" t="s">
        <v>21</v>
      </c>
    </row>
    <row r="961" spans="1:9" ht="11.1" customHeight="1" outlineLevel="1">
      <c r="A961" s="325" t="s">
        <v>1152</v>
      </c>
      <c r="B961" s="325" t="s">
        <v>2319</v>
      </c>
      <c r="C961" s="325" t="s">
        <v>2320</v>
      </c>
      <c r="D961" s="325" t="s">
        <v>1305</v>
      </c>
      <c r="E961" s="326">
        <v>1</v>
      </c>
      <c r="F961" s="331">
        <v>233.3</v>
      </c>
      <c r="G961" s="328"/>
      <c r="H961" s="328" t="s">
        <v>1147</v>
      </c>
      <c r="I961" s="324" t="s">
        <v>21</v>
      </c>
    </row>
    <row r="962" spans="1:9" ht="11.1" customHeight="1" outlineLevel="1">
      <c r="A962" s="325" t="s">
        <v>1133</v>
      </c>
      <c r="B962" s="325" t="s">
        <v>2321</v>
      </c>
      <c r="C962" s="325" t="s">
        <v>2322</v>
      </c>
      <c r="D962" s="325" t="s">
        <v>20</v>
      </c>
      <c r="E962" s="326">
        <v>1</v>
      </c>
      <c r="F962" s="331">
        <v>554.9</v>
      </c>
      <c r="G962" s="328"/>
      <c r="H962" s="328" t="s">
        <v>1147</v>
      </c>
      <c r="I962" s="324" t="s">
        <v>21</v>
      </c>
    </row>
    <row r="963" spans="1:9" ht="11.1" customHeight="1" outlineLevel="1">
      <c r="A963" s="325" t="s">
        <v>1133</v>
      </c>
      <c r="B963" s="325" t="s">
        <v>2323</v>
      </c>
      <c r="C963" s="325" t="s">
        <v>2324</v>
      </c>
      <c r="D963" s="325" t="s">
        <v>20</v>
      </c>
      <c r="E963" s="326">
        <v>2</v>
      </c>
      <c r="F963" s="331">
        <v>208.56</v>
      </c>
      <c r="G963" s="328"/>
      <c r="H963" s="328" t="s">
        <v>1147</v>
      </c>
      <c r="I963" s="324" t="s">
        <v>21</v>
      </c>
    </row>
    <row r="964" spans="1:9" ht="11.1" customHeight="1" outlineLevel="1">
      <c r="A964" s="325" t="s">
        <v>1133</v>
      </c>
      <c r="B964" s="325" t="s">
        <v>2323</v>
      </c>
      <c r="C964" s="325" t="s">
        <v>2324</v>
      </c>
      <c r="D964" s="325" t="s">
        <v>20</v>
      </c>
      <c r="E964" s="326">
        <v>6</v>
      </c>
      <c r="F964" s="331">
        <v>608.4</v>
      </c>
      <c r="G964" s="328"/>
      <c r="H964" s="328" t="s">
        <v>1147</v>
      </c>
      <c r="I964" s="324" t="s">
        <v>21</v>
      </c>
    </row>
    <row r="965" spans="1:9" ht="11.1" customHeight="1" outlineLevel="1">
      <c r="A965" s="325" t="s">
        <v>1152</v>
      </c>
      <c r="B965" s="325" t="s">
        <v>1292</v>
      </c>
      <c r="C965" s="325" t="s">
        <v>1293</v>
      </c>
      <c r="D965" s="325" t="s">
        <v>20</v>
      </c>
      <c r="E965" s="326">
        <v>30</v>
      </c>
      <c r="F965" s="331">
        <v>720</v>
      </c>
      <c r="G965" s="328"/>
      <c r="H965" s="328" t="s">
        <v>1147</v>
      </c>
      <c r="I965" s="324" t="s">
        <v>21</v>
      </c>
    </row>
    <row r="966" spans="1:9" ht="11.1" customHeight="1" outlineLevel="1">
      <c r="A966" s="325" t="s">
        <v>1152</v>
      </c>
      <c r="B966" s="325" t="s">
        <v>1292</v>
      </c>
      <c r="C966" s="325" t="s">
        <v>1293</v>
      </c>
      <c r="D966" s="325" t="s">
        <v>20</v>
      </c>
      <c r="E966" s="326">
        <v>5</v>
      </c>
      <c r="F966" s="331">
        <v>170</v>
      </c>
      <c r="G966" s="328"/>
      <c r="H966" s="328" t="s">
        <v>1147</v>
      </c>
      <c r="I966" s="324" t="s">
        <v>21</v>
      </c>
    </row>
    <row r="967" spans="1:9" ht="11.1" customHeight="1" outlineLevel="1">
      <c r="A967" s="325" t="s">
        <v>1152</v>
      </c>
      <c r="B967" s="325" t="s">
        <v>1292</v>
      </c>
      <c r="C967" s="325" t="s">
        <v>1293</v>
      </c>
      <c r="D967" s="325" t="s">
        <v>20</v>
      </c>
      <c r="E967" s="326">
        <v>18</v>
      </c>
      <c r="F967" s="331">
        <v>432</v>
      </c>
      <c r="G967" s="328"/>
      <c r="H967" s="328" t="s">
        <v>1147</v>
      </c>
      <c r="I967" s="324" t="s">
        <v>21</v>
      </c>
    </row>
    <row r="968" spans="1:9" ht="11.1" customHeight="1" outlineLevel="1">
      <c r="A968" s="325" t="s">
        <v>1152</v>
      </c>
      <c r="B968" s="325" t="s">
        <v>2325</v>
      </c>
      <c r="C968" s="325" t="s">
        <v>2326</v>
      </c>
      <c r="D968" s="325" t="s">
        <v>20</v>
      </c>
      <c r="E968" s="335">
        <v>20000</v>
      </c>
      <c r="F968" s="327">
        <v>1650</v>
      </c>
      <c r="G968" s="328"/>
      <c r="H968" s="328" t="s">
        <v>1147</v>
      </c>
      <c r="I968" s="324" t="s">
        <v>21</v>
      </c>
    </row>
    <row r="969" spans="1:9" ht="11.1" customHeight="1" outlineLevel="1">
      <c r="A969" s="325" t="s">
        <v>1152</v>
      </c>
      <c r="B969" s="325" t="s">
        <v>2041</v>
      </c>
      <c r="C969" s="325" t="s">
        <v>2042</v>
      </c>
      <c r="D969" s="325" t="s">
        <v>20</v>
      </c>
      <c r="E969" s="326">
        <v>25</v>
      </c>
      <c r="F969" s="327">
        <v>4875</v>
      </c>
      <c r="G969" s="328"/>
      <c r="H969" s="328" t="s">
        <v>1147</v>
      </c>
      <c r="I969" s="324" t="s">
        <v>21</v>
      </c>
    </row>
    <row r="970" spans="1:9" ht="11.1" customHeight="1" outlineLevel="1">
      <c r="A970" s="325" t="s">
        <v>1152</v>
      </c>
      <c r="B970" s="325" t="s">
        <v>2041</v>
      </c>
      <c r="C970" s="325" t="s">
        <v>2042</v>
      </c>
      <c r="D970" s="325" t="s">
        <v>20</v>
      </c>
      <c r="E970" s="326">
        <v>35</v>
      </c>
      <c r="F970" s="327">
        <v>7420</v>
      </c>
      <c r="G970" s="328"/>
      <c r="H970" s="328" t="s">
        <v>1147</v>
      </c>
      <c r="I970" s="324" t="s">
        <v>21</v>
      </c>
    </row>
    <row r="971" spans="1:9" ht="11.1" customHeight="1" outlineLevel="1">
      <c r="A971" s="325" t="s">
        <v>1152</v>
      </c>
      <c r="B971" s="325" t="s">
        <v>2041</v>
      </c>
      <c r="C971" s="325" t="s">
        <v>2042</v>
      </c>
      <c r="D971" s="325" t="s">
        <v>20</v>
      </c>
      <c r="E971" s="326">
        <v>30</v>
      </c>
      <c r="F971" s="327">
        <v>5910</v>
      </c>
      <c r="G971" s="328"/>
      <c r="H971" s="328" t="s">
        <v>1147</v>
      </c>
      <c r="I971" s="324" t="s">
        <v>21</v>
      </c>
    </row>
    <row r="972" spans="1:9" ht="11.1" customHeight="1" outlineLevel="1">
      <c r="A972" s="325" t="s">
        <v>1152</v>
      </c>
      <c r="B972" s="325" t="s">
        <v>2041</v>
      </c>
      <c r="C972" s="325" t="s">
        <v>2042</v>
      </c>
      <c r="D972" s="325" t="s">
        <v>20</v>
      </c>
      <c r="E972" s="326">
        <v>30</v>
      </c>
      <c r="F972" s="327">
        <v>5910</v>
      </c>
      <c r="G972" s="328"/>
      <c r="H972" s="328" t="s">
        <v>1147</v>
      </c>
      <c r="I972" s="324" t="s">
        <v>21</v>
      </c>
    </row>
    <row r="973" spans="1:9" ht="11.1" customHeight="1" outlineLevel="1">
      <c r="A973" s="325" t="s">
        <v>1152</v>
      </c>
      <c r="B973" s="325" t="s">
        <v>2041</v>
      </c>
      <c r="C973" s="325" t="s">
        <v>2042</v>
      </c>
      <c r="D973" s="325" t="s">
        <v>20</v>
      </c>
      <c r="E973" s="326">
        <v>20</v>
      </c>
      <c r="F973" s="327">
        <v>3940</v>
      </c>
      <c r="G973" s="328"/>
      <c r="H973" s="328" t="s">
        <v>1147</v>
      </c>
      <c r="I973" s="324" t="s">
        <v>21</v>
      </c>
    </row>
    <row r="974" spans="1:9" ht="11.1" customHeight="1" outlineLevel="1">
      <c r="A974" s="325" t="s">
        <v>1152</v>
      </c>
      <c r="B974" s="325" t="s">
        <v>2041</v>
      </c>
      <c r="C974" s="325" t="s">
        <v>2042</v>
      </c>
      <c r="D974" s="325" t="s">
        <v>20</v>
      </c>
      <c r="E974" s="326">
        <v>20</v>
      </c>
      <c r="F974" s="327">
        <v>3900</v>
      </c>
      <c r="G974" s="328"/>
      <c r="H974" s="328" t="s">
        <v>1147</v>
      </c>
      <c r="I974" s="324" t="s">
        <v>21</v>
      </c>
    </row>
    <row r="975" spans="1:9" ht="11.1" customHeight="1" outlineLevel="1">
      <c r="A975" s="325" t="s">
        <v>1152</v>
      </c>
      <c r="B975" s="325" t="s">
        <v>2041</v>
      </c>
      <c r="C975" s="325" t="s">
        <v>2042</v>
      </c>
      <c r="D975" s="325" t="s">
        <v>20</v>
      </c>
      <c r="E975" s="326">
        <v>24</v>
      </c>
      <c r="F975" s="327">
        <v>5088</v>
      </c>
      <c r="G975" s="328"/>
      <c r="H975" s="328" t="s">
        <v>1147</v>
      </c>
      <c r="I975" s="324" t="s">
        <v>21</v>
      </c>
    </row>
    <row r="976" spans="1:9" ht="11.1" customHeight="1" outlineLevel="1">
      <c r="A976" s="325" t="s">
        <v>1152</v>
      </c>
      <c r="B976" s="325" t="s">
        <v>2041</v>
      </c>
      <c r="C976" s="325" t="s">
        <v>2042</v>
      </c>
      <c r="D976" s="325" t="s">
        <v>20</v>
      </c>
      <c r="E976" s="326">
        <v>-5</v>
      </c>
      <c r="F976" s="331">
        <v>-543.35</v>
      </c>
      <c r="G976" s="328"/>
      <c r="H976" s="328" t="s">
        <v>1147</v>
      </c>
      <c r="I976" s="324" t="s">
        <v>21</v>
      </c>
    </row>
    <row r="977" spans="1:9" ht="11.1" customHeight="1" outlineLevel="1">
      <c r="A977" s="325" t="s">
        <v>1152</v>
      </c>
      <c r="B977" s="325" t="s">
        <v>2041</v>
      </c>
      <c r="C977" s="325" t="s">
        <v>2042</v>
      </c>
      <c r="D977" s="325" t="s">
        <v>20</v>
      </c>
      <c r="E977" s="326">
        <v>40</v>
      </c>
      <c r="F977" s="327">
        <v>7680</v>
      </c>
      <c r="G977" s="328"/>
      <c r="H977" s="328" t="s">
        <v>1147</v>
      </c>
      <c r="I977" s="324" t="s">
        <v>21</v>
      </c>
    </row>
    <row r="978" spans="1:9" ht="11.1" customHeight="1" outlineLevel="1">
      <c r="A978" s="325" t="s">
        <v>1152</v>
      </c>
      <c r="B978" s="325" t="s">
        <v>2041</v>
      </c>
      <c r="C978" s="325" t="s">
        <v>2042</v>
      </c>
      <c r="D978" s="325" t="s">
        <v>20</v>
      </c>
      <c r="E978" s="326">
        <v>-1</v>
      </c>
      <c r="F978" s="331">
        <v>-175</v>
      </c>
      <c r="G978" s="328"/>
      <c r="H978" s="328" t="s">
        <v>1147</v>
      </c>
      <c r="I978" s="324" t="s">
        <v>21</v>
      </c>
    </row>
    <row r="979" spans="1:9" ht="11.1" customHeight="1" outlineLevel="1">
      <c r="A979" s="325" t="s">
        <v>1152</v>
      </c>
      <c r="B979" s="325" t="s">
        <v>2041</v>
      </c>
      <c r="C979" s="325" t="s">
        <v>2042</v>
      </c>
      <c r="D979" s="325" t="s">
        <v>20</v>
      </c>
      <c r="E979" s="326">
        <v>30</v>
      </c>
      <c r="F979" s="327">
        <v>5850</v>
      </c>
      <c r="G979" s="328"/>
      <c r="H979" s="328" t="s">
        <v>1147</v>
      </c>
      <c r="I979" s="324" t="s">
        <v>21</v>
      </c>
    </row>
    <row r="980" spans="1:9" ht="11.1" customHeight="1" outlineLevel="1">
      <c r="A980" s="325" t="s">
        <v>1152</v>
      </c>
      <c r="B980" s="325" t="s">
        <v>2041</v>
      </c>
      <c r="C980" s="325" t="s">
        <v>2042</v>
      </c>
      <c r="D980" s="325" t="s">
        <v>20</v>
      </c>
      <c r="E980" s="326">
        <v>30</v>
      </c>
      <c r="F980" s="327">
        <v>5910</v>
      </c>
      <c r="G980" s="328"/>
      <c r="H980" s="328" t="s">
        <v>1147</v>
      </c>
      <c r="I980" s="324" t="s">
        <v>21</v>
      </c>
    </row>
    <row r="981" spans="1:9" ht="11.1" customHeight="1" outlineLevel="1">
      <c r="A981" s="325" t="s">
        <v>1152</v>
      </c>
      <c r="B981" s="325" t="s">
        <v>2041</v>
      </c>
      <c r="C981" s="325" t="s">
        <v>2042</v>
      </c>
      <c r="D981" s="325" t="s">
        <v>20</v>
      </c>
      <c r="E981" s="326">
        <v>40</v>
      </c>
      <c r="F981" s="327">
        <v>7880</v>
      </c>
      <c r="G981" s="328"/>
      <c r="H981" s="328" t="s">
        <v>1147</v>
      </c>
      <c r="I981" s="324" t="s">
        <v>21</v>
      </c>
    </row>
    <row r="982" spans="1:9" ht="11.1" customHeight="1" outlineLevel="1">
      <c r="A982" s="325" t="s">
        <v>1152</v>
      </c>
      <c r="B982" s="325" t="s">
        <v>2041</v>
      </c>
      <c r="C982" s="325" t="s">
        <v>2042</v>
      </c>
      <c r="D982" s="325" t="s">
        <v>20</v>
      </c>
      <c r="E982" s="326">
        <v>21</v>
      </c>
      <c r="F982" s="327">
        <v>4032</v>
      </c>
      <c r="G982" s="328"/>
      <c r="H982" s="328" t="s">
        <v>1147</v>
      </c>
      <c r="I982" s="324" t="s">
        <v>21</v>
      </c>
    </row>
    <row r="983" spans="1:9" ht="11.1" customHeight="1" outlineLevel="1">
      <c r="A983" s="325" t="s">
        <v>1152</v>
      </c>
      <c r="B983" s="325" t="s">
        <v>2041</v>
      </c>
      <c r="C983" s="325" t="s">
        <v>2042</v>
      </c>
      <c r="D983" s="325" t="s">
        <v>20</v>
      </c>
      <c r="E983" s="326">
        <v>30</v>
      </c>
      <c r="F983" s="327">
        <v>5910</v>
      </c>
      <c r="G983" s="328"/>
      <c r="H983" s="328" t="s">
        <v>1147</v>
      </c>
      <c r="I983" s="324" t="s">
        <v>21</v>
      </c>
    </row>
    <row r="984" spans="1:9" ht="11.1" customHeight="1" outlineLevel="1">
      <c r="A984" s="325" t="s">
        <v>1152</v>
      </c>
      <c r="B984" s="325" t="s">
        <v>1294</v>
      </c>
      <c r="C984" s="325" t="s">
        <v>1295</v>
      </c>
      <c r="D984" s="325" t="s">
        <v>20</v>
      </c>
      <c r="E984" s="326">
        <v>4</v>
      </c>
      <c r="F984" s="331">
        <v>712</v>
      </c>
      <c r="G984" s="328"/>
      <c r="H984" s="328" t="s">
        <v>1147</v>
      </c>
      <c r="I984" s="324" t="s">
        <v>21</v>
      </c>
    </row>
    <row r="985" spans="1:9" ht="11.1" customHeight="1" outlineLevel="1">
      <c r="A985" s="325" t="s">
        <v>1152</v>
      </c>
      <c r="B985" s="325" t="s">
        <v>1294</v>
      </c>
      <c r="C985" s="325" t="s">
        <v>1295</v>
      </c>
      <c r="D985" s="325" t="s">
        <v>20</v>
      </c>
      <c r="E985" s="326">
        <v>7</v>
      </c>
      <c r="F985" s="327">
        <v>1246</v>
      </c>
      <c r="G985" s="328"/>
      <c r="H985" s="328" t="s">
        <v>1147</v>
      </c>
      <c r="I985" s="324" t="s">
        <v>21</v>
      </c>
    </row>
    <row r="986" spans="1:9" ht="11.1" customHeight="1" outlineLevel="1">
      <c r="A986" s="325" t="s">
        <v>1133</v>
      </c>
      <c r="B986" s="325" t="s">
        <v>2327</v>
      </c>
      <c r="C986" s="325" t="s">
        <v>2328</v>
      </c>
      <c r="D986" s="325" t="s">
        <v>20</v>
      </c>
      <c r="E986" s="326">
        <v>4</v>
      </c>
      <c r="F986" s="331">
        <v>643.6</v>
      </c>
      <c r="G986" s="328"/>
      <c r="H986" s="328" t="s">
        <v>1147</v>
      </c>
      <c r="I986" s="324" t="s">
        <v>21</v>
      </c>
    </row>
    <row r="987" spans="1:9" ht="11.1" customHeight="1" outlineLevel="1">
      <c r="A987" s="325" t="s">
        <v>1152</v>
      </c>
      <c r="B987" s="325" t="s">
        <v>2329</v>
      </c>
      <c r="C987" s="325" t="s">
        <v>2330</v>
      </c>
      <c r="D987" s="325" t="s">
        <v>20</v>
      </c>
      <c r="E987" s="326">
        <v>4</v>
      </c>
      <c r="F987" s="331">
        <v>384</v>
      </c>
      <c r="G987" s="328"/>
      <c r="H987" s="328" t="s">
        <v>1147</v>
      </c>
      <c r="I987" s="324" t="s">
        <v>21</v>
      </c>
    </row>
    <row r="988" spans="1:9" ht="11.1" customHeight="1" outlineLevel="1">
      <c r="A988" s="325" t="s">
        <v>1152</v>
      </c>
      <c r="B988" s="325" t="s">
        <v>2331</v>
      </c>
      <c r="C988" s="325" t="s">
        <v>2332</v>
      </c>
      <c r="D988" s="325" t="s">
        <v>14</v>
      </c>
      <c r="E988" s="326">
        <v>54</v>
      </c>
      <c r="F988" s="327">
        <v>4482</v>
      </c>
      <c r="G988" s="328"/>
      <c r="H988" s="328" t="s">
        <v>1147</v>
      </c>
      <c r="I988" s="324" t="s">
        <v>21</v>
      </c>
    </row>
    <row r="989" spans="1:9" ht="11.1" customHeight="1" outlineLevel="1">
      <c r="A989" s="325" t="s">
        <v>1152</v>
      </c>
      <c r="B989" s="325" t="s">
        <v>2333</v>
      </c>
      <c r="C989" s="325" t="s">
        <v>2334</v>
      </c>
      <c r="D989" s="325" t="s">
        <v>20</v>
      </c>
      <c r="E989" s="326">
        <v>1</v>
      </c>
      <c r="F989" s="331">
        <v>357.5</v>
      </c>
      <c r="G989" s="328"/>
      <c r="H989" s="328" t="s">
        <v>1147</v>
      </c>
      <c r="I989" s="324" t="s">
        <v>21</v>
      </c>
    </row>
    <row r="990" spans="1:9" ht="11.1" customHeight="1" outlineLevel="1">
      <c r="A990" s="325" t="s">
        <v>1152</v>
      </c>
      <c r="B990" s="325" t="s">
        <v>2333</v>
      </c>
      <c r="C990" s="325" t="s">
        <v>2334</v>
      </c>
      <c r="D990" s="325" t="s">
        <v>20</v>
      </c>
      <c r="E990" s="326">
        <v>1</v>
      </c>
      <c r="F990" s="331">
        <v>570.83000000000004</v>
      </c>
      <c r="G990" s="328"/>
      <c r="H990" s="328" t="s">
        <v>1147</v>
      </c>
      <c r="I990" s="324" t="s">
        <v>21</v>
      </c>
    </row>
    <row r="991" spans="1:9" ht="11.1" customHeight="1" outlineLevel="1">
      <c r="A991" s="325" t="s">
        <v>1152</v>
      </c>
      <c r="B991" s="325" t="s">
        <v>2335</v>
      </c>
      <c r="C991" s="325" t="s">
        <v>2336</v>
      </c>
      <c r="D991" s="325" t="s">
        <v>20</v>
      </c>
      <c r="E991" s="326">
        <v>1</v>
      </c>
      <c r="F991" s="331">
        <v>390</v>
      </c>
      <c r="G991" s="328"/>
      <c r="H991" s="328" t="s">
        <v>1147</v>
      </c>
      <c r="I991" s="324" t="s">
        <v>21</v>
      </c>
    </row>
    <row r="992" spans="1:9" ht="11.1" customHeight="1" outlineLevel="1">
      <c r="A992" s="325" t="s">
        <v>1152</v>
      </c>
      <c r="B992" s="325" t="s">
        <v>2337</v>
      </c>
      <c r="C992" s="325" t="s">
        <v>2338</v>
      </c>
      <c r="D992" s="325" t="s">
        <v>20</v>
      </c>
      <c r="E992" s="326">
        <v>3</v>
      </c>
      <c r="F992" s="327">
        <v>1297.5</v>
      </c>
      <c r="G992" s="328"/>
      <c r="H992" s="328" t="s">
        <v>1147</v>
      </c>
      <c r="I992" s="324" t="s">
        <v>21</v>
      </c>
    </row>
    <row r="993" spans="1:9" ht="11.1" customHeight="1" outlineLevel="1">
      <c r="A993" s="325" t="s">
        <v>1152</v>
      </c>
      <c r="B993" s="325" t="s">
        <v>2339</v>
      </c>
      <c r="C993" s="325" t="s">
        <v>2340</v>
      </c>
      <c r="D993" s="325" t="s">
        <v>20</v>
      </c>
      <c r="E993" s="326">
        <v>1</v>
      </c>
      <c r="F993" s="327">
        <v>2095.83</v>
      </c>
      <c r="G993" s="328"/>
      <c r="H993" s="328" t="s">
        <v>1147</v>
      </c>
      <c r="I993" s="324" t="s">
        <v>21</v>
      </c>
    </row>
    <row r="994" spans="1:9" ht="11.1" customHeight="1" outlineLevel="1">
      <c r="A994" s="325" t="s">
        <v>1152</v>
      </c>
      <c r="B994" s="325" t="s">
        <v>2339</v>
      </c>
      <c r="C994" s="325" t="s">
        <v>2340</v>
      </c>
      <c r="D994" s="325" t="s">
        <v>20</v>
      </c>
      <c r="E994" s="326">
        <v>2</v>
      </c>
      <c r="F994" s="327">
        <v>3218.34</v>
      </c>
      <c r="G994" s="328"/>
      <c r="H994" s="328" t="s">
        <v>1147</v>
      </c>
      <c r="I994" s="324" t="s">
        <v>21</v>
      </c>
    </row>
    <row r="995" spans="1:9" ht="11.1" customHeight="1" outlineLevel="1">
      <c r="A995" s="325" t="s">
        <v>1152</v>
      </c>
      <c r="B995" s="325" t="s">
        <v>2341</v>
      </c>
      <c r="C995" s="325" t="s">
        <v>2342</v>
      </c>
      <c r="D995" s="325" t="s">
        <v>20</v>
      </c>
      <c r="E995" s="326">
        <v>3</v>
      </c>
      <c r="F995" s="327">
        <v>2675</v>
      </c>
      <c r="G995" s="328"/>
      <c r="H995" s="328" t="s">
        <v>1147</v>
      </c>
      <c r="I995" s="324" t="s">
        <v>21</v>
      </c>
    </row>
    <row r="996" spans="1:9" ht="11.1" customHeight="1" outlineLevel="1">
      <c r="A996" s="325" t="s">
        <v>1152</v>
      </c>
      <c r="B996" s="325" t="s">
        <v>2343</v>
      </c>
      <c r="C996" s="325" t="s">
        <v>2344</v>
      </c>
      <c r="D996" s="325" t="s">
        <v>20</v>
      </c>
      <c r="E996" s="326">
        <v>1</v>
      </c>
      <c r="F996" s="331">
        <v>196.7</v>
      </c>
      <c r="G996" s="328"/>
      <c r="H996" s="328" t="s">
        <v>1147</v>
      </c>
      <c r="I996" s="324" t="s">
        <v>21</v>
      </c>
    </row>
    <row r="997" spans="1:9" ht="11.1" customHeight="1" outlineLevel="1">
      <c r="A997" s="325" t="s">
        <v>1152</v>
      </c>
      <c r="B997" s="325" t="s">
        <v>2345</v>
      </c>
      <c r="C997" s="325" t="s">
        <v>2346</v>
      </c>
      <c r="D997" s="325" t="s">
        <v>20</v>
      </c>
      <c r="E997" s="326">
        <v>6</v>
      </c>
      <c r="F997" s="331">
        <v>477.51</v>
      </c>
      <c r="G997" s="328"/>
      <c r="H997" s="328" t="s">
        <v>1147</v>
      </c>
      <c r="I997" s="324" t="s">
        <v>21</v>
      </c>
    </row>
    <row r="998" spans="1:9" ht="11.1" customHeight="1" outlineLevel="1">
      <c r="A998" s="325" t="s">
        <v>1152</v>
      </c>
      <c r="B998" s="325" t="s">
        <v>2345</v>
      </c>
      <c r="C998" s="325" t="s">
        <v>2346</v>
      </c>
      <c r="D998" s="325" t="s">
        <v>20</v>
      </c>
      <c r="E998" s="326">
        <v>2</v>
      </c>
      <c r="F998" s="331">
        <v>159.16999999999999</v>
      </c>
      <c r="G998" s="328"/>
      <c r="H998" s="328" t="s">
        <v>1147</v>
      </c>
      <c r="I998" s="324" t="s">
        <v>21</v>
      </c>
    </row>
    <row r="999" spans="1:9" ht="11.1" customHeight="1" outlineLevel="1">
      <c r="A999" s="325" t="s">
        <v>1152</v>
      </c>
      <c r="B999" s="325" t="s">
        <v>2347</v>
      </c>
      <c r="C999" s="325" t="s">
        <v>2348</v>
      </c>
      <c r="D999" s="325" t="s">
        <v>517</v>
      </c>
      <c r="E999" s="326">
        <v>0.29399999999999998</v>
      </c>
      <c r="F999" s="327">
        <v>15925</v>
      </c>
      <c r="G999" s="328"/>
      <c r="H999" s="328" t="s">
        <v>1147</v>
      </c>
      <c r="I999" s="324" t="s">
        <v>21</v>
      </c>
    </row>
    <row r="1000" spans="1:9" ht="11.1" customHeight="1" outlineLevel="1">
      <c r="A1000" s="325" t="s">
        <v>1152</v>
      </c>
      <c r="B1000" s="325" t="s">
        <v>2349</v>
      </c>
      <c r="C1000" s="325" t="s">
        <v>2350</v>
      </c>
      <c r="D1000" s="325" t="s">
        <v>20</v>
      </c>
      <c r="E1000" s="326">
        <v>6</v>
      </c>
      <c r="F1000" s="327">
        <v>1691.82</v>
      </c>
      <c r="G1000" s="328"/>
      <c r="H1000" s="328" t="s">
        <v>1147</v>
      </c>
      <c r="I1000" s="324" t="s">
        <v>21</v>
      </c>
    </row>
    <row r="1001" spans="1:9" ht="11.1" customHeight="1" outlineLevel="1">
      <c r="A1001" s="325" t="s">
        <v>1152</v>
      </c>
      <c r="B1001" s="325" t="s">
        <v>2349</v>
      </c>
      <c r="C1001" s="325" t="s">
        <v>2350</v>
      </c>
      <c r="D1001" s="325" t="s">
        <v>20</v>
      </c>
      <c r="E1001" s="326">
        <v>2</v>
      </c>
      <c r="F1001" s="331">
        <v>557.38</v>
      </c>
      <c r="G1001" s="328"/>
      <c r="H1001" s="328" t="s">
        <v>1147</v>
      </c>
      <c r="I1001" s="324" t="s">
        <v>21</v>
      </c>
    </row>
    <row r="1002" spans="1:9" ht="11.1" customHeight="1" outlineLevel="1">
      <c r="A1002" s="325" t="s">
        <v>1152</v>
      </c>
      <c r="B1002" s="325" t="s">
        <v>2351</v>
      </c>
      <c r="C1002" s="325" t="s">
        <v>2352</v>
      </c>
      <c r="D1002" s="325" t="s">
        <v>20</v>
      </c>
      <c r="E1002" s="326">
        <v>6</v>
      </c>
      <c r="F1002" s="327">
        <v>2761.08</v>
      </c>
      <c r="G1002" s="328"/>
      <c r="H1002" s="328" t="s">
        <v>1147</v>
      </c>
      <c r="I1002" s="324" t="s">
        <v>21</v>
      </c>
    </row>
    <row r="1003" spans="1:9" ht="11.1" customHeight="1" outlineLevel="1">
      <c r="A1003" s="325" t="s">
        <v>1152</v>
      </c>
      <c r="B1003" s="325" t="s">
        <v>2353</v>
      </c>
      <c r="C1003" s="325" t="s">
        <v>2354</v>
      </c>
      <c r="D1003" s="325" t="s">
        <v>20</v>
      </c>
      <c r="E1003" s="326">
        <v>6</v>
      </c>
      <c r="F1003" s="327">
        <v>4644.24</v>
      </c>
      <c r="G1003" s="328"/>
      <c r="H1003" s="328" t="s">
        <v>1147</v>
      </c>
      <c r="I1003" s="324" t="s">
        <v>21</v>
      </c>
    </row>
    <row r="1004" spans="1:9" ht="11.1" customHeight="1" outlineLevel="1">
      <c r="A1004" s="325" t="s">
        <v>1152</v>
      </c>
      <c r="B1004" s="325" t="s">
        <v>2355</v>
      </c>
      <c r="C1004" s="325" t="s">
        <v>2356</v>
      </c>
      <c r="D1004" s="325" t="s">
        <v>20</v>
      </c>
      <c r="E1004" s="326">
        <v>1</v>
      </c>
      <c r="F1004" s="331">
        <v>580.83000000000004</v>
      </c>
      <c r="G1004" s="328"/>
      <c r="H1004" s="328" t="s">
        <v>1147</v>
      </c>
      <c r="I1004" s="324" t="s">
        <v>21</v>
      </c>
    </row>
    <row r="1005" spans="1:9" ht="11.1" customHeight="1" outlineLevel="1">
      <c r="A1005" s="325" t="s">
        <v>1152</v>
      </c>
      <c r="B1005" s="325" t="s">
        <v>2357</v>
      </c>
      <c r="C1005" s="325" t="s">
        <v>2358</v>
      </c>
      <c r="D1005" s="325" t="s">
        <v>725</v>
      </c>
      <c r="E1005" s="328"/>
      <c r="F1005" s="327">
        <v>3396.25</v>
      </c>
      <c r="G1005" s="328"/>
      <c r="H1005" s="328" t="s">
        <v>1147</v>
      </c>
      <c r="I1005" s="324" t="s">
        <v>21</v>
      </c>
    </row>
    <row r="1006" spans="1:9" ht="11.1" customHeight="1" outlineLevel="1">
      <c r="A1006" s="325" t="s">
        <v>1133</v>
      </c>
      <c r="B1006" s="325" t="s">
        <v>2043</v>
      </c>
      <c r="C1006" s="325" t="s">
        <v>2044</v>
      </c>
      <c r="D1006" s="325" t="s">
        <v>725</v>
      </c>
      <c r="E1006" s="326">
        <v>10</v>
      </c>
      <c r="F1006" s="327">
        <v>10425</v>
      </c>
      <c r="G1006" s="328"/>
      <c r="H1006" s="328" t="s">
        <v>1147</v>
      </c>
      <c r="I1006" s="324" t="s">
        <v>21</v>
      </c>
    </row>
    <row r="1007" spans="1:9" ht="11.1" customHeight="1" outlineLevel="1">
      <c r="A1007" s="325" t="s">
        <v>1152</v>
      </c>
      <c r="B1007" s="325" t="s">
        <v>2043</v>
      </c>
      <c r="C1007" s="325" t="s">
        <v>2044</v>
      </c>
      <c r="D1007" s="325" t="s">
        <v>725</v>
      </c>
      <c r="E1007" s="326">
        <v>6</v>
      </c>
      <c r="F1007" s="327">
        <v>6255</v>
      </c>
      <c r="G1007" s="328"/>
      <c r="H1007" s="328" t="s">
        <v>1147</v>
      </c>
      <c r="I1007" s="324" t="s">
        <v>21</v>
      </c>
    </row>
    <row r="1008" spans="1:9" ht="11.1" customHeight="1" outlineLevel="1">
      <c r="A1008" s="325" t="s">
        <v>1152</v>
      </c>
      <c r="B1008" s="325" t="s">
        <v>2043</v>
      </c>
      <c r="C1008" s="325" t="s">
        <v>2044</v>
      </c>
      <c r="D1008" s="325" t="s">
        <v>725</v>
      </c>
      <c r="E1008" s="326">
        <v>10</v>
      </c>
      <c r="F1008" s="327">
        <v>10425</v>
      </c>
      <c r="G1008" s="328"/>
      <c r="H1008" s="328" t="s">
        <v>1147</v>
      </c>
      <c r="I1008" s="324" t="s">
        <v>21</v>
      </c>
    </row>
    <row r="1009" spans="1:9" ht="11.1" customHeight="1" outlineLevel="1">
      <c r="A1009" s="325" t="s">
        <v>1152</v>
      </c>
      <c r="B1009" s="325" t="s">
        <v>2043</v>
      </c>
      <c r="C1009" s="325" t="s">
        <v>2044</v>
      </c>
      <c r="D1009" s="325" t="s">
        <v>725</v>
      </c>
      <c r="E1009" s="326">
        <v>4</v>
      </c>
      <c r="F1009" s="327">
        <v>4170</v>
      </c>
      <c r="G1009" s="328"/>
      <c r="H1009" s="328" t="s">
        <v>1147</v>
      </c>
      <c r="I1009" s="324" t="s">
        <v>21</v>
      </c>
    </row>
    <row r="1010" spans="1:9" ht="11.1" customHeight="1" outlineLevel="1">
      <c r="A1010" s="325" t="s">
        <v>1152</v>
      </c>
      <c r="B1010" s="325" t="s">
        <v>2043</v>
      </c>
      <c r="C1010" s="325" t="s">
        <v>2044</v>
      </c>
      <c r="D1010" s="325" t="s">
        <v>725</v>
      </c>
      <c r="E1010" s="326">
        <v>6</v>
      </c>
      <c r="F1010" s="327">
        <v>6255</v>
      </c>
      <c r="G1010" s="328"/>
      <c r="H1010" s="328" t="s">
        <v>1147</v>
      </c>
      <c r="I1010" s="324" t="s">
        <v>21</v>
      </c>
    </row>
    <row r="1011" spans="1:9" ht="11.1" customHeight="1" outlineLevel="1">
      <c r="A1011" s="325" t="s">
        <v>1152</v>
      </c>
      <c r="B1011" s="325" t="s">
        <v>2043</v>
      </c>
      <c r="C1011" s="325" t="s">
        <v>2044</v>
      </c>
      <c r="D1011" s="325" t="s">
        <v>725</v>
      </c>
      <c r="E1011" s="326">
        <v>-6</v>
      </c>
      <c r="F1011" s="327">
        <v>-6727.5</v>
      </c>
      <c r="G1011" s="328"/>
      <c r="H1011" s="328" t="s">
        <v>1147</v>
      </c>
      <c r="I1011" s="324" t="s">
        <v>21</v>
      </c>
    </row>
    <row r="1012" spans="1:9" ht="11.1" customHeight="1" outlineLevel="1">
      <c r="A1012" s="325" t="s">
        <v>1152</v>
      </c>
      <c r="B1012" s="325" t="s">
        <v>2043</v>
      </c>
      <c r="C1012" s="325" t="s">
        <v>2044</v>
      </c>
      <c r="D1012" s="325" t="s">
        <v>725</v>
      </c>
      <c r="E1012" s="326">
        <v>10</v>
      </c>
      <c r="F1012" s="327">
        <v>10425</v>
      </c>
      <c r="G1012" s="328"/>
      <c r="H1012" s="328" t="s">
        <v>1147</v>
      </c>
      <c r="I1012" s="324" t="s">
        <v>21</v>
      </c>
    </row>
    <row r="1013" spans="1:9" ht="11.1" customHeight="1" outlineLevel="1">
      <c r="A1013" s="325" t="s">
        <v>1152</v>
      </c>
      <c r="B1013" s="325" t="s">
        <v>2043</v>
      </c>
      <c r="C1013" s="325" t="s">
        <v>2044</v>
      </c>
      <c r="D1013" s="325" t="s">
        <v>725</v>
      </c>
      <c r="E1013" s="326">
        <v>10</v>
      </c>
      <c r="F1013" s="327">
        <v>10425</v>
      </c>
      <c r="G1013" s="328"/>
      <c r="H1013" s="328" t="s">
        <v>1147</v>
      </c>
      <c r="I1013" s="324" t="s">
        <v>21</v>
      </c>
    </row>
    <row r="1014" spans="1:9" ht="11.1" customHeight="1" outlineLevel="1">
      <c r="A1014" s="325" t="s">
        <v>1152</v>
      </c>
      <c r="B1014" s="325" t="s">
        <v>2043</v>
      </c>
      <c r="C1014" s="325" t="s">
        <v>2044</v>
      </c>
      <c r="D1014" s="325" t="s">
        <v>725</v>
      </c>
      <c r="E1014" s="326">
        <v>8</v>
      </c>
      <c r="F1014" s="327">
        <v>8340</v>
      </c>
      <c r="G1014" s="328"/>
      <c r="H1014" s="328" t="s">
        <v>1147</v>
      </c>
      <c r="I1014" s="324" t="s">
        <v>21</v>
      </c>
    </row>
    <row r="1015" spans="1:9" ht="11.1" customHeight="1" outlineLevel="1">
      <c r="A1015" s="325" t="s">
        <v>1152</v>
      </c>
      <c r="B1015" s="325" t="s">
        <v>2043</v>
      </c>
      <c r="C1015" s="325" t="s">
        <v>2044</v>
      </c>
      <c r="D1015" s="325" t="s">
        <v>725</v>
      </c>
      <c r="E1015" s="326">
        <v>4</v>
      </c>
      <c r="F1015" s="327">
        <v>4170</v>
      </c>
      <c r="G1015" s="328"/>
      <c r="H1015" s="328" t="s">
        <v>1147</v>
      </c>
      <c r="I1015" s="324" t="s">
        <v>21</v>
      </c>
    </row>
    <row r="1016" spans="1:9" ht="11.1" customHeight="1" outlineLevel="1">
      <c r="A1016" s="325" t="s">
        <v>1152</v>
      </c>
      <c r="B1016" s="325" t="s">
        <v>1207</v>
      </c>
      <c r="C1016" s="325" t="s">
        <v>1208</v>
      </c>
      <c r="D1016" s="325" t="s">
        <v>725</v>
      </c>
      <c r="E1016" s="326">
        <v>-0.45</v>
      </c>
      <c r="F1016" s="331">
        <v>-315</v>
      </c>
      <c r="G1016" s="328"/>
      <c r="H1016" s="328" t="s">
        <v>1147</v>
      </c>
      <c r="I1016" s="324" t="s">
        <v>21</v>
      </c>
    </row>
    <row r="1017" spans="1:9" ht="11.1" customHeight="1" outlineLevel="1">
      <c r="A1017" s="325" t="s">
        <v>1152</v>
      </c>
      <c r="B1017" s="325" t="s">
        <v>1207</v>
      </c>
      <c r="C1017" s="325" t="s">
        <v>1208</v>
      </c>
      <c r="D1017" s="325" t="s">
        <v>725</v>
      </c>
      <c r="E1017" s="326">
        <v>0.45</v>
      </c>
      <c r="F1017" s="331">
        <v>469.12</v>
      </c>
      <c r="G1017" s="328"/>
      <c r="H1017" s="328" t="s">
        <v>1147</v>
      </c>
      <c r="I1017" s="324" t="s">
        <v>21</v>
      </c>
    </row>
    <row r="1018" spans="1:9" ht="11.1" customHeight="1" outlineLevel="1">
      <c r="A1018" s="325" t="s">
        <v>1133</v>
      </c>
      <c r="B1018" s="325" t="s">
        <v>2359</v>
      </c>
      <c r="C1018" s="325" t="s">
        <v>2360</v>
      </c>
      <c r="D1018" s="325" t="s">
        <v>20</v>
      </c>
      <c r="E1018" s="326">
        <v>13</v>
      </c>
      <c r="F1018" s="331">
        <v>520</v>
      </c>
      <c r="G1018" s="328"/>
      <c r="H1018" s="328" t="s">
        <v>1147</v>
      </c>
      <c r="I1018" s="324" t="s">
        <v>21</v>
      </c>
    </row>
    <row r="1019" spans="1:9" ht="11.1" customHeight="1" outlineLevel="1">
      <c r="A1019" s="325" t="s">
        <v>1152</v>
      </c>
      <c r="B1019" s="325" t="s">
        <v>2361</v>
      </c>
      <c r="C1019" s="325" t="s">
        <v>2362</v>
      </c>
      <c r="D1019" s="325" t="s">
        <v>20</v>
      </c>
      <c r="E1019" s="326">
        <v>1</v>
      </c>
      <c r="F1019" s="327">
        <v>3495</v>
      </c>
      <c r="G1019" s="328"/>
      <c r="H1019" s="328" t="s">
        <v>1147</v>
      </c>
      <c r="I1019" s="324" t="s">
        <v>21</v>
      </c>
    </row>
    <row r="1020" spans="1:9" ht="11.1" customHeight="1" outlineLevel="1">
      <c r="A1020" s="325" t="s">
        <v>1152</v>
      </c>
      <c r="B1020" s="325" t="s">
        <v>2363</v>
      </c>
      <c r="C1020" s="325" t="s">
        <v>2364</v>
      </c>
      <c r="D1020" s="325" t="s">
        <v>20</v>
      </c>
      <c r="E1020" s="326">
        <v>1</v>
      </c>
      <c r="F1020" s="331">
        <v>200</v>
      </c>
      <c r="G1020" s="328"/>
      <c r="H1020" s="328" t="s">
        <v>1147</v>
      </c>
      <c r="I1020" s="324" t="s">
        <v>21</v>
      </c>
    </row>
    <row r="1021" spans="1:9" ht="11.1" customHeight="1" outlineLevel="1">
      <c r="A1021" s="325" t="s">
        <v>1152</v>
      </c>
      <c r="B1021" s="325" t="s">
        <v>1296</v>
      </c>
      <c r="C1021" s="325" t="s">
        <v>1297</v>
      </c>
      <c r="D1021" s="325" t="s">
        <v>20</v>
      </c>
      <c r="E1021" s="326">
        <v>4</v>
      </c>
      <c r="F1021" s="331">
        <v>876.6</v>
      </c>
      <c r="G1021" s="328"/>
      <c r="H1021" s="328" t="s">
        <v>1147</v>
      </c>
      <c r="I1021" s="324" t="s">
        <v>21</v>
      </c>
    </row>
    <row r="1022" spans="1:9" ht="11.1" customHeight="1" outlineLevel="1">
      <c r="A1022" s="325" t="s">
        <v>1133</v>
      </c>
      <c r="B1022" s="325" t="s">
        <v>2365</v>
      </c>
      <c r="C1022" s="325" t="s">
        <v>2366</v>
      </c>
      <c r="D1022" s="325" t="s">
        <v>20</v>
      </c>
      <c r="E1022" s="326">
        <v>2</v>
      </c>
      <c r="F1022" s="331">
        <v>86.16</v>
      </c>
      <c r="G1022" s="328"/>
      <c r="H1022" s="160" t="s">
        <v>557</v>
      </c>
      <c r="I1022" s="324" t="s">
        <v>1070</v>
      </c>
    </row>
    <row r="1023" spans="1:9" ht="11.1" customHeight="1" outlineLevel="1">
      <c r="A1023" s="325" t="s">
        <v>1133</v>
      </c>
      <c r="B1023" s="325" t="s">
        <v>2365</v>
      </c>
      <c r="C1023" s="325" t="s">
        <v>2366</v>
      </c>
      <c r="D1023" s="325" t="s">
        <v>20</v>
      </c>
      <c r="E1023" s="326">
        <v>1</v>
      </c>
      <c r="F1023" s="331">
        <v>43.68</v>
      </c>
      <c r="G1023" s="328"/>
      <c r="H1023" s="160" t="s">
        <v>557</v>
      </c>
      <c r="I1023" s="324" t="s">
        <v>1070</v>
      </c>
    </row>
    <row r="1024" spans="1:9" ht="11.1" customHeight="1" outlineLevel="1">
      <c r="A1024" s="325" t="s">
        <v>1133</v>
      </c>
      <c r="B1024" s="325" t="s">
        <v>2367</v>
      </c>
      <c r="C1024" s="325" t="s">
        <v>2368</v>
      </c>
      <c r="D1024" s="325" t="s">
        <v>20</v>
      </c>
      <c r="E1024" s="326">
        <v>1</v>
      </c>
      <c r="F1024" s="331">
        <v>81</v>
      </c>
      <c r="G1024" s="328"/>
      <c r="H1024" s="160" t="s">
        <v>557</v>
      </c>
      <c r="I1024" s="324" t="s">
        <v>1070</v>
      </c>
    </row>
    <row r="1025" spans="1:9" ht="11.1" customHeight="1" outlineLevel="1">
      <c r="A1025" s="325" t="s">
        <v>1133</v>
      </c>
      <c r="B1025" s="325" t="s">
        <v>2367</v>
      </c>
      <c r="C1025" s="325" t="s">
        <v>2368</v>
      </c>
      <c r="D1025" s="325" t="s">
        <v>20</v>
      </c>
      <c r="E1025" s="326">
        <v>2</v>
      </c>
      <c r="F1025" s="331">
        <v>156.72</v>
      </c>
      <c r="G1025" s="328"/>
      <c r="H1025" s="160" t="s">
        <v>557</v>
      </c>
      <c r="I1025" s="324" t="s">
        <v>1070</v>
      </c>
    </row>
    <row r="1026" spans="1:9" ht="11.1" customHeight="1" outlineLevel="1">
      <c r="A1026" s="325" t="s">
        <v>1133</v>
      </c>
      <c r="B1026" s="325" t="s">
        <v>2369</v>
      </c>
      <c r="C1026" s="325" t="s">
        <v>2370</v>
      </c>
      <c r="D1026" s="325" t="s">
        <v>20</v>
      </c>
      <c r="E1026" s="326">
        <v>5</v>
      </c>
      <c r="F1026" s="331">
        <v>93.6</v>
      </c>
      <c r="G1026" s="328"/>
      <c r="H1026" s="160" t="s">
        <v>557</v>
      </c>
      <c r="I1026" s="324" t="s">
        <v>1070</v>
      </c>
    </row>
    <row r="1027" spans="1:9" ht="11.1" customHeight="1" outlineLevel="1">
      <c r="A1027" s="325" t="s">
        <v>1133</v>
      </c>
      <c r="B1027" s="325" t="s">
        <v>1870</v>
      </c>
      <c r="C1027" s="325" t="s">
        <v>1871</v>
      </c>
      <c r="D1027" s="325" t="s">
        <v>20</v>
      </c>
      <c r="E1027" s="326">
        <v>5</v>
      </c>
      <c r="F1027" s="331">
        <v>91.8</v>
      </c>
      <c r="G1027" s="328"/>
      <c r="H1027" s="160" t="s">
        <v>557</v>
      </c>
      <c r="I1027" s="324" t="s">
        <v>1070</v>
      </c>
    </row>
    <row r="1028" spans="1:9" ht="11.1" customHeight="1" outlineLevel="1">
      <c r="A1028" s="325" t="s">
        <v>1133</v>
      </c>
      <c r="B1028" s="325" t="s">
        <v>1870</v>
      </c>
      <c r="C1028" s="325" t="s">
        <v>1871</v>
      </c>
      <c r="D1028" s="325" t="s">
        <v>20</v>
      </c>
      <c r="E1028" s="326">
        <v>4</v>
      </c>
      <c r="F1028" s="331">
        <v>72.48</v>
      </c>
      <c r="G1028" s="328"/>
      <c r="H1028" s="160" t="s">
        <v>557</v>
      </c>
      <c r="I1028" s="324" t="s">
        <v>1070</v>
      </c>
    </row>
    <row r="1029" spans="1:9" ht="11.1" customHeight="1" outlineLevel="1">
      <c r="A1029" s="325" t="s">
        <v>1133</v>
      </c>
      <c r="B1029" s="325" t="s">
        <v>2371</v>
      </c>
      <c r="C1029" s="325" t="s">
        <v>2372</v>
      </c>
      <c r="D1029" s="325" t="s">
        <v>1519</v>
      </c>
      <c r="E1029" s="326">
        <v>9</v>
      </c>
      <c r="F1029" s="331">
        <v>113.4</v>
      </c>
      <c r="G1029" s="328"/>
      <c r="H1029" s="328" t="s">
        <v>1147</v>
      </c>
      <c r="I1029" s="324" t="s">
        <v>21</v>
      </c>
    </row>
    <row r="1030" spans="1:9" ht="11.1" customHeight="1" outlineLevel="1">
      <c r="A1030" s="325" t="s">
        <v>1133</v>
      </c>
      <c r="B1030" s="325" t="s">
        <v>2373</v>
      </c>
      <c r="C1030" s="325" t="s">
        <v>2374</v>
      </c>
      <c r="D1030" s="325" t="s">
        <v>295</v>
      </c>
      <c r="E1030" s="326">
        <v>20</v>
      </c>
      <c r="F1030" s="331">
        <v>53.59</v>
      </c>
      <c r="G1030" s="328"/>
      <c r="H1030" s="160" t="s">
        <v>629</v>
      </c>
      <c r="I1030" s="324" t="s">
        <v>289</v>
      </c>
    </row>
    <row r="1031" spans="1:9" ht="11.1" customHeight="1" outlineLevel="1">
      <c r="A1031" s="325" t="s">
        <v>1133</v>
      </c>
      <c r="B1031" s="325" t="s">
        <v>2375</v>
      </c>
      <c r="C1031" s="325" t="s">
        <v>2376</v>
      </c>
      <c r="D1031" s="325" t="s">
        <v>20</v>
      </c>
      <c r="E1031" s="326">
        <v>1</v>
      </c>
      <c r="F1031" s="331">
        <v>128.76</v>
      </c>
      <c r="G1031" s="328"/>
      <c r="H1031" s="328" t="s">
        <v>1906</v>
      </c>
      <c r="I1031" s="324" t="s">
        <v>1070</v>
      </c>
    </row>
    <row r="1032" spans="1:9" ht="11.1" customHeight="1" outlineLevel="1">
      <c r="A1032" s="325" t="s">
        <v>1133</v>
      </c>
      <c r="B1032" s="325" t="s">
        <v>2377</v>
      </c>
      <c r="C1032" s="325" t="s">
        <v>2378</v>
      </c>
      <c r="D1032" s="325" t="s">
        <v>20</v>
      </c>
      <c r="E1032" s="326">
        <v>2</v>
      </c>
      <c r="F1032" s="331">
        <v>35.76</v>
      </c>
      <c r="G1032" s="328"/>
      <c r="H1032" s="336" t="s">
        <v>2379</v>
      </c>
      <c r="I1032" s="324" t="s">
        <v>425</v>
      </c>
    </row>
    <row r="1033" spans="1:9" ht="11.1" customHeight="1" outlineLevel="1">
      <c r="A1033" s="325" t="s">
        <v>1152</v>
      </c>
      <c r="B1033" s="325" t="s">
        <v>2380</v>
      </c>
      <c r="C1033" s="325" t="s">
        <v>2381</v>
      </c>
      <c r="D1033" s="325" t="s">
        <v>20</v>
      </c>
      <c r="E1033" s="326">
        <v>8</v>
      </c>
      <c r="F1033" s="331">
        <v>858.56</v>
      </c>
      <c r="G1033" s="328"/>
      <c r="H1033" s="328" t="s">
        <v>1147</v>
      </c>
      <c r="I1033" s="324" t="s">
        <v>21</v>
      </c>
    </row>
    <row r="1034" spans="1:9" ht="11.1" customHeight="1" outlineLevel="1">
      <c r="A1034" s="325" t="s">
        <v>1133</v>
      </c>
      <c r="B1034" s="325" t="s">
        <v>2382</v>
      </c>
      <c r="C1034" s="325" t="s">
        <v>2383</v>
      </c>
      <c r="D1034" s="325" t="s">
        <v>20</v>
      </c>
      <c r="E1034" s="335">
        <v>1050</v>
      </c>
      <c r="F1034" s="331">
        <v>113.05</v>
      </c>
      <c r="G1034" s="328"/>
      <c r="H1034" s="160" t="s">
        <v>1561</v>
      </c>
      <c r="I1034" s="324" t="s">
        <v>1307</v>
      </c>
    </row>
    <row r="1035" spans="1:9" ht="11.1" customHeight="1" outlineLevel="1">
      <c r="A1035" s="325" t="s">
        <v>1133</v>
      </c>
      <c r="B1035" s="325" t="s">
        <v>2384</v>
      </c>
      <c r="C1035" s="325" t="s">
        <v>2385</v>
      </c>
      <c r="D1035" s="325" t="s">
        <v>1519</v>
      </c>
      <c r="E1035" s="326">
        <v>1</v>
      </c>
      <c r="F1035" s="331">
        <v>221.4</v>
      </c>
      <c r="G1035" s="328"/>
      <c r="H1035" s="160" t="s">
        <v>1511</v>
      </c>
      <c r="I1035" s="324" t="s">
        <v>1105</v>
      </c>
    </row>
    <row r="1036" spans="1:9" ht="11.1" customHeight="1" outlineLevel="1">
      <c r="A1036" s="325" t="s">
        <v>1133</v>
      </c>
      <c r="B1036" s="325" t="s">
        <v>2386</v>
      </c>
      <c r="C1036" s="325" t="s">
        <v>2387</v>
      </c>
      <c r="D1036" s="325" t="s">
        <v>20</v>
      </c>
      <c r="E1036" s="326">
        <v>8</v>
      </c>
      <c r="F1036" s="327">
        <v>14493.77</v>
      </c>
      <c r="G1036" s="328"/>
      <c r="H1036" s="328" t="s">
        <v>2388</v>
      </c>
      <c r="I1036" s="324" t="s">
        <v>1307</v>
      </c>
    </row>
    <row r="1037" spans="1:9" ht="11.1" customHeight="1" outlineLevel="1">
      <c r="A1037" s="325" t="s">
        <v>1152</v>
      </c>
      <c r="B1037" s="325" t="s">
        <v>2389</v>
      </c>
      <c r="C1037" s="325" t="s">
        <v>2390</v>
      </c>
      <c r="D1037" s="325" t="s">
        <v>20</v>
      </c>
      <c r="E1037" s="326">
        <v>1</v>
      </c>
      <c r="F1037" s="331">
        <v>305.83</v>
      </c>
      <c r="G1037" s="328"/>
      <c r="H1037" s="328" t="s">
        <v>1147</v>
      </c>
      <c r="I1037" s="324" t="s">
        <v>21</v>
      </c>
    </row>
    <row r="1038" spans="1:9" ht="11.1" customHeight="1" outlineLevel="1">
      <c r="A1038" s="325" t="s">
        <v>1152</v>
      </c>
      <c r="B1038" s="325" t="s">
        <v>2389</v>
      </c>
      <c r="C1038" s="325" t="s">
        <v>2390</v>
      </c>
      <c r="D1038" s="325" t="s">
        <v>20</v>
      </c>
      <c r="E1038" s="326">
        <v>1</v>
      </c>
      <c r="F1038" s="327">
        <v>1122.5</v>
      </c>
      <c r="G1038" s="328"/>
      <c r="H1038" s="328" t="s">
        <v>1147</v>
      </c>
      <c r="I1038" s="324" t="s">
        <v>21</v>
      </c>
    </row>
    <row r="1039" spans="1:9" ht="11.1" customHeight="1" outlineLevel="1">
      <c r="A1039" s="325" t="s">
        <v>1152</v>
      </c>
      <c r="B1039" s="325" t="s">
        <v>2391</v>
      </c>
      <c r="C1039" s="325" t="s">
        <v>2392</v>
      </c>
      <c r="D1039" s="325" t="s">
        <v>20</v>
      </c>
      <c r="E1039" s="326">
        <v>1</v>
      </c>
      <c r="F1039" s="331">
        <v>305.83</v>
      </c>
      <c r="G1039" s="328"/>
      <c r="H1039" s="328" t="s">
        <v>1147</v>
      </c>
      <c r="I1039" s="324" t="s">
        <v>21</v>
      </c>
    </row>
    <row r="1040" spans="1:9" ht="11.1" customHeight="1" outlineLevel="1">
      <c r="A1040" s="325" t="s">
        <v>1152</v>
      </c>
      <c r="B1040" s="325" t="s">
        <v>2393</v>
      </c>
      <c r="C1040" s="325" t="s">
        <v>2394</v>
      </c>
      <c r="D1040" s="325" t="s">
        <v>14</v>
      </c>
      <c r="E1040" s="326">
        <v>60</v>
      </c>
      <c r="F1040" s="327">
        <v>4200</v>
      </c>
      <c r="G1040" s="328"/>
      <c r="H1040" s="328" t="s">
        <v>1147</v>
      </c>
      <c r="I1040" s="324" t="s">
        <v>21</v>
      </c>
    </row>
    <row r="1041" spans="1:9" ht="11.1" customHeight="1" outlineLevel="1">
      <c r="A1041" s="325" t="s">
        <v>1152</v>
      </c>
      <c r="B1041" s="325" t="s">
        <v>2395</v>
      </c>
      <c r="C1041" s="325" t="s">
        <v>2396</v>
      </c>
      <c r="D1041" s="325" t="s">
        <v>14</v>
      </c>
      <c r="E1041" s="326">
        <v>75</v>
      </c>
      <c r="F1041" s="327">
        <v>5312.25</v>
      </c>
      <c r="G1041" s="328"/>
      <c r="H1041" s="328" t="s">
        <v>1147</v>
      </c>
      <c r="I1041" s="324" t="s">
        <v>21</v>
      </c>
    </row>
    <row r="1042" spans="1:9" ht="11.1" customHeight="1" outlineLevel="1">
      <c r="A1042" s="325" t="s">
        <v>1152</v>
      </c>
      <c r="B1042" s="325" t="s">
        <v>2395</v>
      </c>
      <c r="C1042" s="325" t="s">
        <v>2396</v>
      </c>
      <c r="D1042" s="325" t="s">
        <v>14</v>
      </c>
      <c r="E1042" s="326">
        <v>14.06</v>
      </c>
      <c r="F1042" s="331">
        <v>995.87</v>
      </c>
      <c r="G1042" s="328"/>
      <c r="H1042" s="328" t="s">
        <v>1147</v>
      </c>
      <c r="I1042" s="324" t="s">
        <v>21</v>
      </c>
    </row>
    <row r="1043" spans="1:9" ht="11.1" customHeight="1" outlineLevel="1">
      <c r="A1043" s="325" t="s">
        <v>1152</v>
      </c>
      <c r="B1043" s="325" t="s">
        <v>2395</v>
      </c>
      <c r="C1043" s="325" t="s">
        <v>2396</v>
      </c>
      <c r="D1043" s="325" t="s">
        <v>14</v>
      </c>
      <c r="E1043" s="326">
        <v>150</v>
      </c>
      <c r="F1043" s="327">
        <v>12900</v>
      </c>
      <c r="G1043" s="328"/>
      <c r="H1043" s="328" t="s">
        <v>1147</v>
      </c>
      <c r="I1043" s="324" t="s">
        <v>21</v>
      </c>
    </row>
    <row r="1044" spans="1:9" ht="11.1" customHeight="1" outlineLevel="1">
      <c r="A1044" s="325" t="s">
        <v>1152</v>
      </c>
      <c r="B1044" s="325" t="s">
        <v>2395</v>
      </c>
      <c r="C1044" s="325" t="s">
        <v>2396</v>
      </c>
      <c r="D1044" s="325" t="s">
        <v>14</v>
      </c>
      <c r="E1044" s="326">
        <v>34</v>
      </c>
      <c r="F1044" s="327">
        <v>2380</v>
      </c>
      <c r="G1044" s="328"/>
      <c r="H1044" s="328" t="s">
        <v>1147</v>
      </c>
      <c r="I1044" s="324" t="s">
        <v>21</v>
      </c>
    </row>
    <row r="1045" spans="1:9" ht="11.1" customHeight="1" outlineLevel="1">
      <c r="A1045" s="325" t="s">
        <v>1133</v>
      </c>
      <c r="B1045" s="325" t="s">
        <v>2397</v>
      </c>
      <c r="C1045" s="325" t="s">
        <v>2398</v>
      </c>
      <c r="D1045" s="325" t="s">
        <v>20</v>
      </c>
      <c r="E1045" s="326">
        <v>3</v>
      </c>
      <c r="F1045" s="331">
        <v>156.96</v>
      </c>
      <c r="G1045" s="328"/>
      <c r="H1045" s="328" t="s">
        <v>1147</v>
      </c>
      <c r="I1045" s="324" t="s">
        <v>21</v>
      </c>
    </row>
    <row r="1046" spans="1:9" ht="11.1" customHeight="1" outlineLevel="1">
      <c r="A1046" s="325" t="s">
        <v>1133</v>
      </c>
      <c r="B1046" s="325" t="s">
        <v>2399</v>
      </c>
      <c r="C1046" s="325" t="s">
        <v>2400</v>
      </c>
      <c r="D1046" s="325" t="s">
        <v>20</v>
      </c>
      <c r="E1046" s="326">
        <v>4</v>
      </c>
      <c r="F1046" s="331">
        <v>93.6</v>
      </c>
      <c r="G1046" s="328"/>
      <c r="H1046" s="328" t="s">
        <v>1147</v>
      </c>
      <c r="I1046" s="324" t="s">
        <v>21</v>
      </c>
    </row>
    <row r="1047" spans="1:9" ht="11.1" customHeight="1" outlineLevel="1">
      <c r="A1047" s="325" t="s">
        <v>1152</v>
      </c>
      <c r="B1047" s="325" t="s">
        <v>2401</v>
      </c>
      <c r="C1047" s="325" t="s">
        <v>2402</v>
      </c>
      <c r="D1047" s="325" t="s">
        <v>20</v>
      </c>
      <c r="E1047" s="326">
        <v>2</v>
      </c>
      <c r="F1047" s="331">
        <v>21.6</v>
      </c>
      <c r="G1047" s="328"/>
      <c r="H1047" s="328" t="s">
        <v>1147</v>
      </c>
      <c r="I1047" s="324" t="s">
        <v>21</v>
      </c>
    </row>
    <row r="1048" spans="1:9" ht="11.1" customHeight="1" outlineLevel="1">
      <c r="A1048" s="325" t="s">
        <v>1152</v>
      </c>
      <c r="B1048" s="325" t="s">
        <v>2403</v>
      </c>
      <c r="C1048" s="325" t="s">
        <v>2404</v>
      </c>
      <c r="D1048" s="325" t="s">
        <v>20</v>
      </c>
      <c r="E1048" s="326">
        <v>15</v>
      </c>
      <c r="F1048" s="331">
        <v>874.5</v>
      </c>
      <c r="G1048" s="328"/>
      <c r="H1048" s="328" t="s">
        <v>1147</v>
      </c>
      <c r="I1048" s="324" t="s">
        <v>21</v>
      </c>
    </row>
    <row r="1049" spans="1:9" ht="11.1" customHeight="1" outlineLevel="1">
      <c r="A1049" s="325" t="s">
        <v>1152</v>
      </c>
      <c r="B1049" s="325" t="s">
        <v>1298</v>
      </c>
      <c r="C1049" s="325" t="s">
        <v>1299</v>
      </c>
      <c r="D1049" s="325" t="s">
        <v>1300</v>
      </c>
      <c r="E1049" s="326">
        <v>1</v>
      </c>
      <c r="F1049" s="331">
        <v>667.5</v>
      </c>
      <c r="G1049" s="328"/>
      <c r="H1049" s="328" t="s">
        <v>1147</v>
      </c>
      <c r="I1049" s="324" t="s">
        <v>21</v>
      </c>
    </row>
    <row r="1050" spans="1:9" ht="11.1" customHeight="1" outlineLevel="1">
      <c r="A1050" s="325" t="s">
        <v>1133</v>
      </c>
      <c r="B1050" s="325" t="s">
        <v>2405</v>
      </c>
      <c r="C1050" s="325" t="s">
        <v>2406</v>
      </c>
      <c r="D1050" s="325" t="s">
        <v>20</v>
      </c>
      <c r="E1050" s="326">
        <v>486</v>
      </c>
      <c r="F1050" s="331">
        <v>100.95</v>
      </c>
      <c r="G1050" s="328"/>
      <c r="H1050" s="328" t="s">
        <v>1147</v>
      </c>
      <c r="I1050" s="324" t="s">
        <v>21</v>
      </c>
    </row>
    <row r="1051" spans="1:9" ht="11.1" customHeight="1" outlineLevel="1">
      <c r="A1051" s="325" t="s">
        <v>1133</v>
      </c>
      <c r="B1051" s="325" t="s">
        <v>2407</v>
      </c>
      <c r="C1051" s="325" t="s">
        <v>2408</v>
      </c>
      <c r="D1051" s="325" t="s">
        <v>1196</v>
      </c>
      <c r="E1051" s="326">
        <v>0.3</v>
      </c>
      <c r="F1051" s="331">
        <v>113.71</v>
      </c>
      <c r="G1051" s="328"/>
      <c r="H1051" s="328" t="s">
        <v>1147</v>
      </c>
      <c r="I1051" s="324" t="s">
        <v>21</v>
      </c>
    </row>
    <row r="1052" spans="1:9" ht="11.1" customHeight="1" outlineLevel="1">
      <c r="A1052" s="325" t="s">
        <v>1133</v>
      </c>
      <c r="B1052" s="325" t="s">
        <v>2407</v>
      </c>
      <c r="C1052" s="325" t="s">
        <v>2408</v>
      </c>
      <c r="D1052" s="325" t="s">
        <v>1196</v>
      </c>
      <c r="E1052" s="326">
        <v>40.700000000000003</v>
      </c>
      <c r="F1052" s="331">
        <v>174.49</v>
      </c>
      <c r="G1052" s="328"/>
      <c r="H1052" s="328" t="s">
        <v>1147</v>
      </c>
      <c r="I1052" s="324" t="s">
        <v>21</v>
      </c>
    </row>
    <row r="1053" spans="1:9" ht="11.1" customHeight="1" outlineLevel="1">
      <c r="A1053" s="325" t="s">
        <v>1152</v>
      </c>
      <c r="B1053" s="325" t="s">
        <v>2409</v>
      </c>
      <c r="C1053" s="325" t="s">
        <v>2410</v>
      </c>
      <c r="D1053" s="325" t="s">
        <v>20</v>
      </c>
      <c r="E1053" s="326">
        <v>2</v>
      </c>
      <c r="F1053" s="331">
        <v>150.84</v>
      </c>
      <c r="G1053" s="328"/>
      <c r="H1053" s="328" t="s">
        <v>1147</v>
      </c>
      <c r="I1053" s="324" t="s">
        <v>21</v>
      </c>
    </row>
    <row r="1054" spans="1:9" ht="11.1" customHeight="1" outlineLevel="1">
      <c r="A1054" s="325" t="s">
        <v>2411</v>
      </c>
      <c r="B1054" s="325" t="s">
        <v>2412</v>
      </c>
      <c r="C1054" s="325" t="s">
        <v>2413</v>
      </c>
      <c r="D1054" s="325" t="s">
        <v>20</v>
      </c>
      <c r="E1054" s="326">
        <v>1</v>
      </c>
      <c r="F1054" s="327">
        <v>12000</v>
      </c>
      <c r="G1054" s="328"/>
      <c r="H1054" s="328" t="s">
        <v>1147</v>
      </c>
      <c r="I1054" s="324" t="s">
        <v>21</v>
      </c>
    </row>
    <row r="1055" spans="1:9" ht="11.1" customHeight="1" outlineLevel="1">
      <c r="A1055" s="325" t="s">
        <v>1152</v>
      </c>
      <c r="B1055" s="325" t="s">
        <v>1993</v>
      </c>
      <c r="C1055" s="325" t="s">
        <v>561</v>
      </c>
      <c r="D1055" s="325" t="s">
        <v>295</v>
      </c>
      <c r="E1055" s="326">
        <v>100</v>
      </c>
      <c r="F1055" s="327">
        <v>4771.66</v>
      </c>
      <c r="G1055" s="328"/>
      <c r="H1055" s="328" t="s">
        <v>1147</v>
      </c>
      <c r="I1055" s="324" t="s">
        <v>21</v>
      </c>
    </row>
    <row r="1056" spans="1:9" ht="11.1" customHeight="1" outlineLevel="1">
      <c r="A1056" s="325" t="s">
        <v>1152</v>
      </c>
      <c r="B1056" s="325" t="s">
        <v>2414</v>
      </c>
      <c r="C1056" s="325" t="s">
        <v>2415</v>
      </c>
      <c r="D1056" s="325" t="s">
        <v>20</v>
      </c>
      <c r="E1056" s="326">
        <v>1</v>
      </c>
      <c r="F1056" s="327">
        <v>1962.5</v>
      </c>
      <c r="G1056" s="328"/>
      <c r="H1056" s="328" t="s">
        <v>1147</v>
      </c>
      <c r="I1056" s="324" t="s">
        <v>21</v>
      </c>
    </row>
    <row r="1057" spans="1:9" ht="11.1" customHeight="1" outlineLevel="1">
      <c r="A1057" s="325" t="s">
        <v>1152</v>
      </c>
      <c r="B1057" s="325" t="s">
        <v>2414</v>
      </c>
      <c r="C1057" s="325" t="s">
        <v>2415</v>
      </c>
      <c r="D1057" s="325" t="s">
        <v>20</v>
      </c>
      <c r="E1057" s="326">
        <v>1</v>
      </c>
      <c r="F1057" s="327">
        <v>2004.17</v>
      </c>
      <c r="G1057" s="328"/>
      <c r="H1057" s="328" t="s">
        <v>1147</v>
      </c>
      <c r="I1057" s="324" t="s">
        <v>21</v>
      </c>
    </row>
    <row r="1058" spans="1:9" ht="11.1" customHeight="1" outlineLevel="1">
      <c r="A1058" s="325" t="s">
        <v>1152</v>
      </c>
      <c r="B1058" s="325" t="s">
        <v>2416</v>
      </c>
      <c r="C1058" s="325" t="s">
        <v>2417</v>
      </c>
      <c r="D1058" s="325" t="s">
        <v>20</v>
      </c>
      <c r="E1058" s="326">
        <v>1</v>
      </c>
      <c r="F1058" s="327">
        <v>2874.2</v>
      </c>
      <c r="G1058" s="328"/>
      <c r="H1058" s="328" t="s">
        <v>1147</v>
      </c>
      <c r="I1058" s="324" t="s">
        <v>21</v>
      </c>
    </row>
    <row r="1059" spans="1:9" ht="11.1" customHeight="1" outlineLevel="1">
      <c r="A1059" s="325" t="s">
        <v>1152</v>
      </c>
      <c r="B1059" s="325" t="s">
        <v>2418</v>
      </c>
      <c r="C1059" s="325" t="s">
        <v>2419</v>
      </c>
      <c r="D1059" s="325" t="s">
        <v>20</v>
      </c>
      <c r="E1059" s="326">
        <v>1</v>
      </c>
      <c r="F1059" s="327">
        <v>1196.67</v>
      </c>
      <c r="G1059" s="328"/>
      <c r="H1059" s="328" t="s">
        <v>1147</v>
      </c>
      <c r="I1059" s="324" t="s">
        <v>21</v>
      </c>
    </row>
    <row r="1060" spans="1:9" ht="11.1" customHeight="1" outlineLevel="1">
      <c r="A1060" s="325" t="s">
        <v>1152</v>
      </c>
      <c r="B1060" s="325" t="s">
        <v>2420</v>
      </c>
      <c r="C1060" s="325" t="s">
        <v>2421</v>
      </c>
      <c r="D1060" s="325" t="s">
        <v>20</v>
      </c>
      <c r="E1060" s="326">
        <v>2</v>
      </c>
      <c r="F1060" s="327">
        <v>1708.34</v>
      </c>
      <c r="G1060" s="328"/>
      <c r="H1060" s="328" t="s">
        <v>1147</v>
      </c>
      <c r="I1060" s="324" t="s">
        <v>21</v>
      </c>
    </row>
    <row r="1061" spans="1:9" ht="11.1" customHeight="1" outlineLevel="1">
      <c r="A1061" s="325" t="s">
        <v>1152</v>
      </c>
      <c r="B1061" s="325" t="s">
        <v>2422</v>
      </c>
      <c r="C1061" s="325" t="s">
        <v>2423</v>
      </c>
      <c r="D1061" s="325" t="s">
        <v>20</v>
      </c>
      <c r="E1061" s="326">
        <v>1</v>
      </c>
      <c r="F1061" s="331">
        <v>625.83000000000004</v>
      </c>
      <c r="G1061" s="328"/>
      <c r="H1061" s="328" t="s">
        <v>1147</v>
      </c>
      <c r="I1061" s="324" t="s">
        <v>21</v>
      </c>
    </row>
    <row r="1062" spans="1:9" ht="11.1" customHeight="1" outlineLevel="1">
      <c r="A1062" s="325" t="s">
        <v>1152</v>
      </c>
      <c r="B1062" s="325" t="s">
        <v>2422</v>
      </c>
      <c r="C1062" s="325" t="s">
        <v>2423</v>
      </c>
      <c r="D1062" s="325" t="s">
        <v>20</v>
      </c>
      <c r="E1062" s="326">
        <v>2</v>
      </c>
      <c r="F1062" s="331">
        <v>600</v>
      </c>
      <c r="G1062" s="328"/>
      <c r="H1062" s="328" t="s">
        <v>1147</v>
      </c>
      <c r="I1062" s="324" t="s">
        <v>21</v>
      </c>
    </row>
    <row r="1063" spans="1:9" ht="11.1" customHeight="1" outlineLevel="1">
      <c r="A1063" s="325" t="s">
        <v>1152</v>
      </c>
      <c r="B1063" s="325" t="s">
        <v>2424</v>
      </c>
      <c r="C1063" s="325" t="s">
        <v>2425</v>
      </c>
      <c r="D1063" s="325" t="s">
        <v>20</v>
      </c>
      <c r="E1063" s="326">
        <v>10</v>
      </c>
      <c r="F1063" s="327">
        <v>1008.3</v>
      </c>
      <c r="G1063" s="328"/>
      <c r="H1063" s="328" t="s">
        <v>1147</v>
      </c>
      <c r="I1063" s="324" t="s">
        <v>21</v>
      </c>
    </row>
    <row r="1064" spans="1:9" ht="11.1" customHeight="1" outlineLevel="1">
      <c r="A1064" s="325" t="s">
        <v>1152</v>
      </c>
      <c r="B1064" s="325" t="s">
        <v>2426</v>
      </c>
      <c r="C1064" s="325" t="s">
        <v>2427</v>
      </c>
      <c r="D1064" s="325" t="s">
        <v>20</v>
      </c>
      <c r="E1064" s="326">
        <v>16</v>
      </c>
      <c r="F1064" s="327">
        <v>1674</v>
      </c>
      <c r="G1064" s="328"/>
      <c r="H1064" s="328" t="s">
        <v>1147</v>
      </c>
      <c r="I1064" s="324" t="s">
        <v>21</v>
      </c>
    </row>
    <row r="1065" spans="1:9" ht="11.1" customHeight="1" outlineLevel="1">
      <c r="A1065" s="325" t="s">
        <v>1152</v>
      </c>
      <c r="B1065" s="325" t="s">
        <v>2428</v>
      </c>
      <c r="C1065" s="325" t="s">
        <v>2429</v>
      </c>
      <c r="D1065" s="325" t="s">
        <v>20</v>
      </c>
      <c r="E1065" s="326">
        <v>1</v>
      </c>
      <c r="F1065" s="331">
        <v>667</v>
      </c>
      <c r="G1065" s="328"/>
      <c r="H1065" s="328" t="s">
        <v>1147</v>
      </c>
      <c r="I1065" s="324" t="s">
        <v>21</v>
      </c>
    </row>
    <row r="1066" spans="1:9" ht="11.1" customHeight="1" outlineLevel="1">
      <c r="A1066" s="325" t="s">
        <v>1133</v>
      </c>
      <c r="B1066" s="325" t="s">
        <v>2430</v>
      </c>
      <c r="C1066" s="325" t="s">
        <v>2431</v>
      </c>
      <c r="D1066" s="325" t="s">
        <v>1196</v>
      </c>
      <c r="E1066" s="328"/>
      <c r="F1066" s="331">
        <v>543.08000000000004</v>
      </c>
      <c r="G1066" s="328"/>
      <c r="H1066" s="328" t="s">
        <v>1147</v>
      </c>
      <c r="I1066" s="324" t="s">
        <v>21</v>
      </c>
    </row>
    <row r="1067" spans="1:9" ht="11.1" customHeight="1" outlineLevel="1">
      <c r="A1067" s="325" t="s">
        <v>1152</v>
      </c>
      <c r="B1067" s="325" t="s">
        <v>2432</v>
      </c>
      <c r="C1067" s="325" t="s">
        <v>2433</v>
      </c>
      <c r="D1067" s="325" t="s">
        <v>20</v>
      </c>
      <c r="E1067" s="326">
        <v>1</v>
      </c>
      <c r="F1067" s="331">
        <v>337.5</v>
      </c>
      <c r="G1067" s="328"/>
      <c r="H1067" s="328" t="s">
        <v>1147</v>
      </c>
      <c r="I1067" s="324" t="s">
        <v>21</v>
      </c>
    </row>
    <row r="1068" spans="1:9" ht="11.1" customHeight="1" outlineLevel="1">
      <c r="A1068" s="325" t="s">
        <v>1152</v>
      </c>
      <c r="B1068" s="325" t="s">
        <v>2432</v>
      </c>
      <c r="C1068" s="325" t="s">
        <v>2433</v>
      </c>
      <c r="D1068" s="325" t="s">
        <v>20</v>
      </c>
      <c r="E1068" s="326">
        <v>1</v>
      </c>
      <c r="F1068" s="331">
        <v>620.83000000000004</v>
      </c>
      <c r="G1068" s="328"/>
      <c r="H1068" s="328" t="s">
        <v>1147</v>
      </c>
      <c r="I1068" s="324" t="s">
        <v>21</v>
      </c>
    </row>
    <row r="1069" spans="1:9" ht="11.1" customHeight="1" outlineLevel="1">
      <c r="A1069" s="325" t="s">
        <v>1152</v>
      </c>
      <c r="B1069" s="325" t="s">
        <v>2434</v>
      </c>
      <c r="C1069" s="325" t="s">
        <v>2435</v>
      </c>
      <c r="D1069" s="325" t="s">
        <v>20</v>
      </c>
      <c r="E1069" s="326">
        <v>1</v>
      </c>
      <c r="F1069" s="331">
        <v>552.5</v>
      </c>
      <c r="G1069" s="328"/>
      <c r="H1069" s="328" t="s">
        <v>1147</v>
      </c>
      <c r="I1069" s="324" t="s">
        <v>21</v>
      </c>
    </row>
    <row r="1070" spans="1:9" ht="11.1" customHeight="1" outlineLevel="1">
      <c r="A1070" s="325" t="s">
        <v>1152</v>
      </c>
      <c r="B1070" s="325" t="s">
        <v>2436</v>
      </c>
      <c r="C1070" s="325" t="s">
        <v>2437</v>
      </c>
      <c r="D1070" s="325" t="s">
        <v>20</v>
      </c>
      <c r="E1070" s="326">
        <v>2</v>
      </c>
      <c r="F1070" s="327">
        <v>1013.4</v>
      </c>
      <c r="G1070" s="328"/>
      <c r="H1070" s="328" t="s">
        <v>1147</v>
      </c>
      <c r="I1070" s="324" t="s">
        <v>21</v>
      </c>
    </row>
    <row r="1071" spans="1:9" ht="11.1" customHeight="1" outlineLevel="1">
      <c r="A1071" s="325" t="s">
        <v>1152</v>
      </c>
      <c r="B1071" s="325" t="s">
        <v>2438</v>
      </c>
      <c r="C1071" s="325" t="s">
        <v>2439</v>
      </c>
      <c r="D1071" s="325" t="s">
        <v>20</v>
      </c>
      <c r="E1071" s="326">
        <v>1</v>
      </c>
      <c r="F1071" s="331">
        <v>33.33</v>
      </c>
      <c r="G1071" s="328"/>
      <c r="H1071" s="328" t="s">
        <v>1147</v>
      </c>
      <c r="I1071" s="324" t="s">
        <v>21</v>
      </c>
    </row>
    <row r="1072" spans="1:9" ht="11.1" customHeight="1" outlineLevel="1">
      <c r="A1072" s="325" t="s">
        <v>1152</v>
      </c>
      <c r="B1072" s="325" t="s">
        <v>2440</v>
      </c>
      <c r="C1072" s="325" t="s">
        <v>2441</v>
      </c>
      <c r="D1072" s="325" t="s">
        <v>20</v>
      </c>
      <c r="E1072" s="326">
        <v>1</v>
      </c>
      <c r="F1072" s="331">
        <v>684</v>
      </c>
      <c r="G1072" s="328"/>
      <c r="H1072" s="328" t="s">
        <v>1147</v>
      </c>
      <c r="I1072" s="324" t="s">
        <v>21</v>
      </c>
    </row>
    <row r="1073" spans="1:9" ht="11.1" customHeight="1" outlineLevel="1">
      <c r="A1073" s="325" t="s">
        <v>1152</v>
      </c>
      <c r="B1073" s="325" t="s">
        <v>2047</v>
      </c>
      <c r="C1073" s="325" t="s">
        <v>2048</v>
      </c>
      <c r="D1073" s="325" t="s">
        <v>20</v>
      </c>
      <c r="E1073" s="328"/>
      <c r="F1073" s="331">
        <v>114</v>
      </c>
      <c r="G1073" s="328"/>
      <c r="H1073" s="328" t="s">
        <v>1147</v>
      </c>
      <c r="I1073" s="324" t="s">
        <v>21</v>
      </c>
    </row>
    <row r="1074" spans="1:9" ht="11.1" customHeight="1">
      <c r="A1074" s="320" t="s">
        <v>2442</v>
      </c>
      <c r="B1074" s="320"/>
      <c r="C1074" s="320"/>
      <c r="D1074" s="320"/>
      <c r="E1074" s="321">
        <v>9</v>
      </c>
      <c r="F1074" s="322">
        <v>2520.1799999999998</v>
      </c>
      <c r="G1074" s="323"/>
      <c r="H1074" s="323"/>
    </row>
    <row r="1075" spans="1:9" ht="11.1" customHeight="1" outlineLevel="1">
      <c r="A1075" s="325" t="s">
        <v>2091</v>
      </c>
      <c r="B1075" s="325" t="s">
        <v>2210</v>
      </c>
      <c r="C1075" s="325" t="s">
        <v>2211</v>
      </c>
      <c r="D1075" s="325" t="s">
        <v>20</v>
      </c>
      <c r="E1075" s="326">
        <v>9</v>
      </c>
      <c r="F1075" s="327">
        <v>2331.1799999999998</v>
      </c>
      <c r="G1075" s="328"/>
      <c r="H1075" s="328" t="s">
        <v>1147</v>
      </c>
      <c r="I1075" s="324" t="s">
        <v>21</v>
      </c>
    </row>
    <row r="1076" spans="1:9" ht="11.1" customHeight="1" outlineLevel="1">
      <c r="A1076" s="325" t="s">
        <v>1133</v>
      </c>
      <c r="B1076" s="325" t="s">
        <v>2357</v>
      </c>
      <c r="C1076" s="325" t="s">
        <v>2358</v>
      </c>
      <c r="D1076" s="325" t="s">
        <v>725</v>
      </c>
      <c r="E1076" s="326">
        <v>0.09</v>
      </c>
      <c r="F1076" s="331">
        <v>189</v>
      </c>
      <c r="G1076" s="328"/>
      <c r="H1076" s="328" t="s">
        <v>1147</v>
      </c>
      <c r="I1076" s="324" t="s">
        <v>21</v>
      </c>
    </row>
    <row r="1077" spans="1:9" ht="11.1" customHeight="1" outlineLevel="1">
      <c r="A1077" s="325" t="s">
        <v>1133</v>
      </c>
      <c r="B1077" s="325" t="s">
        <v>2357</v>
      </c>
      <c r="C1077" s="325" t="s">
        <v>2358</v>
      </c>
      <c r="D1077" s="325" t="s">
        <v>725</v>
      </c>
      <c r="E1077" s="326">
        <v>-0.09</v>
      </c>
      <c r="F1077" s="328"/>
      <c r="G1077" s="328"/>
      <c r="H1077" s="328" t="s">
        <v>1147</v>
      </c>
      <c r="I1077" s="324" t="s">
        <v>21</v>
      </c>
    </row>
    <row r="1078" spans="1:9" ht="11.1" customHeight="1">
      <c r="A1078" s="320" t="s">
        <v>2443</v>
      </c>
      <c r="B1078" s="320"/>
      <c r="C1078" s="320"/>
      <c r="D1078" s="320"/>
      <c r="E1078" s="334">
        <v>2538.752</v>
      </c>
      <c r="F1078" s="322">
        <v>255413.22</v>
      </c>
      <c r="G1078" s="323"/>
      <c r="H1078" s="323"/>
    </row>
    <row r="1079" spans="1:9" ht="11.1" customHeight="1" outlineLevel="1">
      <c r="A1079" s="325" t="s">
        <v>1133</v>
      </c>
      <c r="B1079" s="325" t="s">
        <v>1303</v>
      </c>
      <c r="C1079" s="325" t="s">
        <v>1304</v>
      </c>
      <c r="D1079" s="325" t="s">
        <v>1305</v>
      </c>
      <c r="E1079" s="326">
        <v>15</v>
      </c>
      <c r="F1079" s="327">
        <v>11475.15</v>
      </c>
      <c r="G1079" s="328"/>
      <c r="H1079" s="160" t="s">
        <v>1306</v>
      </c>
      <c r="I1079" s="324" t="s">
        <v>1307</v>
      </c>
    </row>
    <row r="1080" spans="1:9" ht="11.1" customHeight="1" outlineLevel="1">
      <c r="A1080" s="325" t="s">
        <v>1133</v>
      </c>
      <c r="B1080" s="325" t="s">
        <v>1303</v>
      </c>
      <c r="C1080" s="325" t="s">
        <v>1304</v>
      </c>
      <c r="D1080" s="325" t="s">
        <v>1305</v>
      </c>
      <c r="E1080" s="326">
        <v>15</v>
      </c>
      <c r="F1080" s="327">
        <v>11475.09</v>
      </c>
      <c r="G1080" s="328"/>
      <c r="H1080" s="160" t="s">
        <v>1306</v>
      </c>
      <c r="I1080" s="324" t="s">
        <v>1307</v>
      </c>
    </row>
    <row r="1081" spans="1:9" ht="11.1" customHeight="1" outlineLevel="1">
      <c r="A1081" s="325" t="s">
        <v>1133</v>
      </c>
      <c r="B1081" s="325" t="s">
        <v>1310</v>
      </c>
      <c r="C1081" s="325" t="s">
        <v>1311</v>
      </c>
      <c r="D1081" s="325" t="s">
        <v>1305</v>
      </c>
      <c r="E1081" s="326">
        <v>4</v>
      </c>
      <c r="F1081" s="327">
        <v>3096.8</v>
      </c>
      <c r="G1081" s="328"/>
      <c r="H1081" s="160" t="s">
        <v>1306</v>
      </c>
      <c r="I1081" s="324" t="s">
        <v>1307</v>
      </c>
    </row>
    <row r="1082" spans="1:9" ht="11.1" customHeight="1" outlineLevel="1">
      <c r="A1082" s="325" t="s">
        <v>1133</v>
      </c>
      <c r="B1082" s="325" t="s">
        <v>1310</v>
      </c>
      <c r="C1082" s="325" t="s">
        <v>1311</v>
      </c>
      <c r="D1082" s="325" t="s">
        <v>1305</v>
      </c>
      <c r="E1082" s="326">
        <v>3</v>
      </c>
      <c r="F1082" s="327">
        <v>2322.6</v>
      </c>
      <c r="G1082" s="328"/>
      <c r="H1082" s="160" t="s">
        <v>1306</v>
      </c>
      <c r="I1082" s="324" t="s">
        <v>1307</v>
      </c>
    </row>
    <row r="1083" spans="1:9" ht="11.1" customHeight="1" outlineLevel="1">
      <c r="A1083" s="325" t="s">
        <v>1133</v>
      </c>
      <c r="B1083" s="325" t="s">
        <v>1314</v>
      </c>
      <c r="C1083" s="325" t="s">
        <v>1315</v>
      </c>
      <c r="D1083" s="325" t="s">
        <v>20</v>
      </c>
      <c r="E1083" s="326">
        <v>1</v>
      </c>
      <c r="F1083" s="331">
        <v>55.85</v>
      </c>
      <c r="G1083" s="328"/>
      <c r="H1083" s="160" t="s">
        <v>577</v>
      </c>
      <c r="I1083" s="324" t="s">
        <v>289</v>
      </c>
    </row>
    <row r="1084" spans="1:9" ht="11.1" customHeight="1" outlineLevel="1">
      <c r="A1084" s="325" t="s">
        <v>1133</v>
      </c>
      <c r="B1084" s="325" t="s">
        <v>1316</v>
      </c>
      <c r="C1084" s="325" t="s">
        <v>1317</v>
      </c>
      <c r="D1084" s="325" t="s">
        <v>20</v>
      </c>
      <c r="E1084" s="326">
        <v>6</v>
      </c>
      <c r="F1084" s="331">
        <v>340.87</v>
      </c>
      <c r="G1084" s="328"/>
      <c r="H1084" s="160" t="s">
        <v>577</v>
      </c>
      <c r="I1084" s="324" t="s">
        <v>289</v>
      </c>
    </row>
    <row r="1085" spans="1:9" ht="11.1" customHeight="1" outlineLevel="1">
      <c r="A1085" s="325" t="s">
        <v>1133</v>
      </c>
      <c r="B1085" s="325" t="s">
        <v>1318</v>
      </c>
      <c r="C1085" s="325" t="s">
        <v>1319</v>
      </c>
      <c r="D1085" s="325" t="s">
        <v>20</v>
      </c>
      <c r="E1085" s="326">
        <v>1</v>
      </c>
      <c r="F1085" s="331">
        <v>184.19</v>
      </c>
      <c r="G1085" s="328"/>
      <c r="H1085" s="160" t="s">
        <v>577</v>
      </c>
      <c r="I1085" s="324" t="s">
        <v>289</v>
      </c>
    </row>
    <row r="1086" spans="1:9" ht="11.1" customHeight="1" outlineLevel="1">
      <c r="A1086" s="325" t="s">
        <v>1133</v>
      </c>
      <c r="B1086" s="325" t="s">
        <v>2444</v>
      </c>
      <c r="C1086" s="325" t="s">
        <v>2445</v>
      </c>
      <c r="D1086" s="325" t="s">
        <v>912</v>
      </c>
      <c r="E1086" s="326">
        <v>0.12</v>
      </c>
      <c r="F1086" s="327">
        <v>1500</v>
      </c>
      <c r="G1086" s="328"/>
      <c r="H1086" s="328" t="s">
        <v>1337</v>
      </c>
      <c r="I1086" s="330" t="s">
        <v>1087</v>
      </c>
    </row>
    <row r="1087" spans="1:9" ht="11.1" customHeight="1" outlineLevel="1">
      <c r="A1087" s="325" t="s">
        <v>1133</v>
      </c>
      <c r="B1087" s="325" t="s">
        <v>2446</v>
      </c>
      <c r="C1087" s="325" t="s">
        <v>2447</v>
      </c>
      <c r="D1087" s="325" t="s">
        <v>1220</v>
      </c>
      <c r="E1087" s="326">
        <v>0.16200000000000001</v>
      </c>
      <c r="F1087" s="327">
        <v>2025</v>
      </c>
      <c r="G1087" s="328"/>
      <c r="H1087" s="328" t="s">
        <v>1337</v>
      </c>
      <c r="I1087" s="330" t="s">
        <v>1087</v>
      </c>
    </row>
    <row r="1088" spans="1:9" ht="11.1" customHeight="1" outlineLevel="1">
      <c r="A1088" s="325" t="s">
        <v>1133</v>
      </c>
      <c r="B1088" s="325" t="s">
        <v>1335</v>
      </c>
      <c r="C1088" s="325" t="s">
        <v>1336</v>
      </c>
      <c r="D1088" s="325" t="s">
        <v>1220</v>
      </c>
      <c r="E1088" s="326">
        <v>0.18</v>
      </c>
      <c r="F1088" s="327">
        <v>2250</v>
      </c>
      <c r="G1088" s="328"/>
      <c r="H1088" s="328" t="s">
        <v>1337</v>
      </c>
      <c r="I1088" s="330" t="s">
        <v>1087</v>
      </c>
    </row>
    <row r="1089" spans="1:9" ht="11.1" customHeight="1" outlineLevel="1">
      <c r="A1089" s="325" t="s">
        <v>1133</v>
      </c>
      <c r="B1089" s="325" t="s">
        <v>2448</v>
      </c>
      <c r="C1089" s="325" t="s">
        <v>2449</v>
      </c>
      <c r="D1089" s="325" t="s">
        <v>1220</v>
      </c>
      <c r="E1089" s="326">
        <v>0.32500000000000001</v>
      </c>
      <c r="F1089" s="327">
        <v>4062.5</v>
      </c>
      <c r="G1089" s="328"/>
      <c r="H1089" s="328" t="s">
        <v>1337</v>
      </c>
      <c r="I1089" s="330" t="s">
        <v>1087</v>
      </c>
    </row>
    <row r="1090" spans="1:9" ht="11.1" customHeight="1" outlineLevel="1">
      <c r="A1090" s="325" t="s">
        <v>1133</v>
      </c>
      <c r="B1090" s="325" t="s">
        <v>1363</v>
      </c>
      <c r="C1090" s="325" t="s">
        <v>1364</v>
      </c>
      <c r="D1090" s="325" t="s">
        <v>886</v>
      </c>
      <c r="E1090" s="326">
        <v>0.08</v>
      </c>
      <c r="F1090" s="327">
        <v>2171.44</v>
      </c>
      <c r="G1090" s="328"/>
      <c r="H1090" s="328" t="s">
        <v>549</v>
      </c>
      <c r="I1090" s="324" t="s">
        <v>289</v>
      </c>
    </row>
    <row r="1091" spans="1:9" ht="11.1" customHeight="1" outlineLevel="1">
      <c r="A1091" s="325" t="s">
        <v>1133</v>
      </c>
      <c r="B1091" s="325" t="s">
        <v>1365</v>
      </c>
      <c r="C1091" s="325" t="s">
        <v>1366</v>
      </c>
      <c r="D1091" s="325" t="s">
        <v>886</v>
      </c>
      <c r="E1091" s="326">
        <v>0.1</v>
      </c>
      <c r="F1091" s="327">
        <v>4464.8999999999996</v>
      </c>
      <c r="G1091" s="328"/>
      <c r="H1091" s="328" t="s">
        <v>549</v>
      </c>
      <c r="I1091" s="324" t="s">
        <v>289</v>
      </c>
    </row>
    <row r="1092" spans="1:9" ht="11.1" customHeight="1" outlineLevel="1">
      <c r="A1092" s="325" t="s">
        <v>1133</v>
      </c>
      <c r="B1092" s="325" t="s">
        <v>2450</v>
      </c>
      <c r="C1092" s="325" t="s">
        <v>2451</v>
      </c>
      <c r="D1092" s="325" t="s">
        <v>886</v>
      </c>
      <c r="E1092" s="326">
        <v>0.01</v>
      </c>
      <c r="F1092" s="327">
        <v>1945.71</v>
      </c>
      <c r="G1092" s="328"/>
      <c r="H1092" s="328" t="s">
        <v>549</v>
      </c>
      <c r="I1092" s="324" t="s">
        <v>289</v>
      </c>
    </row>
    <row r="1093" spans="1:9" ht="11.1" customHeight="1" outlineLevel="1">
      <c r="A1093" s="325" t="s">
        <v>1133</v>
      </c>
      <c r="B1093" s="325" t="s">
        <v>2452</v>
      </c>
      <c r="C1093" s="325" t="s">
        <v>2453</v>
      </c>
      <c r="D1093" s="325" t="s">
        <v>20</v>
      </c>
      <c r="E1093" s="326">
        <v>1</v>
      </c>
      <c r="F1093" s="331">
        <v>819.99</v>
      </c>
      <c r="G1093" s="328"/>
      <c r="H1093" s="328" t="s">
        <v>563</v>
      </c>
      <c r="I1093" s="324" t="s">
        <v>289</v>
      </c>
    </row>
    <row r="1094" spans="1:9" ht="11.1" customHeight="1" outlineLevel="1">
      <c r="A1094" s="325" t="s">
        <v>1133</v>
      </c>
      <c r="B1094" s="325" t="s">
        <v>2454</v>
      </c>
      <c r="C1094" s="325" t="s">
        <v>2455</v>
      </c>
      <c r="D1094" s="325" t="s">
        <v>20</v>
      </c>
      <c r="E1094" s="326">
        <v>1</v>
      </c>
      <c r="F1094" s="331">
        <v>150.94999999999999</v>
      </c>
      <c r="G1094" s="328"/>
      <c r="H1094" s="160" t="s">
        <v>1225</v>
      </c>
      <c r="I1094" s="324" t="s">
        <v>289</v>
      </c>
    </row>
    <row r="1095" spans="1:9" ht="11.1" customHeight="1" outlineLevel="1">
      <c r="A1095" s="325" t="s">
        <v>1133</v>
      </c>
      <c r="B1095" s="325" t="s">
        <v>2456</v>
      </c>
      <c r="C1095" s="325" t="s">
        <v>2457</v>
      </c>
      <c r="D1095" s="325" t="s">
        <v>20</v>
      </c>
      <c r="E1095" s="326">
        <v>2</v>
      </c>
      <c r="F1095" s="331">
        <v>276.85000000000002</v>
      </c>
      <c r="G1095" s="328"/>
      <c r="H1095" s="160" t="s">
        <v>577</v>
      </c>
      <c r="I1095" s="324" t="s">
        <v>289</v>
      </c>
    </row>
    <row r="1096" spans="1:9" ht="11.1" customHeight="1" outlineLevel="1">
      <c r="A1096" s="325" t="s">
        <v>1133</v>
      </c>
      <c r="B1096" s="325" t="s">
        <v>2458</v>
      </c>
      <c r="C1096" s="325" t="s">
        <v>2459</v>
      </c>
      <c r="D1096" s="325" t="s">
        <v>20</v>
      </c>
      <c r="E1096" s="326">
        <v>3</v>
      </c>
      <c r="F1096" s="331">
        <v>166.88</v>
      </c>
      <c r="G1096" s="328"/>
      <c r="H1096" s="160" t="s">
        <v>577</v>
      </c>
      <c r="I1096" s="324" t="s">
        <v>289</v>
      </c>
    </row>
    <row r="1097" spans="1:9" ht="11.1" customHeight="1" outlineLevel="1">
      <c r="A1097" s="325" t="s">
        <v>1133</v>
      </c>
      <c r="B1097" s="325" t="s">
        <v>1389</v>
      </c>
      <c r="C1097" s="325" t="s">
        <v>571</v>
      </c>
      <c r="D1097" s="325" t="s">
        <v>12</v>
      </c>
      <c r="E1097" s="326">
        <v>3.6</v>
      </c>
      <c r="F1097" s="327">
        <v>15542.5</v>
      </c>
      <c r="G1097" s="328"/>
      <c r="H1097" s="160" t="s">
        <v>571</v>
      </c>
      <c r="I1097" s="174" t="s">
        <v>1073</v>
      </c>
    </row>
    <row r="1098" spans="1:9" ht="11.1" customHeight="1" outlineLevel="1">
      <c r="A1098" s="325" t="s">
        <v>1133</v>
      </c>
      <c r="B1098" s="325" t="s">
        <v>2460</v>
      </c>
      <c r="C1098" s="325" t="s">
        <v>2461</v>
      </c>
      <c r="D1098" s="325" t="s">
        <v>20</v>
      </c>
      <c r="E1098" s="326">
        <v>1</v>
      </c>
      <c r="F1098" s="331">
        <v>124.02</v>
      </c>
      <c r="G1098" s="328"/>
      <c r="H1098" s="160" t="s">
        <v>629</v>
      </c>
      <c r="I1098" s="324" t="s">
        <v>289</v>
      </c>
    </row>
    <row r="1099" spans="1:9" ht="11.1" customHeight="1" outlineLevel="1">
      <c r="A1099" s="325" t="s">
        <v>1133</v>
      </c>
      <c r="B1099" s="325" t="s">
        <v>2462</v>
      </c>
      <c r="C1099" s="325" t="s">
        <v>2463</v>
      </c>
      <c r="D1099" s="325" t="s">
        <v>20</v>
      </c>
      <c r="E1099" s="326">
        <v>1</v>
      </c>
      <c r="F1099" s="331">
        <v>201</v>
      </c>
      <c r="G1099" s="328"/>
      <c r="H1099" s="160" t="s">
        <v>561</v>
      </c>
      <c r="I1099" s="324" t="s">
        <v>1070</v>
      </c>
    </row>
    <row r="1100" spans="1:9" ht="11.1" customHeight="1" outlineLevel="1">
      <c r="A1100" s="325" t="s">
        <v>1133</v>
      </c>
      <c r="B1100" s="325" t="s">
        <v>1408</v>
      </c>
      <c r="C1100" s="325" t="s">
        <v>1409</v>
      </c>
      <c r="D1100" s="325" t="s">
        <v>20</v>
      </c>
      <c r="E1100" s="326">
        <v>3</v>
      </c>
      <c r="F1100" s="331">
        <v>561</v>
      </c>
      <c r="G1100" s="328"/>
      <c r="H1100" s="160" t="s">
        <v>561</v>
      </c>
      <c r="I1100" s="324" t="s">
        <v>1070</v>
      </c>
    </row>
    <row r="1101" spans="1:9" ht="11.1" customHeight="1" outlineLevel="1">
      <c r="A1101" s="325" t="s">
        <v>1133</v>
      </c>
      <c r="B1101" s="325" t="s">
        <v>2011</v>
      </c>
      <c r="C1101" s="325" t="s">
        <v>2012</v>
      </c>
      <c r="D1101" s="325" t="s">
        <v>14</v>
      </c>
      <c r="E1101" s="326">
        <v>50</v>
      </c>
      <c r="F1101" s="327">
        <v>4708.5</v>
      </c>
      <c r="G1101" s="328"/>
      <c r="H1101" s="160" t="s">
        <v>605</v>
      </c>
      <c r="I1101" s="330" t="s">
        <v>1087</v>
      </c>
    </row>
    <row r="1102" spans="1:9" ht="11.1" customHeight="1" outlineLevel="1">
      <c r="A1102" s="325" t="s">
        <v>1133</v>
      </c>
      <c r="B1102" s="325" t="s">
        <v>2464</v>
      </c>
      <c r="C1102" s="325" t="s">
        <v>2465</v>
      </c>
      <c r="D1102" s="325" t="s">
        <v>1101</v>
      </c>
      <c r="E1102" s="326">
        <v>1</v>
      </c>
      <c r="F1102" s="331">
        <v>409.44</v>
      </c>
      <c r="G1102" s="328"/>
      <c r="H1102" s="160" t="s">
        <v>2466</v>
      </c>
      <c r="I1102" s="324" t="s">
        <v>289</v>
      </c>
    </row>
    <row r="1103" spans="1:9" ht="11.1" customHeight="1" outlineLevel="1">
      <c r="A1103" s="325" t="s">
        <v>1133</v>
      </c>
      <c r="B1103" s="325" t="s">
        <v>1471</v>
      </c>
      <c r="C1103" s="325" t="s">
        <v>1472</v>
      </c>
      <c r="D1103" s="325" t="s">
        <v>886</v>
      </c>
      <c r="E1103" s="326">
        <v>1.6E-2</v>
      </c>
      <c r="F1103" s="331">
        <v>652.84</v>
      </c>
      <c r="G1103" s="328"/>
      <c r="H1103" s="328" t="s">
        <v>549</v>
      </c>
      <c r="I1103" s="324" t="s">
        <v>289</v>
      </c>
    </row>
    <row r="1104" spans="1:9" ht="11.1" customHeight="1" outlineLevel="1">
      <c r="A1104" s="325" t="s">
        <v>1133</v>
      </c>
      <c r="B1104" s="325" t="s">
        <v>2467</v>
      </c>
      <c r="C1104" s="325" t="s">
        <v>2468</v>
      </c>
      <c r="D1104" s="325" t="s">
        <v>20</v>
      </c>
      <c r="E1104" s="326">
        <v>1</v>
      </c>
      <c r="F1104" s="327">
        <v>3992.13</v>
      </c>
      <c r="G1104" s="328"/>
      <c r="H1104" s="160" t="s">
        <v>2469</v>
      </c>
      <c r="I1104" s="324" t="s">
        <v>1307</v>
      </c>
    </row>
    <row r="1105" spans="1:9" ht="11.1" customHeight="1" outlineLevel="1">
      <c r="A1105" s="325" t="s">
        <v>1133</v>
      </c>
      <c r="B1105" s="325" t="s">
        <v>2470</v>
      </c>
      <c r="C1105" s="325" t="s">
        <v>2471</v>
      </c>
      <c r="D1105" s="325" t="s">
        <v>20</v>
      </c>
      <c r="E1105" s="326">
        <v>4</v>
      </c>
      <c r="F1105" s="327">
        <v>6035</v>
      </c>
      <c r="G1105" s="328"/>
      <c r="H1105" s="174" t="s">
        <v>2472</v>
      </c>
      <c r="I1105" s="324" t="s">
        <v>425</v>
      </c>
    </row>
    <row r="1106" spans="1:9" ht="11.1" customHeight="1" outlineLevel="1">
      <c r="A1106" s="325" t="s">
        <v>1133</v>
      </c>
      <c r="B1106" s="325" t="s">
        <v>2473</v>
      </c>
      <c r="C1106" s="325" t="s">
        <v>2474</v>
      </c>
      <c r="D1106" s="325" t="s">
        <v>20</v>
      </c>
      <c r="E1106" s="326">
        <v>1</v>
      </c>
      <c r="F1106" s="327">
        <v>1640</v>
      </c>
      <c r="G1106" s="328"/>
      <c r="H1106" s="174" t="s">
        <v>2475</v>
      </c>
      <c r="I1106" s="324" t="s">
        <v>425</v>
      </c>
    </row>
    <row r="1107" spans="1:9" ht="11.1" customHeight="1" outlineLevel="1">
      <c r="A1107" s="325" t="s">
        <v>1133</v>
      </c>
      <c r="B1107" s="325" t="s">
        <v>2476</v>
      </c>
      <c r="C1107" s="325" t="s">
        <v>920</v>
      </c>
      <c r="D1107" s="325" t="s">
        <v>20</v>
      </c>
      <c r="E1107" s="326">
        <v>-25</v>
      </c>
      <c r="F1107" s="331">
        <v>-6.62</v>
      </c>
      <c r="G1107" s="328"/>
      <c r="H1107" s="160" t="s">
        <v>921</v>
      </c>
      <c r="I1107" s="324" t="s">
        <v>1105</v>
      </c>
    </row>
    <row r="1108" spans="1:9" ht="11.1" customHeight="1" outlineLevel="1">
      <c r="A1108" s="325" t="s">
        <v>1133</v>
      </c>
      <c r="B1108" s="325" t="s">
        <v>2476</v>
      </c>
      <c r="C1108" s="325" t="s">
        <v>920</v>
      </c>
      <c r="D1108" s="325" t="s">
        <v>20</v>
      </c>
      <c r="E1108" s="326">
        <v>25</v>
      </c>
      <c r="F1108" s="331">
        <v>6.62</v>
      </c>
      <c r="G1108" s="328"/>
      <c r="H1108" s="160" t="s">
        <v>921</v>
      </c>
      <c r="I1108" s="324" t="s">
        <v>1105</v>
      </c>
    </row>
    <row r="1109" spans="1:9" ht="11.1" customHeight="1" outlineLevel="1">
      <c r="A1109" s="325" t="s">
        <v>1133</v>
      </c>
      <c r="B1109" s="325" t="s">
        <v>2477</v>
      </c>
      <c r="C1109" s="325" t="s">
        <v>2478</v>
      </c>
      <c r="D1109" s="325" t="s">
        <v>20</v>
      </c>
      <c r="E1109" s="326">
        <v>1</v>
      </c>
      <c r="F1109" s="331">
        <v>778</v>
      </c>
      <c r="G1109" s="328"/>
      <c r="H1109" s="328" t="s">
        <v>1508</v>
      </c>
      <c r="I1109" s="324" t="s">
        <v>1070</v>
      </c>
    </row>
    <row r="1110" spans="1:9" ht="11.1" customHeight="1" outlineLevel="1">
      <c r="A1110" s="325" t="s">
        <v>1133</v>
      </c>
      <c r="B1110" s="325" t="s">
        <v>1506</v>
      </c>
      <c r="C1110" s="325" t="s">
        <v>1507</v>
      </c>
      <c r="D1110" s="325" t="s">
        <v>20</v>
      </c>
      <c r="E1110" s="326">
        <v>1</v>
      </c>
      <c r="F1110" s="327">
        <v>1293</v>
      </c>
      <c r="G1110" s="328"/>
      <c r="H1110" s="160" t="s">
        <v>1508</v>
      </c>
      <c r="I1110" s="324" t="s">
        <v>1070</v>
      </c>
    </row>
    <row r="1111" spans="1:9" ht="11.1" customHeight="1" outlineLevel="1">
      <c r="A1111" s="325" t="s">
        <v>1133</v>
      </c>
      <c r="B1111" s="325" t="s">
        <v>2479</v>
      </c>
      <c r="C1111" s="325" t="s">
        <v>1083</v>
      </c>
      <c r="D1111" s="325" t="s">
        <v>20</v>
      </c>
      <c r="E1111" s="326">
        <v>1</v>
      </c>
      <c r="F1111" s="331">
        <v>882</v>
      </c>
      <c r="G1111" s="328"/>
      <c r="H1111" s="328" t="s">
        <v>2480</v>
      </c>
      <c r="I1111" s="324" t="s">
        <v>1070</v>
      </c>
    </row>
    <row r="1112" spans="1:9" ht="11.1" customHeight="1" outlineLevel="1">
      <c r="A1112" s="325" t="s">
        <v>1133</v>
      </c>
      <c r="B1112" s="325" t="s">
        <v>2481</v>
      </c>
      <c r="C1112" s="325" t="s">
        <v>2482</v>
      </c>
      <c r="D1112" s="325" t="s">
        <v>295</v>
      </c>
      <c r="E1112" s="326">
        <v>102</v>
      </c>
      <c r="F1112" s="327">
        <v>2156.08</v>
      </c>
      <c r="G1112" s="328"/>
      <c r="H1112" s="160" t="s">
        <v>1520</v>
      </c>
      <c r="I1112" s="324" t="s">
        <v>289</v>
      </c>
    </row>
    <row r="1113" spans="1:9" ht="11.1" customHeight="1" outlineLevel="1">
      <c r="A1113" s="325" t="s">
        <v>1133</v>
      </c>
      <c r="B1113" s="325" t="s">
        <v>2483</v>
      </c>
      <c r="C1113" s="325" t="s">
        <v>2484</v>
      </c>
      <c r="D1113" s="325" t="s">
        <v>295</v>
      </c>
      <c r="E1113" s="326">
        <v>30</v>
      </c>
      <c r="F1113" s="327">
        <v>1148.94</v>
      </c>
      <c r="G1113" s="328"/>
      <c r="H1113" s="160" t="s">
        <v>1520</v>
      </c>
      <c r="I1113" s="324" t="s">
        <v>289</v>
      </c>
    </row>
    <row r="1114" spans="1:9" ht="11.1" customHeight="1" outlineLevel="1">
      <c r="A1114" s="325" t="s">
        <v>1133</v>
      </c>
      <c r="B1114" s="325" t="s">
        <v>2485</v>
      </c>
      <c r="C1114" s="325" t="s">
        <v>2486</v>
      </c>
      <c r="D1114" s="325" t="s">
        <v>295</v>
      </c>
      <c r="E1114" s="326">
        <v>4</v>
      </c>
      <c r="F1114" s="331">
        <v>381.89</v>
      </c>
      <c r="G1114" s="328"/>
      <c r="H1114" s="160" t="s">
        <v>1520</v>
      </c>
      <c r="I1114" s="324" t="s">
        <v>289</v>
      </c>
    </row>
    <row r="1115" spans="1:9" ht="11.1" customHeight="1" outlineLevel="1">
      <c r="A1115" s="325" t="s">
        <v>1133</v>
      </c>
      <c r="B1115" s="325" t="s">
        <v>1542</v>
      </c>
      <c r="C1115" s="325" t="s">
        <v>492</v>
      </c>
      <c r="D1115" s="325" t="s">
        <v>20</v>
      </c>
      <c r="E1115" s="326">
        <v>10</v>
      </c>
      <c r="F1115" s="331">
        <v>69.39</v>
      </c>
      <c r="G1115" s="328"/>
      <c r="H1115" s="160" t="s">
        <v>1540</v>
      </c>
      <c r="I1115" s="324" t="s">
        <v>289</v>
      </c>
    </row>
    <row r="1116" spans="1:9" ht="11.1" customHeight="1" outlineLevel="1">
      <c r="A1116" s="325" t="s">
        <v>1133</v>
      </c>
      <c r="B1116" s="325" t="s">
        <v>2487</v>
      </c>
      <c r="C1116" s="325" t="s">
        <v>2488</v>
      </c>
      <c r="D1116" s="325" t="s">
        <v>20</v>
      </c>
      <c r="E1116" s="326">
        <v>2</v>
      </c>
      <c r="F1116" s="331">
        <v>30</v>
      </c>
      <c r="G1116" s="328"/>
      <c r="H1116" s="328" t="s">
        <v>1555</v>
      </c>
      <c r="I1116" s="324" t="s">
        <v>1070</v>
      </c>
    </row>
    <row r="1117" spans="1:9" ht="11.1" customHeight="1" outlineLevel="1">
      <c r="A1117" s="325" t="s">
        <v>1133</v>
      </c>
      <c r="B1117" s="325" t="s">
        <v>1569</v>
      </c>
      <c r="C1117" s="325" t="s">
        <v>832</v>
      </c>
      <c r="D1117" s="325" t="s">
        <v>20</v>
      </c>
      <c r="E1117" s="326">
        <v>1</v>
      </c>
      <c r="F1117" s="327">
        <v>15249.17</v>
      </c>
      <c r="G1117" s="328"/>
      <c r="H1117" s="174" t="s">
        <v>1570</v>
      </c>
      <c r="I1117" s="324" t="s">
        <v>425</v>
      </c>
    </row>
    <row r="1118" spans="1:9" ht="11.1" customHeight="1" outlineLevel="1">
      <c r="A1118" s="325" t="s">
        <v>1133</v>
      </c>
      <c r="B1118" s="325" t="s">
        <v>2489</v>
      </c>
      <c r="C1118" s="325" t="s">
        <v>2490</v>
      </c>
      <c r="D1118" s="325" t="s">
        <v>20</v>
      </c>
      <c r="E1118" s="326">
        <v>5</v>
      </c>
      <c r="F1118" s="331">
        <v>404.69</v>
      </c>
      <c r="G1118" s="328"/>
      <c r="H1118" s="160" t="s">
        <v>632</v>
      </c>
      <c r="I1118" s="324" t="s">
        <v>289</v>
      </c>
    </row>
    <row r="1119" spans="1:9" ht="11.1" customHeight="1" outlineLevel="1">
      <c r="A1119" s="325" t="s">
        <v>1133</v>
      </c>
      <c r="B1119" s="325" t="s">
        <v>2491</v>
      </c>
      <c r="C1119" s="325" t="s">
        <v>2492</v>
      </c>
      <c r="D1119" s="325" t="s">
        <v>1519</v>
      </c>
      <c r="E1119" s="326">
        <v>6</v>
      </c>
      <c r="F1119" s="331">
        <v>231.53</v>
      </c>
      <c r="G1119" s="328"/>
      <c r="H1119" s="328" t="s">
        <v>1692</v>
      </c>
      <c r="I1119" s="324" t="s">
        <v>1307</v>
      </c>
    </row>
    <row r="1120" spans="1:9" ht="11.1" customHeight="1" outlineLevel="1">
      <c r="A1120" s="325" t="s">
        <v>1133</v>
      </c>
      <c r="B1120" s="325" t="s">
        <v>2493</v>
      </c>
      <c r="C1120" s="325" t="s">
        <v>2494</v>
      </c>
      <c r="D1120" s="325" t="s">
        <v>20</v>
      </c>
      <c r="E1120" s="326">
        <v>4</v>
      </c>
      <c r="F1120" s="327">
        <v>1480</v>
      </c>
      <c r="G1120" s="328"/>
      <c r="H1120" s="160" t="s">
        <v>1589</v>
      </c>
      <c r="I1120" s="324" t="s">
        <v>1070</v>
      </c>
    </row>
    <row r="1121" spans="1:9" ht="11.1" customHeight="1" outlineLevel="1">
      <c r="A1121" s="325" t="s">
        <v>1133</v>
      </c>
      <c r="B1121" s="325" t="s">
        <v>2495</v>
      </c>
      <c r="C1121" s="325" t="s">
        <v>2496</v>
      </c>
      <c r="D1121" s="325" t="s">
        <v>20</v>
      </c>
      <c r="E1121" s="326">
        <v>4</v>
      </c>
      <c r="F1121" s="331">
        <v>57.6</v>
      </c>
      <c r="G1121" s="328"/>
      <c r="H1121" s="160" t="s">
        <v>1618</v>
      </c>
      <c r="I1121" s="324" t="s">
        <v>1070</v>
      </c>
    </row>
    <row r="1122" spans="1:9" ht="11.1" customHeight="1" outlineLevel="1">
      <c r="A1122" s="325" t="s">
        <v>1133</v>
      </c>
      <c r="B1122" s="325" t="s">
        <v>2497</v>
      </c>
      <c r="C1122" s="325" t="s">
        <v>2498</v>
      </c>
      <c r="D1122" s="325" t="s">
        <v>20</v>
      </c>
      <c r="E1122" s="326">
        <v>2</v>
      </c>
      <c r="F1122" s="327">
        <v>8300</v>
      </c>
      <c r="G1122" s="328"/>
      <c r="H1122" s="328" t="s">
        <v>1629</v>
      </c>
      <c r="I1122" s="324" t="s">
        <v>425</v>
      </c>
    </row>
    <row r="1123" spans="1:9" ht="11.1" customHeight="1" outlineLevel="1">
      <c r="A1123" s="325" t="s">
        <v>1133</v>
      </c>
      <c r="B1123" s="325" t="s">
        <v>2499</v>
      </c>
      <c r="C1123" s="325" t="s">
        <v>2500</v>
      </c>
      <c r="D1123" s="325" t="s">
        <v>1115</v>
      </c>
      <c r="E1123" s="326">
        <v>0.55000000000000004</v>
      </c>
      <c r="F1123" s="327">
        <v>14948.54</v>
      </c>
      <c r="G1123" s="328"/>
      <c r="H1123" s="328" t="s">
        <v>1162</v>
      </c>
      <c r="I1123" s="324" t="s">
        <v>1087</v>
      </c>
    </row>
    <row r="1124" spans="1:9" ht="11.1" customHeight="1" outlineLevel="1">
      <c r="A1124" s="325" t="s">
        <v>1133</v>
      </c>
      <c r="B1124" s="325" t="s">
        <v>2501</v>
      </c>
      <c r="C1124" s="325" t="s">
        <v>2502</v>
      </c>
      <c r="D1124" s="325" t="s">
        <v>12</v>
      </c>
      <c r="E1124" s="326">
        <v>18.75</v>
      </c>
      <c r="F1124" s="327">
        <v>4999.88</v>
      </c>
      <c r="G1124" s="328"/>
      <c r="H1124" s="160" t="s">
        <v>570</v>
      </c>
      <c r="I1124" s="324" t="s">
        <v>1105</v>
      </c>
    </row>
    <row r="1125" spans="1:9" ht="11.1" customHeight="1" outlineLevel="1">
      <c r="A1125" s="325" t="s">
        <v>1133</v>
      </c>
      <c r="B1125" s="325" t="s">
        <v>2503</v>
      </c>
      <c r="C1125" s="325" t="s">
        <v>2504</v>
      </c>
      <c r="D1125" s="325" t="s">
        <v>20</v>
      </c>
      <c r="E1125" s="326">
        <v>7</v>
      </c>
      <c r="F1125" s="331">
        <v>854</v>
      </c>
      <c r="G1125" s="328"/>
      <c r="H1125" s="160" t="s">
        <v>560</v>
      </c>
      <c r="I1125" s="324" t="s">
        <v>1070</v>
      </c>
    </row>
    <row r="1126" spans="1:9" ht="11.1" customHeight="1" outlineLevel="1">
      <c r="A1126" s="325" t="s">
        <v>1133</v>
      </c>
      <c r="B1126" s="325" t="s">
        <v>1696</v>
      </c>
      <c r="C1126" s="325" t="s">
        <v>1697</v>
      </c>
      <c r="D1126" s="325" t="s">
        <v>20</v>
      </c>
      <c r="E1126" s="326">
        <v>2</v>
      </c>
      <c r="F1126" s="331">
        <v>98</v>
      </c>
      <c r="G1126" s="328"/>
      <c r="H1126" s="328" t="s">
        <v>1698</v>
      </c>
      <c r="I1126" s="324" t="s">
        <v>1070</v>
      </c>
    </row>
    <row r="1127" spans="1:9" ht="11.1" customHeight="1" outlineLevel="1">
      <c r="A1127" s="325" t="s">
        <v>1133</v>
      </c>
      <c r="B1127" s="325" t="s">
        <v>2505</v>
      </c>
      <c r="C1127" s="325" t="s">
        <v>2506</v>
      </c>
      <c r="D1127" s="325" t="s">
        <v>20</v>
      </c>
      <c r="E1127" s="326">
        <v>2</v>
      </c>
      <c r="F1127" s="331">
        <v>104</v>
      </c>
      <c r="G1127" s="328"/>
      <c r="H1127" s="160" t="s">
        <v>1701</v>
      </c>
      <c r="I1127" s="324" t="s">
        <v>1070</v>
      </c>
    </row>
    <row r="1128" spans="1:9" ht="11.1" customHeight="1" outlineLevel="1">
      <c r="A1128" s="325" t="s">
        <v>1133</v>
      </c>
      <c r="B1128" s="325" t="s">
        <v>1706</v>
      </c>
      <c r="C1128" s="325" t="s">
        <v>1707</v>
      </c>
      <c r="D1128" s="325" t="s">
        <v>20</v>
      </c>
      <c r="E1128" s="326">
        <v>1</v>
      </c>
      <c r="F1128" s="327">
        <v>1319</v>
      </c>
      <c r="G1128" s="328"/>
      <c r="H1128" s="160" t="s">
        <v>1708</v>
      </c>
      <c r="I1128" s="324" t="s">
        <v>1070</v>
      </c>
    </row>
    <row r="1129" spans="1:9" ht="11.1" customHeight="1" outlineLevel="1">
      <c r="A1129" s="325" t="s">
        <v>1133</v>
      </c>
      <c r="B1129" s="325" t="s">
        <v>1712</v>
      </c>
      <c r="C1129" s="325" t="s">
        <v>1713</v>
      </c>
      <c r="D1129" s="325" t="s">
        <v>12</v>
      </c>
      <c r="E1129" s="326">
        <v>60</v>
      </c>
      <c r="F1129" s="327">
        <v>10642.24</v>
      </c>
      <c r="G1129" s="328"/>
      <c r="H1129" s="328" t="s">
        <v>1711</v>
      </c>
      <c r="I1129" s="324" t="s">
        <v>1307</v>
      </c>
    </row>
    <row r="1130" spans="1:9" ht="11.1" customHeight="1" outlineLevel="1">
      <c r="A1130" s="325" t="s">
        <v>1133</v>
      </c>
      <c r="B1130" s="325" t="s">
        <v>1712</v>
      </c>
      <c r="C1130" s="325" t="s">
        <v>1713</v>
      </c>
      <c r="D1130" s="325" t="s">
        <v>12</v>
      </c>
      <c r="E1130" s="326">
        <v>60</v>
      </c>
      <c r="F1130" s="327">
        <v>10642.2</v>
      </c>
      <c r="G1130" s="328"/>
      <c r="H1130" s="328" t="s">
        <v>1711</v>
      </c>
      <c r="I1130" s="324" t="s">
        <v>1307</v>
      </c>
    </row>
    <row r="1131" spans="1:9" ht="11.1" customHeight="1" outlineLevel="1">
      <c r="A1131" s="325" t="s">
        <v>1133</v>
      </c>
      <c r="B1131" s="325" t="s">
        <v>1716</v>
      </c>
      <c r="C1131" s="325" t="s">
        <v>1717</v>
      </c>
      <c r="D1131" s="325" t="s">
        <v>20</v>
      </c>
      <c r="E1131" s="326">
        <v>2</v>
      </c>
      <c r="F1131" s="331">
        <v>128</v>
      </c>
      <c r="G1131" s="328"/>
      <c r="H1131" s="328" t="s">
        <v>1718</v>
      </c>
      <c r="I1131" s="324" t="s">
        <v>1070</v>
      </c>
    </row>
    <row r="1132" spans="1:9" ht="11.1" customHeight="1" outlineLevel="1">
      <c r="A1132" s="325" t="s">
        <v>1133</v>
      </c>
      <c r="B1132" s="325" t="s">
        <v>2507</v>
      </c>
      <c r="C1132" s="325" t="s">
        <v>2508</v>
      </c>
      <c r="D1132" s="325" t="s">
        <v>20</v>
      </c>
      <c r="E1132" s="326">
        <v>2</v>
      </c>
      <c r="F1132" s="331">
        <v>25</v>
      </c>
      <c r="G1132" s="328"/>
      <c r="H1132" s="328" t="s">
        <v>1718</v>
      </c>
      <c r="I1132" s="324" t="s">
        <v>1070</v>
      </c>
    </row>
    <row r="1133" spans="1:9" ht="11.1" customHeight="1" outlineLevel="1">
      <c r="A1133" s="325" t="s">
        <v>1133</v>
      </c>
      <c r="B1133" s="325" t="s">
        <v>2509</v>
      </c>
      <c r="C1133" s="325" t="s">
        <v>2510</v>
      </c>
      <c r="D1133" s="325" t="s">
        <v>20</v>
      </c>
      <c r="E1133" s="326">
        <v>1</v>
      </c>
      <c r="F1133" s="327">
        <v>3353</v>
      </c>
      <c r="G1133" s="328"/>
      <c r="H1133" s="160" t="s">
        <v>2511</v>
      </c>
      <c r="I1133" s="324" t="s">
        <v>1070</v>
      </c>
    </row>
    <row r="1134" spans="1:9" ht="11.1" customHeight="1" outlineLevel="1">
      <c r="A1134" s="325" t="s">
        <v>1133</v>
      </c>
      <c r="B1134" s="325" t="s">
        <v>2512</v>
      </c>
      <c r="C1134" s="325" t="s">
        <v>2513</v>
      </c>
      <c r="D1134" s="325" t="s">
        <v>20</v>
      </c>
      <c r="E1134" s="326">
        <v>2</v>
      </c>
      <c r="F1134" s="327">
        <v>2180.42</v>
      </c>
      <c r="G1134" s="328"/>
      <c r="H1134" s="325" t="s">
        <v>2513</v>
      </c>
      <c r="I1134" s="324" t="s">
        <v>1070</v>
      </c>
    </row>
    <row r="1135" spans="1:9" ht="11.1" customHeight="1" outlineLevel="1">
      <c r="A1135" s="325" t="s">
        <v>1133</v>
      </c>
      <c r="B1135" s="325" t="s">
        <v>2514</v>
      </c>
      <c r="C1135" s="325" t="s">
        <v>2515</v>
      </c>
      <c r="D1135" s="325" t="s">
        <v>20</v>
      </c>
      <c r="E1135" s="326">
        <v>5</v>
      </c>
      <c r="F1135" s="327">
        <v>3734.06</v>
      </c>
      <c r="G1135" s="328"/>
      <c r="H1135" s="160" t="s">
        <v>1732</v>
      </c>
      <c r="I1135" s="324" t="s">
        <v>1307</v>
      </c>
    </row>
    <row r="1136" spans="1:9" ht="11.1" customHeight="1" outlineLevel="1">
      <c r="A1136" s="325" t="s">
        <v>1133</v>
      </c>
      <c r="B1136" s="325" t="s">
        <v>2514</v>
      </c>
      <c r="C1136" s="325" t="s">
        <v>2515</v>
      </c>
      <c r="D1136" s="325" t="s">
        <v>20</v>
      </c>
      <c r="E1136" s="326">
        <v>5</v>
      </c>
      <c r="F1136" s="327">
        <v>3734.05</v>
      </c>
      <c r="G1136" s="328"/>
      <c r="H1136" s="160" t="s">
        <v>1732</v>
      </c>
      <c r="I1136" s="324" t="s">
        <v>1307</v>
      </c>
    </row>
    <row r="1137" spans="1:9" ht="11.1" customHeight="1" outlineLevel="1">
      <c r="A1137" s="325" t="s">
        <v>1133</v>
      </c>
      <c r="B1137" s="325" t="s">
        <v>2516</v>
      </c>
      <c r="C1137" s="325" t="s">
        <v>2517</v>
      </c>
      <c r="D1137" s="325" t="s">
        <v>20</v>
      </c>
      <c r="E1137" s="326">
        <v>20</v>
      </c>
      <c r="F1137" s="327">
        <v>7783.06</v>
      </c>
      <c r="G1137" s="328"/>
      <c r="H1137" s="160" t="s">
        <v>1732</v>
      </c>
      <c r="I1137" s="324" t="s">
        <v>1307</v>
      </c>
    </row>
    <row r="1138" spans="1:9" ht="11.1" customHeight="1" outlineLevel="1">
      <c r="A1138" s="325" t="s">
        <v>1133</v>
      </c>
      <c r="B1138" s="325" t="s">
        <v>2516</v>
      </c>
      <c r="C1138" s="325" t="s">
        <v>2517</v>
      </c>
      <c r="D1138" s="325" t="s">
        <v>20</v>
      </c>
      <c r="E1138" s="326">
        <v>20</v>
      </c>
      <c r="F1138" s="327">
        <v>7783</v>
      </c>
      <c r="G1138" s="328"/>
      <c r="H1138" s="160" t="s">
        <v>1732</v>
      </c>
      <c r="I1138" s="324" t="s">
        <v>1307</v>
      </c>
    </row>
    <row r="1139" spans="1:9" ht="11.1" customHeight="1" outlineLevel="1">
      <c r="A1139" s="325" t="s">
        <v>1133</v>
      </c>
      <c r="B1139" s="325" t="s">
        <v>1746</v>
      </c>
      <c r="C1139" s="325" t="s">
        <v>1747</v>
      </c>
      <c r="D1139" s="325" t="s">
        <v>910</v>
      </c>
      <c r="E1139" s="326">
        <v>1</v>
      </c>
      <c r="F1139" s="331">
        <v>713.86</v>
      </c>
      <c r="G1139" s="328"/>
      <c r="H1139" s="160" t="s">
        <v>1748</v>
      </c>
      <c r="I1139" s="324" t="s">
        <v>1105</v>
      </c>
    </row>
    <row r="1140" spans="1:9" ht="11.1" customHeight="1" outlineLevel="1">
      <c r="A1140" s="325" t="s">
        <v>1133</v>
      </c>
      <c r="B1140" s="325" t="s">
        <v>1746</v>
      </c>
      <c r="C1140" s="325" t="s">
        <v>1747</v>
      </c>
      <c r="D1140" s="325" t="s">
        <v>910</v>
      </c>
      <c r="E1140" s="326">
        <v>1</v>
      </c>
      <c r="F1140" s="331">
        <v>713.85</v>
      </c>
      <c r="G1140" s="328"/>
      <c r="H1140" s="160" t="s">
        <v>1748</v>
      </c>
      <c r="I1140" s="324" t="s">
        <v>1105</v>
      </c>
    </row>
    <row r="1141" spans="1:9" ht="11.1" customHeight="1" outlineLevel="1">
      <c r="A1141" s="325" t="s">
        <v>1133</v>
      </c>
      <c r="B1141" s="325" t="s">
        <v>2518</v>
      </c>
      <c r="C1141" s="325" t="s">
        <v>2519</v>
      </c>
      <c r="D1141" s="325" t="s">
        <v>910</v>
      </c>
      <c r="E1141" s="326">
        <v>1</v>
      </c>
      <c r="F1141" s="331">
        <v>713.85</v>
      </c>
      <c r="G1141" s="328"/>
      <c r="H1141" s="160" t="s">
        <v>1748</v>
      </c>
      <c r="I1141" s="324" t="s">
        <v>1105</v>
      </c>
    </row>
    <row r="1142" spans="1:9" ht="11.1" customHeight="1" outlineLevel="1">
      <c r="A1142" s="325" t="s">
        <v>1133</v>
      </c>
      <c r="B1142" s="325" t="s">
        <v>2518</v>
      </c>
      <c r="C1142" s="325" t="s">
        <v>2519</v>
      </c>
      <c r="D1142" s="325" t="s">
        <v>910</v>
      </c>
      <c r="E1142" s="326">
        <v>1</v>
      </c>
      <c r="F1142" s="331">
        <v>713.86</v>
      </c>
      <c r="G1142" s="328"/>
      <c r="H1142" s="160" t="s">
        <v>1748</v>
      </c>
      <c r="I1142" s="324" t="s">
        <v>1105</v>
      </c>
    </row>
    <row r="1143" spans="1:9" ht="11.1" customHeight="1" outlineLevel="1">
      <c r="A1143" s="325" t="s">
        <v>1133</v>
      </c>
      <c r="B1143" s="325" t="s">
        <v>1765</v>
      </c>
      <c r="C1143" s="325" t="s">
        <v>1766</v>
      </c>
      <c r="D1143" s="325" t="s">
        <v>20</v>
      </c>
      <c r="E1143" s="326">
        <v>1</v>
      </c>
      <c r="F1143" s="331">
        <v>79</v>
      </c>
      <c r="G1143" s="328"/>
      <c r="H1143" s="160" t="s">
        <v>1661</v>
      </c>
      <c r="I1143" s="324" t="s">
        <v>1070</v>
      </c>
    </row>
    <row r="1144" spans="1:9" ht="11.1" customHeight="1" outlineLevel="1">
      <c r="A1144" s="325" t="s">
        <v>1133</v>
      </c>
      <c r="B1144" s="325" t="s">
        <v>2520</v>
      </c>
      <c r="C1144" s="325" t="s">
        <v>2521</v>
      </c>
      <c r="D1144" s="325" t="s">
        <v>12</v>
      </c>
      <c r="E1144" s="326">
        <v>50.37</v>
      </c>
      <c r="F1144" s="327">
        <v>13431.66</v>
      </c>
      <c r="G1144" s="328"/>
      <c r="H1144" s="160" t="s">
        <v>546</v>
      </c>
      <c r="I1144" s="324" t="s">
        <v>1105</v>
      </c>
    </row>
    <row r="1145" spans="1:9" ht="11.1" customHeight="1" outlineLevel="1">
      <c r="A1145" s="325" t="s">
        <v>1133</v>
      </c>
      <c r="B1145" s="325" t="s">
        <v>2520</v>
      </c>
      <c r="C1145" s="325" t="s">
        <v>2521</v>
      </c>
      <c r="D1145" s="325" t="s">
        <v>12</v>
      </c>
      <c r="E1145" s="326">
        <v>61.064999999999998</v>
      </c>
      <c r="F1145" s="327">
        <v>16283.6</v>
      </c>
      <c r="G1145" s="328"/>
      <c r="H1145" s="160" t="s">
        <v>546</v>
      </c>
      <c r="I1145" s="324" t="s">
        <v>1105</v>
      </c>
    </row>
    <row r="1146" spans="1:9" ht="11.1" customHeight="1" outlineLevel="1">
      <c r="A1146" s="325" t="s">
        <v>1133</v>
      </c>
      <c r="B1146" s="325" t="s">
        <v>1781</v>
      </c>
      <c r="C1146" s="325" t="s">
        <v>1782</v>
      </c>
      <c r="D1146" s="325" t="s">
        <v>1519</v>
      </c>
      <c r="E1146" s="326">
        <v>102</v>
      </c>
      <c r="F1146" s="327">
        <v>1173</v>
      </c>
      <c r="G1146" s="328"/>
      <c r="H1146" s="328" t="s">
        <v>2522</v>
      </c>
      <c r="I1146" s="324" t="s">
        <v>1307</v>
      </c>
    </row>
    <row r="1147" spans="1:9" ht="11.1" customHeight="1" outlineLevel="1">
      <c r="A1147" s="325" t="s">
        <v>1133</v>
      </c>
      <c r="B1147" s="325" t="s">
        <v>2523</v>
      </c>
      <c r="C1147" s="325" t="s">
        <v>2524</v>
      </c>
      <c r="D1147" s="325" t="s">
        <v>20</v>
      </c>
      <c r="E1147" s="326">
        <v>1</v>
      </c>
      <c r="F1147" s="327">
        <v>1314</v>
      </c>
      <c r="G1147" s="328"/>
      <c r="H1147" s="160" t="s">
        <v>826</v>
      </c>
      <c r="I1147" s="324" t="s">
        <v>1070</v>
      </c>
    </row>
    <row r="1148" spans="1:9" ht="11.1" customHeight="1" outlineLevel="1">
      <c r="A1148" s="325" t="s">
        <v>1133</v>
      </c>
      <c r="B1148" s="325" t="s">
        <v>2525</v>
      </c>
      <c r="C1148" s="325" t="s">
        <v>2526</v>
      </c>
      <c r="D1148" s="325" t="s">
        <v>20</v>
      </c>
      <c r="E1148" s="326">
        <v>7</v>
      </c>
      <c r="F1148" s="331">
        <v>413.87</v>
      </c>
      <c r="G1148" s="328"/>
      <c r="H1148" s="160" t="s">
        <v>633</v>
      </c>
      <c r="I1148" s="324" t="s">
        <v>289</v>
      </c>
    </row>
    <row r="1149" spans="1:9" ht="11.1" customHeight="1" outlineLevel="1">
      <c r="A1149" s="325" t="s">
        <v>1133</v>
      </c>
      <c r="B1149" s="325" t="s">
        <v>2527</v>
      </c>
      <c r="C1149" s="325" t="s">
        <v>2528</v>
      </c>
      <c r="D1149" s="325" t="s">
        <v>20</v>
      </c>
      <c r="E1149" s="326">
        <v>1</v>
      </c>
      <c r="F1149" s="331">
        <v>175.88</v>
      </c>
      <c r="G1149" s="328"/>
      <c r="H1149" s="160" t="s">
        <v>633</v>
      </c>
      <c r="I1149" s="324" t="s">
        <v>289</v>
      </c>
    </row>
    <row r="1150" spans="1:9" ht="11.1" customHeight="1" outlineLevel="1">
      <c r="A1150" s="325" t="s">
        <v>1133</v>
      </c>
      <c r="B1150" s="325" t="s">
        <v>1205</v>
      </c>
      <c r="C1150" s="325" t="s">
        <v>1206</v>
      </c>
      <c r="D1150" s="325" t="s">
        <v>261</v>
      </c>
      <c r="E1150" s="326">
        <v>10</v>
      </c>
      <c r="F1150" s="331">
        <v>790</v>
      </c>
      <c r="G1150" s="328"/>
      <c r="H1150" s="160" t="s">
        <v>203</v>
      </c>
      <c r="I1150" s="324" t="s">
        <v>1087</v>
      </c>
    </row>
    <row r="1151" spans="1:9" ht="11.1" customHeight="1" outlineLevel="1">
      <c r="A1151" s="325" t="s">
        <v>1133</v>
      </c>
      <c r="B1151" s="325" t="s">
        <v>2529</v>
      </c>
      <c r="C1151" s="325" t="s">
        <v>2530</v>
      </c>
      <c r="D1151" s="325" t="s">
        <v>20</v>
      </c>
      <c r="E1151" s="335">
        <v>1250</v>
      </c>
      <c r="F1151" s="331">
        <v>822.91</v>
      </c>
      <c r="G1151" s="328"/>
      <c r="H1151" s="160" t="s">
        <v>612</v>
      </c>
      <c r="I1151" s="324" t="s">
        <v>1105</v>
      </c>
    </row>
    <row r="1152" spans="1:9" ht="11.1" customHeight="1" outlineLevel="1">
      <c r="A1152" s="325" t="s">
        <v>1133</v>
      </c>
      <c r="B1152" s="325" t="s">
        <v>2531</v>
      </c>
      <c r="C1152" s="325" t="s">
        <v>2532</v>
      </c>
      <c r="D1152" s="325" t="s">
        <v>20</v>
      </c>
      <c r="E1152" s="326">
        <v>500</v>
      </c>
      <c r="F1152" s="331">
        <v>345.84</v>
      </c>
      <c r="G1152" s="328"/>
      <c r="H1152" s="160" t="s">
        <v>612</v>
      </c>
      <c r="I1152" s="324" t="s">
        <v>1105</v>
      </c>
    </row>
    <row r="1153" spans="1:9" ht="11.1" customHeight="1" outlineLevel="1">
      <c r="A1153" s="325" t="s">
        <v>1133</v>
      </c>
      <c r="B1153" s="325" t="s">
        <v>2533</v>
      </c>
      <c r="C1153" s="325" t="s">
        <v>2534</v>
      </c>
      <c r="D1153" s="325" t="s">
        <v>20</v>
      </c>
      <c r="E1153" s="326">
        <v>4</v>
      </c>
      <c r="F1153" s="327">
        <v>1201.72</v>
      </c>
      <c r="G1153" s="328"/>
      <c r="H1153" s="174" t="s">
        <v>1838</v>
      </c>
      <c r="I1153" s="324" t="s">
        <v>425</v>
      </c>
    </row>
    <row r="1154" spans="1:9" ht="11.1" customHeight="1" outlineLevel="1">
      <c r="A1154" s="325" t="s">
        <v>1133</v>
      </c>
      <c r="B1154" s="325" t="s">
        <v>1832</v>
      </c>
      <c r="C1154" s="325" t="s">
        <v>1833</v>
      </c>
      <c r="D1154" s="325" t="s">
        <v>20</v>
      </c>
      <c r="E1154" s="326">
        <v>1</v>
      </c>
      <c r="F1154" s="331">
        <v>693</v>
      </c>
      <c r="G1154" s="328"/>
      <c r="H1154" s="160" t="s">
        <v>576</v>
      </c>
      <c r="I1154" s="324" t="s">
        <v>1070</v>
      </c>
    </row>
    <row r="1155" spans="1:9" ht="11.1" customHeight="1" outlineLevel="1">
      <c r="A1155" s="325" t="s">
        <v>1133</v>
      </c>
      <c r="B1155" s="325" t="s">
        <v>2535</v>
      </c>
      <c r="C1155" s="325" t="s">
        <v>2536</v>
      </c>
      <c r="D1155" s="325" t="s">
        <v>20</v>
      </c>
      <c r="E1155" s="326">
        <v>2</v>
      </c>
      <c r="F1155" s="331">
        <v>224</v>
      </c>
      <c r="G1155" s="328"/>
      <c r="H1155" s="160" t="s">
        <v>576</v>
      </c>
      <c r="I1155" s="324" t="s">
        <v>1070</v>
      </c>
    </row>
    <row r="1156" spans="1:9" ht="11.1" customHeight="1" outlineLevel="1">
      <c r="A1156" s="325" t="s">
        <v>1133</v>
      </c>
      <c r="B1156" s="325" t="s">
        <v>2537</v>
      </c>
      <c r="C1156" s="325" t="s">
        <v>2538</v>
      </c>
      <c r="D1156" s="325" t="s">
        <v>20</v>
      </c>
      <c r="E1156" s="326">
        <v>1</v>
      </c>
      <c r="F1156" s="327">
        <v>1500</v>
      </c>
      <c r="G1156" s="328"/>
      <c r="H1156" s="336" t="s">
        <v>2539</v>
      </c>
      <c r="I1156" s="324" t="s">
        <v>425</v>
      </c>
    </row>
    <row r="1157" spans="1:9" ht="11.1" customHeight="1" outlineLevel="1">
      <c r="A1157" s="325" t="s">
        <v>1133</v>
      </c>
      <c r="B1157" s="325" t="s">
        <v>2540</v>
      </c>
      <c r="C1157" s="325" t="s">
        <v>2541</v>
      </c>
      <c r="D1157" s="325" t="s">
        <v>20</v>
      </c>
      <c r="E1157" s="326">
        <v>1</v>
      </c>
      <c r="F1157" s="327">
        <v>2900</v>
      </c>
      <c r="G1157" s="328"/>
      <c r="H1157" s="336" t="s">
        <v>2539</v>
      </c>
      <c r="I1157" s="324" t="s">
        <v>425</v>
      </c>
    </row>
    <row r="1158" spans="1:9" ht="11.1" customHeight="1" outlineLevel="1">
      <c r="A1158" s="325" t="s">
        <v>1133</v>
      </c>
      <c r="B1158" s="325" t="s">
        <v>2542</v>
      </c>
      <c r="C1158" s="325" t="s">
        <v>2543</v>
      </c>
      <c r="D1158" s="325" t="s">
        <v>20</v>
      </c>
      <c r="E1158" s="326">
        <v>2</v>
      </c>
      <c r="F1158" s="331">
        <v>146</v>
      </c>
      <c r="G1158" s="328"/>
      <c r="H1158" s="160" t="s">
        <v>557</v>
      </c>
      <c r="I1158" s="324" t="s">
        <v>1070</v>
      </c>
    </row>
    <row r="1159" spans="1:9" ht="11.1" customHeight="1" outlineLevel="1">
      <c r="A1159" s="325" t="s">
        <v>1133</v>
      </c>
      <c r="B1159" s="325" t="s">
        <v>2544</v>
      </c>
      <c r="C1159" s="325" t="s">
        <v>2545</v>
      </c>
      <c r="D1159" s="325" t="s">
        <v>20</v>
      </c>
      <c r="E1159" s="326">
        <v>5</v>
      </c>
      <c r="F1159" s="331">
        <v>104.5</v>
      </c>
      <c r="G1159" s="328"/>
      <c r="H1159" s="160" t="s">
        <v>557</v>
      </c>
      <c r="I1159" s="324" t="s">
        <v>1070</v>
      </c>
    </row>
    <row r="1160" spans="1:9" ht="11.1" customHeight="1" outlineLevel="1">
      <c r="A1160" s="325" t="s">
        <v>1133</v>
      </c>
      <c r="B1160" s="325" t="s">
        <v>1870</v>
      </c>
      <c r="C1160" s="325" t="s">
        <v>1871</v>
      </c>
      <c r="D1160" s="325" t="s">
        <v>20</v>
      </c>
      <c r="E1160" s="326">
        <v>1</v>
      </c>
      <c r="F1160" s="331">
        <v>28</v>
      </c>
      <c r="G1160" s="328"/>
      <c r="H1160" s="160" t="s">
        <v>557</v>
      </c>
      <c r="I1160" s="324" t="s">
        <v>1070</v>
      </c>
    </row>
    <row r="1161" spans="1:9" ht="11.1" customHeight="1" outlineLevel="1">
      <c r="A1161" s="325" t="s">
        <v>1133</v>
      </c>
      <c r="B1161" s="325" t="s">
        <v>2546</v>
      </c>
      <c r="C1161" s="325" t="s">
        <v>2547</v>
      </c>
      <c r="D1161" s="325" t="s">
        <v>20</v>
      </c>
      <c r="E1161" s="326">
        <v>1</v>
      </c>
      <c r="F1161" s="331">
        <v>115</v>
      </c>
      <c r="G1161" s="328"/>
      <c r="H1161" s="160" t="s">
        <v>557</v>
      </c>
      <c r="I1161" s="324" t="s">
        <v>1070</v>
      </c>
    </row>
    <row r="1162" spans="1:9" ht="11.1" customHeight="1" outlineLevel="1">
      <c r="A1162" s="325" t="s">
        <v>1133</v>
      </c>
      <c r="B1162" s="325" t="s">
        <v>2548</v>
      </c>
      <c r="C1162" s="325" t="s">
        <v>2549</v>
      </c>
      <c r="D1162" s="325" t="s">
        <v>517</v>
      </c>
      <c r="E1162" s="326">
        <v>0.42399999999999999</v>
      </c>
      <c r="F1162" s="327">
        <v>13423.16</v>
      </c>
      <c r="G1162" s="328"/>
      <c r="H1162" s="328" t="s">
        <v>2550</v>
      </c>
      <c r="I1162" s="324" t="s">
        <v>1087</v>
      </c>
    </row>
    <row r="1163" spans="1:9" ht="11.1" customHeight="1" outlineLevel="1">
      <c r="A1163" s="325" t="s">
        <v>1133</v>
      </c>
      <c r="B1163" s="325" t="s">
        <v>2551</v>
      </c>
      <c r="C1163" s="325" t="s">
        <v>2552</v>
      </c>
      <c r="D1163" s="325" t="s">
        <v>20</v>
      </c>
      <c r="E1163" s="326">
        <v>4</v>
      </c>
      <c r="F1163" s="331">
        <v>248</v>
      </c>
      <c r="G1163" s="328"/>
      <c r="H1163" s="160" t="s">
        <v>573</v>
      </c>
      <c r="I1163" s="324" t="s">
        <v>1070</v>
      </c>
    </row>
    <row r="1164" spans="1:9" ht="11.1" customHeight="1" outlineLevel="1">
      <c r="A1164" s="325" t="s">
        <v>1133</v>
      </c>
      <c r="B1164" s="325" t="s">
        <v>2553</v>
      </c>
      <c r="C1164" s="325" t="s">
        <v>2554</v>
      </c>
      <c r="D1164" s="325" t="s">
        <v>20</v>
      </c>
      <c r="E1164" s="326">
        <v>2</v>
      </c>
      <c r="F1164" s="331">
        <v>74</v>
      </c>
      <c r="G1164" s="328"/>
      <c r="H1164" s="160" t="s">
        <v>573</v>
      </c>
      <c r="I1164" s="324" t="s">
        <v>1070</v>
      </c>
    </row>
    <row r="1165" spans="1:9" ht="11.1" customHeight="1" outlineLevel="1">
      <c r="A1165" s="325" t="s">
        <v>1133</v>
      </c>
      <c r="B1165" s="325" t="s">
        <v>2555</v>
      </c>
      <c r="C1165" s="325" t="s">
        <v>2556</v>
      </c>
      <c r="D1165" s="325" t="s">
        <v>20</v>
      </c>
      <c r="E1165" s="326">
        <v>1</v>
      </c>
      <c r="F1165" s="331">
        <v>83</v>
      </c>
      <c r="G1165" s="328"/>
      <c r="H1165" s="160" t="s">
        <v>573</v>
      </c>
      <c r="I1165" s="324" t="s">
        <v>1070</v>
      </c>
    </row>
    <row r="1166" spans="1:9" ht="11.1" customHeight="1" outlineLevel="1">
      <c r="A1166" s="325" t="s">
        <v>1133</v>
      </c>
      <c r="B1166" s="325" t="s">
        <v>2557</v>
      </c>
      <c r="C1166" s="325" t="s">
        <v>2558</v>
      </c>
      <c r="D1166" s="325" t="s">
        <v>295</v>
      </c>
      <c r="E1166" s="326">
        <v>20</v>
      </c>
      <c r="F1166" s="327">
        <v>3580</v>
      </c>
      <c r="G1166" s="328"/>
      <c r="H1166" s="328" t="s">
        <v>1906</v>
      </c>
      <c r="I1166" s="324" t="s">
        <v>1070</v>
      </c>
    </row>
    <row r="1167" spans="1:9" ht="11.1" customHeight="1" outlineLevel="1">
      <c r="A1167" s="325" t="s">
        <v>1133</v>
      </c>
      <c r="B1167" s="325" t="s">
        <v>1930</v>
      </c>
      <c r="C1167" s="325" t="s">
        <v>1931</v>
      </c>
      <c r="D1167" s="325" t="s">
        <v>20</v>
      </c>
      <c r="E1167" s="326">
        <v>1</v>
      </c>
      <c r="F1167" s="327">
        <v>4639</v>
      </c>
      <c r="G1167" s="328"/>
      <c r="H1167" s="328" t="s">
        <v>1932</v>
      </c>
      <c r="I1167" s="324" t="s">
        <v>1070</v>
      </c>
    </row>
    <row r="1168" spans="1:9" ht="11.1" customHeight="1" outlineLevel="1">
      <c r="A1168" s="325" t="s">
        <v>1133</v>
      </c>
      <c r="B1168" s="325" t="s">
        <v>2559</v>
      </c>
      <c r="C1168" s="325" t="s">
        <v>2560</v>
      </c>
      <c r="D1168" s="325" t="s">
        <v>20</v>
      </c>
      <c r="E1168" s="326">
        <v>2</v>
      </c>
      <c r="F1168" s="331">
        <v>70</v>
      </c>
      <c r="G1168" s="328"/>
      <c r="H1168" s="328" t="s">
        <v>1946</v>
      </c>
      <c r="I1168" s="324" t="s">
        <v>1070</v>
      </c>
    </row>
    <row r="1169" spans="1:9" ht="11.1" customHeight="1" outlineLevel="1">
      <c r="A1169" s="325" t="s">
        <v>1133</v>
      </c>
      <c r="B1169" s="325" t="s">
        <v>1990</v>
      </c>
      <c r="C1169" s="325" t="s">
        <v>1991</v>
      </c>
      <c r="D1169" s="325" t="s">
        <v>20</v>
      </c>
      <c r="E1169" s="326">
        <v>2</v>
      </c>
      <c r="F1169" s="331">
        <v>72.16</v>
      </c>
      <c r="G1169" s="328"/>
      <c r="H1169" s="160" t="s">
        <v>1992</v>
      </c>
      <c r="I1169" s="324" t="s">
        <v>289</v>
      </c>
    </row>
    <row r="1170" spans="1:9" ht="11.1" customHeight="1" outlineLevel="1">
      <c r="A1170" s="325" t="s">
        <v>1133</v>
      </c>
      <c r="B1170" s="325" t="s">
        <v>2561</v>
      </c>
      <c r="C1170" s="325" t="s">
        <v>2562</v>
      </c>
      <c r="D1170" s="325" t="s">
        <v>20</v>
      </c>
      <c r="E1170" s="326">
        <v>1</v>
      </c>
      <c r="F1170" s="327">
        <v>1184.56</v>
      </c>
      <c r="G1170" s="328"/>
      <c r="H1170" s="160" t="s">
        <v>2075</v>
      </c>
      <c r="I1170" s="324" t="s">
        <v>289</v>
      </c>
    </row>
    <row r="1171" spans="1:9" ht="11.1" customHeight="1">
      <c r="A1171" s="320" t="s">
        <v>2563</v>
      </c>
      <c r="B1171" s="320"/>
      <c r="C1171" s="320"/>
      <c r="D1171" s="320"/>
      <c r="E1171" s="321">
        <v>0.505</v>
      </c>
      <c r="F1171" s="322">
        <v>26022.78</v>
      </c>
      <c r="G1171" s="323"/>
      <c r="H1171" s="323"/>
    </row>
    <row r="1172" spans="1:9" ht="11.1" customHeight="1" outlineLevel="1">
      <c r="A1172" s="325" t="s">
        <v>1133</v>
      </c>
      <c r="B1172" s="325" t="s">
        <v>2564</v>
      </c>
      <c r="C1172" s="325" t="s">
        <v>2565</v>
      </c>
      <c r="D1172" s="325" t="s">
        <v>1115</v>
      </c>
      <c r="E1172" s="326">
        <v>0.505</v>
      </c>
      <c r="F1172" s="327">
        <v>26022.78</v>
      </c>
      <c r="G1172" s="328"/>
      <c r="H1172" s="328" t="s">
        <v>1126</v>
      </c>
      <c r="I1172" s="324" t="s">
        <v>1087</v>
      </c>
    </row>
    <row r="1173" spans="1:9" ht="11.1" customHeight="1">
      <c r="A1173" s="320" t="s">
        <v>2566</v>
      </c>
      <c r="B1173" s="320"/>
      <c r="C1173" s="320"/>
      <c r="D1173" s="320"/>
      <c r="E1173" s="321">
        <v>29.47</v>
      </c>
      <c r="F1173" s="322">
        <v>109776.15</v>
      </c>
      <c r="G1173" s="323"/>
      <c r="H1173" s="323"/>
    </row>
    <row r="1174" spans="1:9" ht="11.1" customHeight="1" outlineLevel="1">
      <c r="A1174" s="325" t="s">
        <v>1152</v>
      </c>
      <c r="B1174" s="325" t="s">
        <v>1238</v>
      </c>
      <c r="C1174" s="325" t="s">
        <v>1239</v>
      </c>
      <c r="D1174" s="325" t="s">
        <v>14</v>
      </c>
      <c r="E1174" s="326">
        <v>10</v>
      </c>
      <c r="F1174" s="327">
        <v>1125</v>
      </c>
      <c r="G1174" s="328"/>
      <c r="H1174" s="160" t="s">
        <v>720</v>
      </c>
      <c r="I1174" s="324" t="s">
        <v>21</v>
      </c>
    </row>
    <row r="1175" spans="1:9" ht="11.1" customHeight="1" outlineLevel="1">
      <c r="A1175" s="325" t="s">
        <v>1152</v>
      </c>
      <c r="B1175" s="325" t="s">
        <v>1238</v>
      </c>
      <c r="C1175" s="325" t="s">
        <v>1239</v>
      </c>
      <c r="D1175" s="325" t="s">
        <v>14</v>
      </c>
      <c r="E1175" s="326">
        <v>2.5</v>
      </c>
      <c r="F1175" s="331">
        <v>281.25</v>
      </c>
      <c r="G1175" s="328"/>
      <c r="H1175" s="160" t="s">
        <v>720</v>
      </c>
      <c r="I1175" s="324" t="s">
        <v>21</v>
      </c>
    </row>
    <row r="1176" spans="1:9" ht="11.1" customHeight="1" outlineLevel="1">
      <c r="A1176" s="325" t="s">
        <v>1152</v>
      </c>
      <c r="B1176" s="325" t="s">
        <v>1238</v>
      </c>
      <c r="C1176" s="325" t="s">
        <v>1239</v>
      </c>
      <c r="D1176" s="325" t="s">
        <v>14</v>
      </c>
      <c r="E1176" s="326">
        <v>5</v>
      </c>
      <c r="F1176" s="331">
        <v>562.5</v>
      </c>
      <c r="G1176" s="328"/>
      <c r="H1176" s="160" t="s">
        <v>720</v>
      </c>
      <c r="I1176" s="324" t="s">
        <v>21</v>
      </c>
    </row>
    <row r="1177" spans="1:9" ht="11.1" customHeight="1" outlineLevel="1">
      <c r="A1177" s="325" t="s">
        <v>1152</v>
      </c>
      <c r="B1177" s="325" t="s">
        <v>1157</v>
      </c>
      <c r="C1177" s="325" t="s">
        <v>1158</v>
      </c>
      <c r="D1177" s="325" t="s">
        <v>20</v>
      </c>
      <c r="E1177" s="326">
        <v>3</v>
      </c>
      <c r="F1177" s="331">
        <v>52.5</v>
      </c>
      <c r="G1177" s="328"/>
      <c r="H1177" s="160" t="s">
        <v>1159</v>
      </c>
      <c r="I1177" s="324" t="s">
        <v>21</v>
      </c>
    </row>
    <row r="1178" spans="1:9" ht="11.1" customHeight="1" outlineLevel="1">
      <c r="A1178" s="325" t="s">
        <v>1152</v>
      </c>
      <c r="B1178" s="325" t="s">
        <v>1157</v>
      </c>
      <c r="C1178" s="325" t="s">
        <v>1158</v>
      </c>
      <c r="D1178" s="325" t="s">
        <v>20</v>
      </c>
      <c r="E1178" s="326">
        <v>4</v>
      </c>
      <c r="F1178" s="331">
        <v>70</v>
      </c>
      <c r="G1178" s="328"/>
      <c r="H1178" s="160" t="s">
        <v>1159</v>
      </c>
      <c r="I1178" s="324" t="s">
        <v>21</v>
      </c>
    </row>
    <row r="1179" spans="1:9" ht="11.1" customHeight="1" outlineLevel="1">
      <c r="A1179" s="325" t="s">
        <v>1133</v>
      </c>
      <c r="B1179" s="325" t="s">
        <v>2499</v>
      </c>
      <c r="C1179" s="325" t="s">
        <v>2500</v>
      </c>
      <c r="D1179" s="325" t="s">
        <v>1115</v>
      </c>
      <c r="E1179" s="326">
        <v>0.26400000000000001</v>
      </c>
      <c r="F1179" s="327">
        <v>7678</v>
      </c>
      <c r="G1179" s="328"/>
      <c r="H1179" s="328" t="s">
        <v>1162</v>
      </c>
      <c r="I1179" s="324" t="s">
        <v>1087</v>
      </c>
    </row>
    <row r="1180" spans="1:9" ht="11.1" customHeight="1" outlineLevel="1">
      <c r="A1180" s="325" t="s">
        <v>1133</v>
      </c>
      <c r="B1180" s="325" t="s">
        <v>2567</v>
      </c>
      <c r="C1180" s="325" t="s">
        <v>2568</v>
      </c>
      <c r="D1180" s="325" t="s">
        <v>517</v>
      </c>
      <c r="E1180" s="326">
        <v>5.1999999999999998E-2</v>
      </c>
      <c r="F1180" s="327">
        <v>1484.02</v>
      </c>
      <c r="G1180" s="328"/>
      <c r="H1180" s="328" t="s">
        <v>1162</v>
      </c>
      <c r="I1180" s="324" t="s">
        <v>1087</v>
      </c>
    </row>
    <row r="1181" spans="1:9" ht="11.1" customHeight="1" outlineLevel="1">
      <c r="A1181" s="325" t="s">
        <v>1133</v>
      </c>
      <c r="B1181" s="325" t="s">
        <v>2569</v>
      </c>
      <c r="C1181" s="325" t="s">
        <v>2570</v>
      </c>
      <c r="D1181" s="325" t="s">
        <v>1115</v>
      </c>
      <c r="E1181" s="326">
        <v>7.1999999999999995E-2</v>
      </c>
      <c r="F1181" s="327">
        <v>2133.09</v>
      </c>
      <c r="G1181" s="328"/>
      <c r="H1181" s="328" t="s">
        <v>1162</v>
      </c>
      <c r="I1181" s="324" t="s">
        <v>1087</v>
      </c>
    </row>
    <row r="1182" spans="1:9" ht="11.1" customHeight="1" outlineLevel="1">
      <c r="A1182" s="325" t="s">
        <v>1152</v>
      </c>
      <c r="B1182" s="325" t="s">
        <v>2309</v>
      </c>
      <c r="C1182" s="325" t="s">
        <v>2310</v>
      </c>
      <c r="D1182" s="325" t="s">
        <v>20</v>
      </c>
      <c r="E1182" s="326">
        <v>1</v>
      </c>
      <c r="F1182" s="331">
        <v>269.14999999999998</v>
      </c>
      <c r="G1182" s="328"/>
      <c r="H1182" s="328" t="s">
        <v>1147</v>
      </c>
      <c r="I1182" s="324" t="s">
        <v>21</v>
      </c>
    </row>
    <row r="1183" spans="1:9" ht="11.1" customHeight="1" outlineLevel="1">
      <c r="A1183" s="325" t="s">
        <v>1152</v>
      </c>
      <c r="B1183" s="325" t="s">
        <v>1292</v>
      </c>
      <c r="C1183" s="325" t="s">
        <v>1293</v>
      </c>
      <c r="D1183" s="325" t="s">
        <v>20</v>
      </c>
      <c r="E1183" s="326">
        <v>1</v>
      </c>
      <c r="F1183" s="331">
        <v>34</v>
      </c>
      <c r="G1183" s="328"/>
      <c r="H1183" s="328" t="s">
        <v>1147</v>
      </c>
      <c r="I1183" s="324" t="s">
        <v>21</v>
      </c>
    </row>
    <row r="1184" spans="1:9" ht="11.1" customHeight="1" outlineLevel="1">
      <c r="A1184" s="325" t="s">
        <v>1133</v>
      </c>
      <c r="B1184" s="325" t="s">
        <v>2571</v>
      </c>
      <c r="C1184" s="325" t="s">
        <v>859</v>
      </c>
      <c r="D1184" s="325" t="s">
        <v>517</v>
      </c>
      <c r="E1184" s="326">
        <v>0.34499999999999997</v>
      </c>
      <c r="F1184" s="327">
        <v>10962.02</v>
      </c>
      <c r="G1184" s="328"/>
      <c r="H1184" s="160" t="s">
        <v>535</v>
      </c>
      <c r="I1184" s="324" t="s">
        <v>1087</v>
      </c>
    </row>
    <row r="1185" spans="1:9" ht="11.1" customHeight="1" outlineLevel="1">
      <c r="A1185" s="325" t="s">
        <v>1133</v>
      </c>
      <c r="B1185" s="325" t="s">
        <v>2572</v>
      </c>
      <c r="C1185" s="325" t="s">
        <v>2573</v>
      </c>
      <c r="D1185" s="325" t="s">
        <v>517</v>
      </c>
      <c r="E1185" s="326">
        <v>0.35199999999999998</v>
      </c>
      <c r="F1185" s="327">
        <v>11176.38</v>
      </c>
      <c r="G1185" s="328"/>
      <c r="H1185" s="160" t="s">
        <v>535</v>
      </c>
      <c r="I1185" s="324" t="s">
        <v>1087</v>
      </c>
    </row>
    <row r="1186" spans="1:9" ht="11.1" customHeight="1" outlineLevel="1">
      <c r="A1186" s="325" t="s">
        <v>1133</v>
      </c>
      <c r="B1186" s="325" t="s">
        <v>2574</v>
      </c>
      <c r="C1186" s="325" t="s">
        <v>2575</v>
      </c>
      <c r="D1186" s="325" t="s">
        <v>517</v>
      </c>
      <c r="E1186" s="326">
        <v>0.53900000000000003</v>
      </c>
      <c r="F1186" s="327">
        <v>17063.88</v>
      </c>
      <c r="G1186" s="328"/>
      <c r="H1186" s="160" t="s">
        <v>535</v>
      </c>
      <c r="I1186" s="324" t="s">
        <v>1087</v>
      </c>
    </row>
    <row r="1187" spans="1:9" ht="11.1" customHeight="1" outlineLevel="1">
      <c r="A1187" s="325" t="s">
        <v>1133</v>
      </c>
      <c r="B1187" s="325" t="s">
        <v>2576</v>
      </c>
      <c r="C1187" s="325" t="s">
        <v>2577</v>
      </c>
      <c r="D1187" s="325" t="s">
        <v>1115</v>
      </c>
      <c r="E1187" s="326">
        <v>0.76700000000000002</v>
      </c>
      <c r="F1187" s="327">
        <v>31736.240000000002</v>
      </c>
      <c r="G1187" s="328"/>
      <c r="H1187" s="328" t="s">
        <v>1126</v>
      </c>
      <c r="I1187" s="324" t="s">
        <v>1087</v>
      </c>
    </row>
    <row r="1188" spans="1:9" ht="11.1" customHeight="1" outlineLevel="1">
      <c r="A1188" s="325" t="s">
        <v>1133</v>
      </c>
      <c r="B1188" s="325" t="s">
        <v>2578</v>
      </c>
      <c r="C1188" s="325" t="s">
        <v>2579</v>
      </c>
      <c r="D1188" s="325" t="s">
        <v>1115</v>
      </c>
      <c r="E1188" s="326">
        <v>0.57899999999999996</v>
      </c>
      <c r="F1188" s="327">
        <v>25148.12</v>
      </c>
      <c r="G1188" s="328"/>
      <c r="H1188" s="328" t="s">
        <v>1126</v>
      </c>
      <c r="I1188" s="324" t="s">
        <v>1087</v>
      </c>
    </row>
    <row r="1189" spans="1:9" ht="11.1" customHeight="1">
      <c r="A1189" s="320" t="s">
        <v>2580</v>
      </c>
      <c r="B1189" s="320"/>
      <c r="C1189" s="320"/>
      <c r="D1189" s="320"/>
      <c r="E1189" s="334">
        <v>112584.217</v>
      </c>
      <c r="F1189" s="322">
        <v>5689623.1600000001</v>
      </c>
      <c r="G1189" s="323"/>
      <c r="H1189" s="323"/>
    </row>
    <row r="1190" spans="1:9" ht="11.1" customHeight="1" outlineLevel="1">
      <c r="A1190" s="325" t="s">
        <v>1067</v>
      </c>
      <c r="B1190" s="325" t="s">
        <v>1303</v>
      </c>
      <c r="C1190" s="325" t="s">
        <v>1304</v>
      </c>
      <c r="D1190" s="325" t="s">
        <v>1305</v>
      </c>
      <c r="E1190" s="326">
        <v>180</v>
      </c>
      <c r="F1190" s="327">
        <v>137700</v>
      </c>
      <c r="G1190" s="328"/>
      <c r="H1190" s="160" t="s">
        <v>1306</v>
      </c>
      <c r="I1190" s="324" t="s">
        <v>1307</v>
      </c>
    </row>
    <row r="1191" spans="1:9" ht="11.1" customHeight="1" outlineLevel="1">
      <c r="A1191" s="325" t="s">
        <v>1067</v>
      </c>
      <c r="B1191" s="325" t="s">
        <v>1310</v>
      </c>
      <c r="C1191" s="325" t="s">
        <v>1311</v>
      </c>
      <c r="D1191" s="325" t="s">
        <v>1305</v>
      </c>
      <c r="E1191" s="326">
        <v>172</v>
      </c>
      <c r="F1191" s="327">
        <v>133157.1</v>
      </c>
      <c r="G1191" s="328"/>
      <c r="H1191" s="160" t="s">
        <v>1306</v>
      </c>
      <c r="I1191" s="324" t="s">
        <v>1307</v>
      </c>
    </row>
    <row r="1192" spans="1:9" ht="11.1" customHeight="1" outlineLevel="1">
      <c r="A1192" s="325" t="s">
        <v>1067</v>
      </c>
      <c r="B1192" s="325" t="s">
        <v>2581</v>
      </c>
      <c r="C1192" s="325" t="s">
        <v>2582</v>
      </c>
      <c r="D1192" s="325" t="s">
        <v>20</v>
      </c>
      <c r="E1192" s="326">
        <v>5</v>
      </c>
      <c r="F1192" s="327">
        <v>11700</v>
      </c>
      <c r="G1192" s="328"/>
      <c r="H1192" s="160" t="s">
        <v>794</v>
      </c>
      <c r="I1192" s="324" t="s">
        <v>289</v>
      </c>
    </row>
    <row r="1193" spans="1:9" ht="11.1" customHeight="1" outlineLevel="1">
      <c r="A1193" s="325" t="s">
        <v>1067</v>
      </c>
      <c r="B1193" s="325" t="s">
        <v>1314</v>
      </c>
      <c r="C1193" s="325" t="s">
        <v>1315</v>
      </c>
      <c r="D1193" s="325" t="s">
        <v>20</v>
      </c>
      <c r="E1193" s="326">
        <v>32</v>
      </c>
      <c r="F1193" s="327">
        <v>1691.52</v>
      </c>
      <c r="G1193" s="328"/>
      <c r="H1193" s="160" t="s">
        <v>577</v>
      </c>
      <c r="I1193" s="324" t="s">
        <v>289</v>
      </c>
    </row>
    <row r="1194" spans="1:9" ht="11.1" customHeight="1" outlineLevel="1">
      <c r="A1194" s="325" t="s">
        <v>1067</v>
      </c>
      <c r="B1194" s="325" t="s">
        <v>1316</v>
      </c>
      <c r="C1194" s="325" t="s">
        <v>1317</v>
      </c>
      <c r="D1194" s="325" t="s">
        <v>20</v>
      </c>
      <c r="E1194" s="326">
        <v>70</v>
      </c>
      <c r="F1194" s="327">
        <v>3763.2</v>
      </c>
      <c r="G1194" s="328"/>
      <c r="H1194" s="160" t="s">
        <v>577</v>
      </c>
      <c r="I1194" s="324" t="s">
        <v>289</v>
      </c>
    </row>
    <row r="1195" spans="1:9" ht="11.1" customHeight="1" outlineLevel="1">
      <c r="A1195" s="325" t="s">
        <v>1067</v>
      </c>
      <c r="B1195" s="325" t="s">
        <v>1318</v>
      </c>
      <c r="C1195" s="325" t="s">
        <v>1319</v>
      </c>
      <c r="D1195" s="325" t="s">
        <v>20</v>
      </c>
      <c r="E1195" s="326">
        <v>33</v>
      </c>
      <c r="F1195" s="327">
        <v>1904.14</v>
      </c>
      <c r="G1195" s="328"/>
      <c r="H1195" s="160" t="s">
        <v>577</v>
      </c>
      <c r="I1195" s="324" t="s">
        <v>289</v>
      </c>
    </row>
    <row r="1196" spans="1:9" ht="11.1" customHeight="1" outlineLevel="1">
      <c r="A1196" s="325" t="s">
        <v>1067</v>
      </c>
      <c r="B1196" s="325" t="s">
        <v>2583</v>
      </c>
      <c r="C1196" s="325" t="s">
        <v>2584</v>
      </c>
      <c r="D1196" s="325" t="s">
        <v>12</v>
      </c>
      <c r="E1196" s="326">
        <v>1</v>
      </c>
      <c r="F1196" s="331">
        <v>378.32</v>
      </c>
      <c r="G1196" s="328"/>
      <c r="H1196" s="160" t="s">
        <v>577</v>
      </c>
      <c r="I1196" s="324" t="s">
        <v>289</v>
      </c>
    </row>
    <row r="1197" spans="1:9" ht="11.1" customHeight="1" outlineLevel="1">
      <c r="A1197" s="325" t="s">
        <v>1067</v>
      </c>
      <c r="B1197" s="325" t="s">
        <v>2585</v>
      </c>
      <c r="C1197" s="325" t="s">
        <v>2586</v>
      </c>
      <c r="D1197" s="325" t="s">
        <v>20</v>
      </c>
      <c r="E1197" s="326">
        <v>9</v>
      </c>
      <c r="F1197" s="327">
        <v>1425.3</v>
      </c>
      <c r="G1197" s="328"/>
      <c r="H1197" s="160" t="s">
        <v>1322</v>
      </c>
      <c r="I1197" s="324" t="s">
        <v>1070</v>
      </c>
    </row>
    <row r="1198" spans="1:9" ht="11.1" customHeight="1" outlineLevel="1">
      <c r="A1198" s="325" t="s">
        <v>1067</v>
      </c>
      <c r="B1198" s="325" t="s">
        <v>2587</v>
      </c>
      <c r="C1198" s="325" t="s">
        <v>896</v>
      </c>
      <c r="D1198" s="325" t="s">
        <v>20</v>
      </c>
      <c r="E1198" s="326">
        <v>15</v>
      </c>
      <c r="F1198" s="327">
        <v>3155.6</v>
      </c>
      <c r="G1198" s="328"/>
      <c r="H1198" s="160" t="s">
        <v>1322</v>
      </c>
      <c r="I1198" s="324" t="s">
        <v>1070</v>
      </c>
    </row>
    <row r="1199" spans="1:9" ht="11.1" customHeight="1" outlineLevel="1">
      <c r="A1199" s="325" t="s">
        <v>1067</v>
      </c>
      <c r="B1199" s="325" t="s">
        <v>2588</v>
      </c>
      <c r="C1199" s="325" t="s">
        <v>2589</v>
      </c>
      <c r="D1199" s="325" t="s">
        <v>20</v>
      </c>
      <c r="E1199" s="326">
        <v>2</v>
      </c>
      <c r="F1199" s="327">
        <v>1927</v>
      </c>
      <c r="G1199" s="328"/>
      <c r="H1199" s="160" t="s">
        <v>2075</v>
      </c>
      <c r="I1199" s="324" t="s">
        <v>289</v>
      </c>
    </row>
    <row r="1200" spans="1:9" ht="11.1" customHeight="1" outlineLevel="1">
      <c r="A1200" s="325" t="s">
        <v>1067</v>
      </c>
      <c r="B1200" s="325" t="s">
        <v>2590</v>
      </c>
      <c r="C1200" s="325" t="s">
        <v>2591</v>
      </c>
      <c r="D1200" s="325" t="s">
        <v>20</v>
      </c>
      <c r="E1200" s="326">
        <v>85</v>
      </c>
      <c r="F1200" s="327">
        <v>1142.4000000000001</v>
      </c>
      <c r="G1200" s="328"/>
      <c r="H1200" s="328" t="s">
        <v>536</v>
      </c>
      <c r="I1200" s="324" t="s">
        <v>1087</v>
      </c>
    </row>
    <row r="1201" spans="1:9" ht="11.1" customHeight="1" outlineLevel="1">
      <c r="A1201" s="325" t="s">
        <v>1067</v>
      </c>
      <c r="B1201" s="325" t="s">
        <v>2592</v>
      </c>
      <c r="C1201" s="325" t="s">
        <v>2593</v>
      </c>
      <c r="D1201" s="325" t="s">
        <v>20</v>
      </c>
      <c r="E1201" s="326">
        <v>80</v>
      </c>
      <c r="F1201" s="327">
        <v>9688</v>
      </c>
      <c r="G1201" s="328"/>
      <c r="H1201" s="328" t="s">
        <v>536</v>
      </c>
      <c r="I1201" s="324" t="s">
        <v>1087</v>
      </c>
    </row>
    <row r="1202" spans="1:9" ht="11.1" customHeight="1" outlineLevel="1">
      <c r="A1202" s="325" t="s">
        <v>1067</v>
      </c>
      <c r="B1202" s="325" t="s">
        <v>2594</v>
      </c>
      <c r="C1202" s="325" t="s">
        <v>2595</v>
      </c>
      <c r="D1202" s="325" t="s">
        <v>20</v>
      </c>
      <c r="E1202" s="326">
        <v>4</v>
      </c>
      <c r="F1202" s="327">
        <v>2050</v>
      </c>
      <c r="G1202" s="328"/>
      <c r="H1202" s="328" t="s">
        <v>1147</v>
      </c>
      <c r="I1202" s="324" t="s">
        <v>21</v>
      </c>
    </row>
    <row r="1203" spans="1:9" ht="11.1" customHeight="1" outlineLevel="1">
      <c r="A1203" s="325" t="s">
        <v>1067</v>
      </c>
      <c r="B1203" s="325" t="s">
        <v>2596</v>
      </c>
      <c r="C1203" s="325" t="s">
        <v>2597</v>
      </c>
      <c r="D1203" s="325" t="s">
        <v>912</v>
      </c>
      <c r="E1203" s="326">
        <v>6</v>
      </c>
      <c r="F1203" s="327">
        <v>90000</v>
      </c>
      <c r="G1203" s="328"/>
      <c r="H1203" s="328" t="s">
        <v>1337</v>
      </c>
      <c r="I1203" s="324" t="s">
        <v>1307</v>
      </c>
    </row>
    <row r="1204" spans="1:9" ht="11.1" customHeight="1" outlineLevel="1">
      <c r="A1204" s="325" t="s">
        <v>1067</v>
      </c>
      <c r="B1204" s="325" t="s">
        <v>2598</v>
      </c>
      <c r="C1204" s="325" t="s">
        <v>2599</v>
      </c>
      <c r="D1204" s="325" t="s">
        <v>1220</v>
      </c>
      <c r="E1204" s="326">
        <v>9</v>
      </c>
      <c r="F1204" s="327">
        <v>135000</v>
      </c>
      <c r="G1204" s="328"/>
      <c r="H1204" s="328" t="s">
        <v>1337</v>
      </c>
      <c r="I1204" s="324" t="s">
        <v>1307</v>
      </c>
    </row>
    <row r="1205" spans="1:9" ht="11.1" customHeight="1" outlineLevel="1">
      <c r="A1205" s="325" t="s">
        <v>1067</v>
      </c>
      <c r="B1205" s="325" t="s">
        <v>1363</v>
      </c>
      <c r="C1205" s="325" t="s">
        <v>1364</v>
      </c>
      <c r="D1205" s="325" t="s">
        <v>886</v>
      </c>
      <c r="E1205" s="326">
        <v>1.0900000000000001</v>
      </c>
      <c r="F1205" s="327">
        <v>29585.9</v>
      </c>
      <c r="G1205" s="328"/>
      <c r="H1205" s="328" t="s">
        <v>549</v>
      </c>
      <c r="I1205" s="324" t="s">
        <v>289</v>
      </c>
    </row>
    <row r="1206" spans="1:9" ht="11.1" customHeight="1" outlineLevel="1">
      <c r="A1206" s="325" t="s">
        <v>1067</v>
      </c>
      <c r="B1206" s="325" t="s">
        <v>1365</v>
      </c>
      <c r="C1206" s="325" t="s">
        <v>1366</v>
      </c>
      <c r="D1206" s="325" t="s">
        <v>886</v>
      </c>
      <c r="E1206" s="326">
        <v>1.65</v>
      </c>
      <c r="F1206" s="327">
        <v>73670.850000000006</v>
      </c>
      <c r="G1206" s="328"/>
      <c r="H1206" s="328" t="s">
        <v>549</v>
      </c>
      <c r="I1206" s="324" t="s">
        <v>289</v>
      </c>
    </row>
    <row r="1207" spans="1:9" ht="11.1" customHeight="1" outlineLevel="1">
      <c r="A1207" s="325" t="s">
        <v>1067</v>
      </c>
      <c r="B1207" s="325" t="s">
        <v>1367</v>
      </c>
      <c r="C1207" s="325" t="s">
        <v>1368</v>
      </c>
      <c r="D1207" s="325" t="s">
        <v>886</v>
      </c>
      <c r="E1207" s="326">
        <v>0.56000000000000005</v>
      </c>
      <c r="F1207" s="327">
        <v>37945.99</v>
      </c>
      <c r="G1207" s="328"/>
      <c r="H1207" s="328" t="s">
        <v>549</v>
      </c>
      <c r="I1207" s="324" t="s">
        <v>289</v>
      </c>
    </row>
    <row r="1208" spans="1:9" ht="11.1" customHeight="1" outlineLevel="1">
      <c r="A1208" s="325" t="s">
        <v>1067</v>
      </c>
      <c r="B1208" s="325" t="s">
        <v>1369</v>
      </c>
      <c r="C1208" s="325" t="s">
        <v>1370</v>
      </c>
      <c r="D1208" s="325" t="s">
        <v>20</v>
      </c>
      <c r="E1208" s="326">
        <v>30</v>
      </c>
      <c r="F1208" s="327">
        <v>11336.12</v>
      </c>
      <c r="G1208" s="328"/>
      <c r="H1208" s="328" t="s">
        <v>563</v>
      </c>
      <c r="I1208" s="324" t="s">
        <v>289</v>
      </c>
    </row>
    <row r="1209" spans="1:9" ht="11.1" customHeight="1" outlineLevel="1">
      <c r="A1209" s="325" t="s">
        <v>1067</v>
      </c>
      <c r="B1209" s="325" t="s">
        <v>1371</v>
      </c>
      <c r="C1209" s="325" t="s">
        <v>1372</v>
      </c>
      <c r="D1209" s="325" t="s">
        <v>20</v>
      </c>
      <c r="E1209" s="326">
        <v>40</v>
      </c>
      <c r="F1209" s="327">
        <v>2775.22</v>
      </c>
      <c r="G1209" s="328"/>
      <c r="H1209" s="160" t="s">
        <v>1225</v>
      </c>
      <c r="I1209" s="324" t="s">
        <v>289</v>
      </c>
    </row>
    <row r="1210" spans="1:9" ht="11.1" customHeight="1" outlineLevel="1">
      <c r="A1210" s="325" t="s">
        <v>1067</v>
      </c>
      <c r="B1210" s="325" t="s">
        <v>2600</v>
      </c>
      <c r="C1210" s="325" t="s">
        <v>2601</v>
      </c>
      <c r="D1210" s="325" t="s">
        <v>20</v>
      </c>
      <c r="E1210" s="326">
        <v>4</v>
      </c>
      <c r="F1210" s="331">
        <v>70.16</v>
      </c>
      <c r="G1210" s="328"/>
      <c r="H1210" s="160" t="s">
        <v>1225</v>
      </c>
      <c r="I1210" s="324" t="s">
        <v>289</v>
      </c>
    </row>
    <row r="1211" spans="1:9" ht="11.1" customHeight="1" outlineLevel="1">
      <c r="A1211" s="325" t="s">
        <v>1067</v>
      </c>
      <c r="B1211" s="325" t="s">
        <v>1375</v>
      </c>
      <c r="C1211" s="325" t="s">
        <v>1376</v>
      </c>
      <c r="D1211" s="325" t="s">
        <v>20</v>
      </c>
      <c r="E1211" s="326">
        <v>2</v>
      </c>
      <c r="F1211" s="331">
        <v>804.5</v>
      </c>
      <c r="G1211" s="328"/>
      <c r="H1211" s="160" t="s">
        <v>577</v>
      </c>
      <c r="I1211" s="324" t="s">
        <v>289</v>
      </c>
    </row>
    <row r="1212" spans="1:9" ht="11.1" customHeight="1" outlineLevel="1">
      <c r="A1212" s="325" t="s">
        <v>1067</v>
      </c>
      <c r="B1212" s="325" t="s">
        <v>2456</v>
      </c>
      <c r="C1212" s="325" t="s">
        <v>2457</v>
      </c>
      <c r="D1212" s="325" t="s">
        <v>20</v>
      </c>
      <c r="E1212" s="326">
        <v>40</v>
      </c>
      <c r="F1212" s="327">
        <v>3264</v>
      </c>
      <c r="G1212" s="328"/>
      <c r="H1212" s="160" t="s">
        <v>577</v>
      </c>
      <c r="I1212" s="324" t="s">
        <v>289</v>
      </c>
    </row>
    <row r="1213" spans="1:9" ht="11.1" customHeight="1" outlineLevel="1">
      <c r="A1213" s="325" t="s">
        <v>1067</v>
      </c>
      <c r="B1213" s="325" t="s">
        <v>1377</v>
      </c>
      <c r="C1213" s="325" t="s">
        <v>1378</v>
      </c>
      <c r="D1213" s="325" t="s">
        <v>20</v>
      </c>
      <c r="E1213" s="326">
        <v>7</v>
      </c>
      <c r="F1213" s="331">
        <v>524.4</v>
      </c>
      <c r="G1213" s="328"/>
      <c r="H1213" s="160" t="s">
        <v>577</v>
      </c>
      <c r="I1213" s="324" t="s">
        <v>289</v>
      </c>
    </row>
    <row r="1214" spans="1:9" ht="11.1" customHeight="1" outlineLevel="1">
      <c r="A1214" s="325" t="s">
        <v>1067</v>
      </c>
      <c r="B1214" s="325" t="s">
        <v>2602</v>
      </c>
      <c r="C1214" s="325" t="s">
        <v>2603</v>
      </c>
      <c r="D1214" s="325" t="s">
        <v>20</v>
      </c>
      <c r="E1214" s="326">
        <v>6</v>
      </c>
      <c r="F1214" s="327">
        <v>5225.01</v>
      </c>
      <c r="G1214" s="328"/>
      <c r="H1214" s="174" t="s">
        <v>2052</v>
      </c>
      <c r="I1214" s="324" t="s">
        <v>425</v>
      </c>
    </row>
    <row r="1215" spans="1:9" ht="11.1" customHeight="1" outlineLevel="1">
      <c r="A1215" s="325" t="s">
        <v>1067</v>
      </c>
      <c r="B1215" s="325" t="s">
        <v>2604</v>
      </c>
      <c r="C1215" s="325" t="s">
        <v>2605</v>
      </c>
      <c r="D1215" s="325" t="s">
        <v>20</v>
      </c>
      <c r="E1215" s="326">
        <v>2</v>
      </c>
      <c r="F1215" s="327">
        <v>1516.66</v>
      </c>
      <c r="G1215" s="328"/>
      <c r="H1215" s="174" t="s">
        <v>2606</v>
      </c>
      <c r="I1215" s="324" t="s">
        <v>425</v>
      </c>
    </row>
    <row r="1216" spans="1:9" ht="11.1" customHeight="1" outlineLevel="1">
      <c r="A1216" s="325" t="s">
        <v>1067</v>
      </c>
      <c r="B1216" s="325" t="s">
        <v>2607</v>
      </c>
      <c r="C1216" s="325" t="s">
        <v>2608</v>
      </c>
      <c r="D1216" s="325" t="s">
        <v>20</v>
      </c>
      <c r="E1216" s="326">
        <v>2</v>
      </c>
      <c r="F1216" s="327">
        <v>16475</v>
      </c>
      <c r="G1216" s="328"/>
      <c r="H1216" s="174" t="s">
        <v>1054</v>
      </c>
      <c r="I1216" s="324" t="s">
        <v>1070</v>
      </c>
    </row>
    <row r="1217" spans="1:9" ht="11.1" customHeight="1" outlineLevel="1">
      <c r="A1217" s="325" t="s">
        <v>1067</v>
      </c>
      <c r="B1217" s="325" t="s">
        <v>1068</v>
      </c>
      <c r="C1217" s="325" t="s">
        <v>1069</v>
      </c>
      <c r="D1217" s="325" t="s">
        <v>20</v>
      </c>
      <c r="E1217" s="326">
        <v>1</v>
      </c>
      <c r="F1217" s="327">
        <v>6063</v>
      </c>
      <c r="G1217" s="328"/>
      <c r="H1217" s="174" t="s">
        <v>1054</v>
      </c>
      <c r="I1217" s="324" t="s">
        <v>1070</v>
      </c>
    </row>
    <row r="1218" spans="1:9" ht="11.1" customHeight="1" outlineLevel="1">
      <c r="A1218" s="325" t="s">
        <v>1067</v>
      </c>
      <c r="B1218" s="325" t="s">
        <v>1392</v>
      </c>
      <c r="C1218" s="325" t="s">
        <v>1393</v>
      </c>
      <c r="D1218" s="325" t="s">
        <v>20</v>
      </c>
      <c r="E1218" s="326">
        <v>2</v>
      </c>
      <c r="F1218" s="327">
        <v>16480</v>
      </c>
      <c r="G1218" s="328"/>
      <c r="H1218" s="174" t="s">
        <v>1054</v>
      </c>
      <c r="I1218" s="324" t="s">
        <v>1070</v>
      </c>
    </row>
    <row r="1219" spans="1:9" ht="11.1" customHeight="1" outlineLevel="1">
      <c r="A1219" s="325" t="s">
        <v>1067</v>
      </c>
      <c r="B1219" s="325" t="s">
        <v>2609</v>
      </c>
      <c r="C1219" s="325" t="s">
        <v>2610</v>
      </c>
      <c r="D1219" s="325" t="s">
        <v>20</v>
      </c>
      <c r="E1219" s="326">
        <v>3</v>
      </c>
      <c r="F1219" s="331">
        <v>351</v>
      </c>
      <c r="G1219" s="328"/>
      <c r="H1219" s="328" t="s">
        <v>2611</v>
      </c>
      <c r="I1219" s="324" t="s">
        <v>1070</v>
      </c>
    </row>
    <row r="1220" spans="1:9" ht="11.1" customHeight="1" outlineLevel="1">
      <c r="A1220" s="325" t="s">
        <v>1067</v>
      </c>
      <c r="B1220" s="325" t="s">
        <v>2612</v>
      </c>
      <c r="C1220" s="325" t="s">
        <v>2613</v>
      </c>
      <c r="D1220" s="325" t="s">
        <v>20</v>
      </c>
      <c r="E1220" s="326">
        <v>62</v>
      </c>
      <c r="F1220" s="331">
        <v>193.44</v>
      </c>
      <c r="G1220" s="328"/>
      <c r="H1220" s="160" t="s">
        <v>537</v>
      </c>
      <c r="I1220" s="324" t="s">
        <v>1087</v>
      </c>
    </row>
    <row r="1221" spans="1:9" ht="11.1" customHeight="1" outlineLevel="1">
      <c r="A1221" s="325" t="s">
        <v>1067</v>
      </c>
      <c r="B1221" s="325" t="s">
        <v>2614</v>
      </c>
      <c r="C1221" s="325" t="s">
        <v>2615</v>
      </c>
      <c r="D1221" s="325" t="s">
        <v>20</v>
      </c>
      <c r="E1221" s="326">
        <v>50</v>
      </c>
      <c r="F1221" s="327">
        <v>6375.5</v>
      </c>
      <c r="G1221" s="328"/>
      <c r="H1221" s="160" t="s">
        <v>537</v>
      </c>
      <c r="I1221" s="324" t="s">
        <v>1087</v>
      </c>
    </row>
    <row r="1222" spans="1:9" ht="11.1" customHeight="1" outlineLevel="1">
      <c r="A1222" s="325" t="s">
        <v>1067</v>
      </c>
      <c r="B1222" s="325" t="s">
        <v>2616</v>
      </c>
      <c r="C1222" s="325" t="s">
        <v>683</v>
      </c>
      <c r="D1222" s="325" t="s">
        <v>20</v>
      </c>
      <c r="E1222" s="326">
        <v>2</v>
      </c>
      <c r="F1222" s="327">
        <v>59831.7</v>
      </c>
      <c r="G1222" s="328"/>
      <c r="H1222" s="328" t="s">
        <v>2109</v>
      </c>
      <c r="I1222" s="324" t="s">
        <v>425</v>
      </c>
    </row>
    <row r="1223" spans="1:9" ht="11.1" customHeight="1" outlineLevel="1">
      <c r="A1223" s="325" t="s">
        <v>1067</v>
      </c>
      <c r="B1223" s="325" t="s">
        <v>2460</v>
      </c>
      <c r="C1223" s="325" t="s">
        <v>2461</v>
      </c>
      <c r="D1223" s="325" t="s">
        <v>20</v>
      </c>
      <c r="E1223" s="326">
        <v>2</v>
      </c>
      <c r="F1223" s="331">
        <v>248</v>
      </c>
      <c r="G1223" s="328"/>
      <c r="H1223" s="160" t="s">
        <v>629</v>
      </c>
      <c r="I1223" s="324" t="s">
        <v>1070</v>
      </c>
    </row>
    <row r="1224" spans="1:9" ht="11.1" customHeight="1" outlineLevel="1">
      <c r="A1224" s="325" t="s">
        <v>1067</v>
      </c>
      <c r="B1224" s="325" t="s">
        <v>1406</v>
      </c>
      <c r="C1224" s="325" t="s">
        <v>1407</v>
      </c>
      <c r="D1224" s="325" t="s">
        <v>20</v>
      </c>
      <c r="E1224" s="326">
        <v>4</v>
      </c>
      <c r="F1224" s="327">
        <v>1024</v>
      </c>
      <c r="G1224" s="328"/>
      <c r="H1224" s="160" t="s">
        <v>561</v>
      </c>
      <c r="I1224" s="324" t="s">
        <v>1070</v>
      </c>
    </row>
    <row r="1225" spans="1:9" ht="11.1" customHeight="1" outlineLevel="1">
      <c r="A1225" s="325" t="s">
        <v>1067</v>
      </c>
      <c r="B1225" s="325" t="s">
        <v>1408</v>
      </c>
      <c r="C1225" s="325" t="s">
        <v>1409</v>
      </c>
      <c r="D1225" s="325" t="s">
        <v>20</v>
      </c>
      <c r="E1225" s="326">
        <v>32</v>
      </c>
      <c r="F1225" s="327">
        <v>5984</v>
      </c>
      <c r="G1225" s="328"/>
      <c r="H1225" s="160" t="s">
        <v>561</v>
      </c>
      <c r="I1225" s="324" t="s">
        <v>1070</v>
      </c>
    </row>
    <row r="1226" spans="1:9" ht="11.1" customHeight="1" outlineLevel="1">
      <c r="A1226" s="325" t="s">
        <v>1067</v>
      </c>
      <c r="B1226" s="325" t="s">
        <v>1410</v>
      </c>
      <c r="C1226" s="325" t="s">
        <v>1411</v>
      </c>
      <c r="D1226" s="325" t="s">
        <v>20</v>
      </c>
      <c r="E1226" s="326">
        <v>28</v>
      </c>
      <c r="F1226" s="327">
        <v>4480</v>
      </c>
      <c r="G1226" s="328"/>
      <c r="H1226" s="160" t="s">
        <v>561</v>
      </c>
      <c r="I1226" s="324" t="s">
        <v>1070</v>
      </c>
    </row>
    <row r="1227" spans="1:9" ht="11.1" customHeight="1" outlineLevel="1">
      <c r="A1227" s="325" t="s">
        <v>1067</v>
      </c>
      <c r="B1227" s="325" t="s">
        <v>1418</v>
      </c>
      <c r="C1227" s="325" t="s">
        <v>1419</v>
      </c>
      <c r="D1227" s="325" t="s">
        <v>20</v>
      </c>
      <c r="E1227" s="326">
        <v>26</v>
      </c>
      <c r="F1227" s="327">
        <v>5358</v>
      </c>
      <c r="G1227" s="328"/>
      <c r="H1227" s="328" t="s">
        <v>1417</v>
      </c>
      <c r="I1227" s="324" t="s">
        <v>289</v>
      </c>
    </row>
    <row r="1228" spans="1:9" ht="11.1" customHeight="1" outlineLevel="1">
      <c r="A1228" s="325" t="s">
        <v>1067</v>
      </c>
      <c r="B1228" s="325" t="s">
        <v>2617</v>
      </c>
      <c r="C1228" s="325" t="s">
        <v>2618</v>
      </c>
      <c r="D1228" s="325" t="s">
        <v>20</v>
      </c>
      <c r="E1228" s="326">
        <v>6</v>
      </c>
      <c r="F1228" s="327">
        <v>19705.419999999998</v>
      </c>
      <c r="G1228" s="328"/>
      <c r="H1228" s="160" t="s">
        <v>1034</v>
      </c>
      <c r="I1228" s="324" t="s">
        <v>1087</v>
      </c>
    </row>
    <row r="1229" spans="1:9" ht="11.1" customHeight="1" outlineLevel="1">
      <c r="A1229" s="325" t="s">
        <v>1067</v>
      </c>
      <c r="B1229" s="325" t="s">
        <v>2619</v>
      </c>
      <c r="C1229" s="325" t="s">
        <v>2620</v>
      </c>
      <c r="D1229" s="325" t="s">
        <v>261</v>
      </c>
      <c r="E1229" s="326">
        <v>40</v>
      </c>
      <c r="F1229" s="327">
        <v>12800</v>
      </c>
      <c r="G1229" s="328"/>
      <c r="H1229" s="160" t="s">
        <v>2621</v>
      </c>
      <c r="I1229" s="324" t="s">
        <v>1087</v>
      </c>
    </row>
    <row r="1230" spans="1:9" ht="11.1" customHeight="1" outlineLevel="1">
      <c r="A1230" s="325" t="s">
        <v>1067</v>
      </c>
      <c r="B1230" s="325" t="s">
        <v>2011</v>
      </c>
      <c r="C1230" s="325" t="s">
        <v>2012</v>
      </c>
      <c r="D1230" s="325" t="s">
        <v>14</v>
      </c>
      <c r="E1230" s="326">
        <v>300</v>
      </c>
      <c r="F1230" s="327">
        <v>25998</v>
      </c>
      <c r="G1230" s="328"/>
      <c r="H1230" s="160" t="s">
        <v>605</v>
      </c>
      <c r="I1230" s="324" t="s">
        <v>1087</v>
      </c>
    </row>
    <row r="1231" spans="1:9" ht="11.1" customHeight="1" outlineLevel="1">
      <c r="A1231" s="325" t="s">
        <v>1067</v>
      </c>
      <c r="B1231" s="325" t="s">
        <v>2622</v>
      </c>
      <c r="C1231" s="325" t="s">
        <v>2623</v>
      </c>
      <c r="D1231" s="325" t="s">
        <v>20</v>
      </c>
      <c r="E1231" s="326">
        <v>1</v>
      </c>
      <c r="F1231" s="327">
        <v>20375.419999999998</v>
      </c>
      <c r="G1231" s="328"/>
      <c r="H1231" s="160" t="s">
        <v>568</v>
      </c>
      <c r="I1231" s="330" t="s">
        <v>2119</v>
      </c>
    </row>
    <row r="1232" spans="1:9" ht="11.1" customHeight="1" outlineLevel="1">
      <c r="A1232" s="325" t="s">
        <v>1067</v>
      </c>
      <c r="B1232" s="325" t="s">
        <v>2624</v>
      </c>
      <c r="C1232" s="325" t="s">
        <v>2625</v>
      </c>
      <c r="D1232" s="325" t="s">
        <v>20</v>
      </c>
      <c r="E1232" s="326">
        <v>2</v>
      </c>
      <c r="F1232" s="327">
        <v>40750.839999999997</v>
      </c>
      <c r="G1232" s="328"/>
      <c r="H1232" s="160" t="s">
        <v>568</v>
      </c>
      <c r="I1232" s="330" t="s">
        <v>2119</v>
      </c>
    </row>
    <row r="1233" spans="1:9" ht="11.1" customHeight="1" outlineLevel="1">
      <c r="A1233" s="325" t="s">
        <v>1067</v>
      </c>
      <c r="B1233" s="325" t="s">
        <v>1435</v>
      </c>
      <c r="C1233" s="325" t="s">
        <v>1436</v>
      </c>
      <c r="D1233" s="325" t="s">
        <v>20</v>
      </c>
      <c r="E1233" s="326">
        <v>142</v>
      </c>
      <c r="F1233" s="327">
        <v>9045.4</v>
      </c>
      <c r="G1233" s="328"/>
      <c r="H1233" s="160" t="s">
        <v>1437</v>
      </c>
      <c r="I1233" s="324" t="s">
        <v>1307</v>
      </c>
    </row>
    <row r="1234" spans="1:9" ht="11.1" customHeight="1" outlineLevel="1">
      <c r="A1234" s="325" t="s">
        <v>1067</v>
      </c>
      <c r="B1234" s="325" t="s">
        <v>2626</v>
      </c>
      <c r="C1234" s="325" t="s">
        <v>2627</v>
      </c>
      <c r="D1234" s="325" t="s">
        <v>20</v>
      </c>
      <c r="E1234" s="326">
        <v>128</v>
      </c>
      <c r="F1234" s="327">
        <v>10400</v>
      </c>
      <c r="G1234" s="328"/>
      <c r="H1234" s="160" t="s">
        <v>1440</v>
      </c>
      <c r="I1234" s="324" t="s">
        <v>1105</v>
      </c>
    </row>
    <row r="1235" spans="1:9" ht="11.1" customHeight="1" outlineLevel="1">
      <c r="A1235" s="325" t="s">
        <v>1067</v>
      </c>
      <c r="B1235" s="325" t="s">
        <v>2628</v>
      </c>
      <c r="C1235" s="325" t="s">
        <v>2629</v>
      </c>
      <c r="D1235" s="325" t="s">
        <v>20</v>
      </c>
      <c r="E1235" s="326">
        <v>32</v>
      </c>
      <c r="F1235" s="327">
        <v>4354.91</v>
      </c>
      <c r="G1235" s="328"/>
      <c r="H1235" s="160" t="s">
        <v>1443</v>
      </c>
      <c r="I1235" s="324" t="s">
        <v>1105</v>
      </c>
    </row>
    <row r="1236" spans="1:9" ht="11.1" customHeight="1" outlineLevel="1">
      <c r="A1236" s="325" t="s">
        <v>1067</v>
      </c>
      <c r="B1236" s="325" t="s">
        <v>2630</v>
      </c>
      <c r="C1236" s="325" t="s">
        <v>1080</v>
      </c>
      <c r="D1236" s="325" t="s">
        <v>20</v>
      </c>
      <c r="E1236" s="326">
        <v>8</v>
      </c>
      <c r="F1236" s="327">
        <v>2178.64</v>
      </c>
      <c r="G1236" s="328"/>
      <c r="H1236" s="325" t="s">
        <v>1080</v>
      </c>
      <c r="I1236" s="324" t="s">
        <v>425</v>
      </c>
    </row>
    <row r="1237" spans="1:9" ht="11.1" customHeight="1" outlineLevel="1">
      <c r="A1237" s="325" t="s">
        <v>1067</v>
      </c>
      <c r="B1237" s="325" t="s">
        <v>2631</v>
      </c>
      <c r="C1237" s="325" t="s">
        <v>2632</v>
      </c>
      <c r="D1237" s="325" t="s">
        <v>20</v>
      </c>
      <c r="E1237" s="326">
        <v>8</v>
      </c>
      <c r="F1237" s="327">
        <v>2696</v>
      </c>
      <c r="G1237" s="328"/>
      <c r="H1237" s="325" t="s">
        <v>2632</v>
      </c>
      <c r="I1237" s="324" t="s">
        <v>425</v>
      </c>
    </row>
    <row r="1238" spans="1:9" ht="11.1" customHeight="1" outlineLevel="1">
      <c r="A1238" s="325" t="s">
        <v>1067</v>
      </c>
      <c r="B1238" s="325" t="s">
        <v>1076</v>
      </c>
      <c r="C1238" s="325" t="s">
        <v>1077</v>
      </c>
      <c r="D1238" s="325" t="s">
        <v>20</v>
      </c>
      <c r="E1238" s="326">
        <v>4</v>
      </c>
      <c r="F1238" s="327">
        <v>1149.68</v>
      </c>
      <c r="G1238" s="328"/>
      <c r="H1238" s="174" t="s">
        <v>842</v>
      </c>
      <c r="I1238" s="324" t="s">
        <v>425</v>
      </c>
    </row>
    <row r="1239" spans="1:9" ht="11.1" customHeight="1" outlineLevel="1">
      <c r="A1239" s="325" t="s">
        <v>1067</v>
      </c>
      <c r="B1239" s="325" t="s">
        <v>1469</v>
      </c>
      <c r="C1239" s="325" t="s">
        <v>1470</v>
      </c>
      <c r="D1239" s="325" t="s">
        <v>912</v>
      </c>
      <c r="E1239" s="326">
        <v>0.96</v>
      </c>
      <c r="F1239" s="327">
        <v>17200</v>
      </c>
      <c r="G1239" s="328"/>
      <c r="H1239" s="160" t="s">
        <v>542</v>
      </c>
      <c r="I1239" s="324" t="s">
        <v>1105</v>
      </c>
    </row>
    <row r="1240" spans="1:9" ht="11.1" customHeight="1" outlineLevel="1">
      <c r="A1240" s="325" t="s">
        <v>1067</v>
      </c>
      <c r="B1240" s="325" t="s">
        <v>2633</v>
      </c>
      <c r="C1240" s="325" t="s">
        <v>2634</v>
      </c>
      <c r="D1240" s="325" t="s">
        <v>20</v>
      </c>
      <c r="E1240" s="326">
        <v>10</v>
      </c>
      <c r="F1240" s="327">
        <v>20088</v>
      </c>
      <c r="G1240" s="328"/>
      <c r="H1240" s="160" t="s">
        <v>1236</v>
      </c>
      <c r="I1240" s="324" t="s">
        <v>21</v>
      </c>
    </row>
    <row r="1241" spans="1:9" ht="11.1" customHeight="1" outlineLevel="1">
      <c r="A1241" s="325" t="s">
        <v>1067</v>
      </c>
      <c r="B1241" s="325" t="s">
        <v>1471</v>
      </c>
      <c r="C1241" s="325" t="s">
        <v>1472</v>
      </c>
      <c r="D1241" s="325" t="s">
        <v>886</v>
      </c>
      <c r="E1241" s="326">
        <v>3.2000000000000001E-2</v>
      </c>
      <c r="F1241" s="327">
        <v>1305.69</v>
      </c>
      <c r="G1241" s="328"/>
      <c r="H1241" s="328" t="s">
        <v>549</v>
      </c>
      <c r="I1241" s="324" t="s">
        <v>289</v>
      </c>
    </row>
    <row r="1242" spans="1:9" ht="11.1" customHeight="1" outlineLevel="1">
      <c r="A1242" s="325" t="s">
        <v>1067</v>
      </c>
      <c r="B1242" s="325" t="s">
        <v>2635</v>
      </c>
      <c r="C1242" s="325" t="s">
        <v>2636</v>
      </c>
      <c r="D1242" s="325" t="s">
        <v>886</v>
      </c>
      <c r="E1242" s="326">
        <v>6.0000000000000001E-3</v>
      </c>
      <c r="F1242" s="331">
        <v>270</v>
      </c>
      <c r="G1242" s="328"/>
      <c r="H1242" s="328" t="s">
        <v>549</v>
      </c>
      <c r="I1242" s="324" t="s">
        <v>289</v>
      </c>
    </row>
    <row r="1243" spans="1:9" ht="11.1" customHeight="1" outlineLevel="1">
      <c r="A1243" s="325" t="s">
        <v>1067</v>
      </c>
      <c r="B1243" s="325" t="s">
        <v>2637</v>
      </c>
      <c r="C1243" s="325" t="s">
        <v>2638</v>
      </c>
      <c r="D1243" s="325" t="s">
        <v>886</v>
      </c>
      <c r="E1243" s="326">
        <v>0.04</v>
      </c>
      <c r="F1243" s="327">
        <v>2802.52</v>
      </c>
      <c r="G1243" s="328"/>
      <c r="H1243" s="328" t="s">
        <v>549</v>
      </c>
      <c r="I1243" s="324" t="s">
        <v>289</v>
      </c>
    </row>
    <row r="1244" spans="1:9" ht="11.1" customHeight="1" outlineLevel="1">
      <c r="A1244" s="325" t="s">
        <v>1067</v>
      </c>
      <c r="B1244" s="325" t="s">
        <v>2639</v>
      </c>
      <c r="C1244" s="325" t="s">
        <v>2640</v>
      </c>
      <c r="D1244" s="325" t="s">
        <v>1101</v>
      </c>
      <c r="E1244" s="326">
        <v>10</v>
      </c>
      <c r="F1244" s="327">
        <v>12500</v>
      </c>
      <c r="G1244" s="328"/>
      <c r="H1244" s="160" t="s">
        <v>2469</v>
      </c>
      <c r="I1244" s="324" t="s">
        <v>1307</v>
      </c>
    </row>
    <row r="1245" spans="1:9" ht="11.1" customHeight="1" outlineLevel="1">
      <c r="A1245" s="325" t="s">
        <v>1067</v>
      </c>
      <c r="B1245" s="325" t="s">
        <v>1473</v>
      </c>
      <c r="C1245" s="325" t="s">
        <v>1474</v>
      </c>
      <c r="D1245" s="325" t="s">
        <v>20</v>
      </c>
      <c r="E1245" s="326">
        <v>2</v>
      </c>
      <c r="F1245" s="327">
        <v>20041.669999999998</v>
      </c>
      <c r="G1245" s="328"/>
      <c r="H1245" s="160" t="s">
        <v>1475</v>
      </c>
      <c r="I1245" s="324" t="s">
        <v>1070</v>
      </c>
    </row>
    <row r="1246" spans="1:9" ht="11.1" customHeight="1" outlineLevel="1">
      <c r="A1246" s="325" t="s">
        <v>1067</v>
      </c>
      <c r="B1246" s="325" t="s">
        <v>2641</v>
      </c>
      <c r="C1246" s="325" t="s">
        <v>2642</v>
      </c>
      <c r="D1246" s="325" t="s">
        <v>20</v>
      </c>
      <c r="E1246" s="326">
        <v>4</v>
      </c>
      <c r="F1246" s="327">
        <v>26016</v>
      </c>
      <c r="G1246" s="328"/>
      <c r="H1246" s="174" t="s">
        <v>2643</v>
      </c>
      <c r="I1246" s="324" t="s">
        <v>425</v>
      </c>
    </row>
    <row r="1247" spans="1:9" ht="11.1" customHeight="1" outlineLevel="1">
      <c r="A1247" s="325" t="s">
        <v>1067</v>
      </c>
      <c r="B1247" s="325" t="s">
        <v>2644</v>
      </c>
      <c r="C1247" s="325" t="s">
        <v>2645</v>
      </c>
      <c r="D1247" s="325" t="s">
        <v>20</v>
      </c>
      <c r="E1247" s="326">
        <v>16</v>
      </c>
      <c r="F1247" s="327">
        <v>3857.45</v>
      </c>
      <c r="G1247" s="328"/>
      <c r="H1247" s="160" t="s">
        <v>1039</v>
      </c>
      <c r="I1247" s="324" t="s">
        <v>1105</v>
      </c>
    </row>
    <row r="1248" spans="1:9" ht="11.1" customHeight="1" outlineLevel="1">
      <c r="A1248" s="325" t="s">
        <v>1067</v>
      </c>
      <c r="B1248" s="325" t="s">
        <v>2646</v>
      </c>
      <c r="C1248" s="325" t="s">
        <v>2647</v>
      </c>
      <c r="D1248" s="325" t="s">
        <v>20</v>
      </c>
      <c r="E1248" s="326">
        <v>16</v>
      </c>
      <c r="F1248" s="327">
        <v>1330.7</v>
      </c>
      <c r="G1248" s="328"/>
      <c r="H1248" s="160" t="s">
        <v>1496</v>
      </c>
      <c r="I1248" s="324" t="s">
        <v>1105</v>
      </c>
    </row>
    <row r="1249" spans="1:9" ht="11.1" customHeight="1" outlineLevel="1">
      <c r="A1249" s="325" t="s">
        <v>1067</v>
      </c>
      <c r="B1249" s="325" t="s">
        <v>2648</v>
      </c>
      <c r="C1249" s="325" t="s">
        <v>2649</v>
      </c>
      <c r="D1249" s="325" t="s">
        <v>20</v>
      </c>
      <c r="E1249" s="326">
        <v>10</v>
      </c>
      <c r="F1249" s="331">
        <v>695.5</v>
      </c>
      <c r="G1249" s="328"/>
      <c r="H1249" s="328" t="s">
        <v>1605</v>
      </c>
      <c r="I1249" s="324" t="s">
        <v>1105</v>
      </c>
    </row>
    <row r="1250" spans="1:9" ht="11.1" customHeight="1" outlineLevel="1">
      <c r="A1250" s="325" t="s">
        <v>1067</v>
      </c>
      <c r="B1250" s="325" t="s">
        <v>2650</v>
      </c>
      <c r="C1250" s="325" t="s">
        <v>807</v>
      </c>
      <c r="D1250" s="325" t="s">
        <v>20</v>
      </c>
      <c r="E1250" s="326">
        <v>60</v>
      </c>
      <c r="F1250" s="331">
        <v>328.95</v>
      </c>
      <c r="G1250" s="328"/>
      <c r="H1250" s="160" t="s">
        <v>807</v>
      </c>
      <c r="I1250" s="324" t="s">
        <v>1105</v>
      </c>
    </row>
    <row r="1251" spans="1:9" ht="11.1" customHeight="1" outlineLevel="1">
      <c r="A1251" s="325" t="s">
        <v>1067</v>
      </c>
      <c r="B1251" s="325" t="s">
        <v>2651</v>
      </c>
      <c r="C1251" s="325" t="s">
        <v>2652</v>
      </c>
      <c r="D1251" s="325" t="s">
        <v>20</v>
      </c>
      <c r="E1251" s="326">
        <v>8</v>
      </c>
      <c r="F1251" s="331">
        <v>312</v>
      </c>
      <c r="G1251" s="328"/>
      <c r="H1251" s="160" t="s">
        <v>807</v>
      </c>
      <c r="I1251" s="324" t="s">
        <v>1105</v>
      </c>
    </row>
    <row r="1252" spans="1:9" ht="11.1" customHeight="1" outlineLevel="1">
      <c r="A1252" s="325" t="s">
        <v>1067</v>
      </c>
      <c r="B1252" s="325" t="s">
        <v>2653</v>
      </c>
      <c r="C1252" s="325" t="s">
        <v>2654</v>
      </c>
      <c r="D1252" s="325" t="s">
        <v>20</v>
      </c>
      <c r="E1252" s="335">
        <v>5000</v>
      </c>
      <c r="F1252" s="327">
        <v>2434.5</v>
      </c>
      <c r="G1252" s="328"/>
      <c r="H1252" s="160" t="s">
        <v>921</v>
      </c>
      <c r="I1252" s="324" t="s">
        <v>1105</v>
      </c>
    </row>
    <row r="1253" spans="1:9" ht="11.1" customHeight="1" outlineLevel="1">
      <c r="A1253" s="325" t="s">
        <v>1067</v>
      </c>
      <c r="B1253" s="325" t="s">
        <v>1146</v>
      </c>
      <c r="C1253" s="325" t="s">
        <v>730</v>
      </c>
      <c r="D1253" s="325" t="s">
        <v>20</v>
      </c>
      <c r="E1253" s="326">
        <v>8</v>
      </c>
      <c r="F1253" s="327">
        <v>1234</v>
      </c>
      <c r="G1253" s="328"/>
      <c r="H1253" s="328" t="s">
        <v>1147</v>
      </c>
      <c r="I1253" s="324" t="s">
        <v>21</v>
      </c>
    </row>
    <row r="1254" spans="1:9" ht="11.1" customHeight="1" outlineLevel="1">
      <c r="A1254" s="325" t="s">
        <v>1067</v>
      </c>
      <c r="B1254" s="325" t="s">
        <v>2655</v>
      </c>
      <c r="C1254" s="325" t="s">
        <v>2656</v>
      </c>
      <c r="D1254" s="325" t="s">
        <v>20</v>
      </c>
      <c r="E1254" s="326">
        <v>2</v>
      </c>
      <c r="F1254" s="327">
        <v>2008.98</v>
      </c>
      <c r="G1254" s="328"/>
      <c r="H1254" s="325" t="s">
        <v>2656</v>
      </c>
      <c r="I1254" s="324" t="s">
        <v>289</v>
      </c>
    </row>
    <row r="1255" spans="1:9" ht="11.1" customHeight="1" outlineLevel="1">
      <c r="A1255" s="325" t="s">
        <v>1067</v>
      </c>
      <c r="B1255" s="325" t="s">
        <v>2657</v>
      </c>
      <c r="C1255" s="325" t="s">
        <v>2658</v>
      </c>
      <c r="D1255" s="325" t="s">
        <v>20</v>
      </c>
      <c r="E1255" s="326">
        <v>2</v>
      </c>
      <c r="F1255" s="327">
        <v>4212</v>
      </c>
      <c r="G1255" s="328"/>
      <c r="H1255" s="325" t="s">
        <v>2658</v>
      </c>
      <c r="I1255" s="324" t="s">
        <v>289</v>
      </c>
    </row>
    <row r="1256" spans="1:9" ht="11.1" customHeight="1" outlineLevel="1">
      <c r="A1256" s="325" t="s">
        <v>1067</v>
      </c>
      <c r="B1256" s="325" t="s">
        <v>2659</v>
      </c>
      <c r="C1256" s="325" t="s">
        <v>2660</v>
      </c>
      <c r="D1256" s="325" t="s">
        <v>20</v>
      </c>
      <c r="E1256" s="326">
        <v>1</v>
      </c>
      <c r="F1256" s="331">
        <v>122</v>
      </c>
      <c r="G1256" s="328"/>
      <c r="H1256" s="328" t="s">
        <v>1147</v>
      </c>
      <c r="I1256" s="324" t="s">
        <v>21</v>
      </c>
    </row>
    <row r="1257" spans="1:9" ht="11.1" customHeight="1" outlineLevel="1">
      <c r="A1257" s="325" t="s">
        <v>1067</v>
      </c>
      <c r="B1257" s="325" t="s">
        <v>1506</v>
      </c>
      <c r="C1257" s="325" t="s">
        <v>1507</v>
      </c>
      <c r="D1257" s="325" t="s">
        <v>20</v>
      </c>
      <c r="E1257" s="326">
        <v>22</v>
      </c>
      <c r="F1257" s="327">
        <v>22906.33</v>
      </c>
      <c r="G1257" s="328"/>
      <c r="H1257" s="160" t="s">
        <v>1508</v>
      </c>
      <c r="I1257" s="324" t="s">
        <v>1070</v>
      </c>
    </row>
    <row r="1258" spans="1:9" ht="11.1" customHeight="1" outlineLevel="1">
      <c r="A1258" s="325" t="s">
        <v>1067</v>
      </c>
      <c r="B1258" s="325" t="s">
        <v>2661</v>
      </c>
      <c r="C1258" s="325" t="s">
        <v>2662</v>
      </c>
      <c r="D1258" s="325" t="s">
        <v>886</v>
      </c>
      <c r="E1258" s="326">
        <v>0.19800000000000001</v>
      </c>
      <c r="F1258" s="327">
        <v>4579.05</v>
      </c>
      <c r="G1258" s="328"/>
      <c r="H1258" s="328" t="s">
        <v>549</v>
      </c>
      <c r="I1258" s="324" t="s">
        <v>289</v>
      </c>
    </row>
    <row r="1259" spans="1:9" ht="11.1" customHeight="1" outlineLevel="1">
      <c r="A1259" s="325" t="s">
        <v>1067</v>
      </c>
      <c r="B1259" s="325" t="s">
        <v>2663</v>
      </c>
      <c r="C1259" s="325" t="s">
        <v>2664</v>
      </c>
      <c r="D1259" s="325" t="s">
        <v>20</v>
      </c>
      <c r="E1259" s="326">
        <v>4</v>
      </c>
      <c r="F1259" s="327">
        <v>11016</v>
      </c>
      <c r="G1259" s="328"/>
      <c r="H1259" s="328" t="s">
        <v>2665</v>
      </c>
      <c r="I1259" s="324" t="s">
        <v>289</v>
      </c>
    </row>
    <row r="1260" spans="1:9" ht="11.1" customHeight="1" outlineLevel="1">
      <c r="A1260" s="325" t="s">
        <v>1067</v>
      </c>
      <c r="B1260" s="325" t="s">
        <v>2666</v>
      </c>
      <c r="C1260" s="325" t="s">
        <v>2667</v>
      </c>
      <c r="D1260" s="325" t="s">
        <v>20</v>
      </c>
      <c r="E1260" s="326">
        <v>4</v>
      </c>
      <c r="F1260" s="327">
        <v>1031.24</v>
      </c>
      <c r="G1260" s="328"/>
      <c r="H1260" s="160" t="s">
        <v>1514</v>
      </c>
      <c r="I1260" s="324" t="s">
        <v>289</v>
      </c>
    </row>
    <row r="1261" spans="1:9" ht="11.1" customHeight="1" outlineLevel="1">
      <c r="A1261" s="325" t="s">
        <v>1067</v>
      </c>
      <c r="B1261" s="325" t="s">
        <v>1517</v>
      </c>
      <c r="C1261" s="325" t="s">
        <v>1518</v>
      </c>
      <c r="D1261" s="325" t="s">
        <v>1519</v>
      </c>
      <c r="E1261" s="326">
        <v>12</v>
      </c>
      <c r="F1261" s="331">
        <v>834.6</v>
      </c>
      <c r="G1261" s="328"/>
      <c r="H1261" s="160" t="s">
        <v>1520</v>
      </c>
      <c r="I1261" s="324" t="s">
        <v>289</v>
      </c>
    </row>
    <row r="1262" spans="1:9" ht="11.1" customHeight="1" outlineLevel="1">
      <c r="A1262" s="325" t="s">
        <v>1067</v>
      </c>
      <c r="B1262" s="325" t="s">
        <v>2668</v>
      </c>
      <c r="C1262" s="325" t="s">
        <v>2669</v>
      </c>
      <c r="D1262" s="325" t="s">
        <v>20</v>
      </c>
      <c r="E1262" s="326">
        <v>20</v>
      </c>
      <c r="F1262" s="327">
        <v>1686.1</v>
      </c>
      <c r="G1262" s="328"/>
      <c r="H1262" s="160" t="s">
        <v>1520</v>
      </c>
      <c r="I1262" s="324" t="s">
        <v>289</v>
      </c>
    </row>
    <row r="1263" spans="1:9" ht="11.1" customHeight="1" outlineLevel="1">
      <c r="A1263" s="325" t="s">
        <v>1067</v>
      </c>
      <c r="B1263" s="325" t="s">
        <v>2670</v>
      </c>
      <c r="C1263" s="325" t="s">
        <v>2671</v>
      </c>
      <c r="D1263" s="325" t="s">
        <v>20</v>
      </c>
      <c r="E1263" s="326">
        <v>2</v>
      </c>
      <c r="F1263" s="331">
        <v>773.5</v>
      </c>
      <c r="G1263" s="328"/>
      <c r="H1263" s="174" t="s">
        <v>672</v>
      </c>
      <c r="I1263" s="324" t="s">
        <v>425</v>
      </c>
    </row>
    <row r="1264" spans="1:9" ht="11.1" customHeight="1" outlineLevel="1">
      <c r="A1264" s="325" t="s">
        <v>1067</v>
      </c>
      <c r="B1264" s="325" t="s">
        <v>2672</v>
      </c>
      <c r="C1264" s="325" t="s">
        <v>2673</v>
      </c>
      <c r="D1264" s="325" t="s">
        <v>20</v>
      </c>
      <c r="E1264" s="326">
        <v>4</v>
      </c>
      <c r="F1264" s="327">
        <v>8836</v>
      </c>
      <c r="G1264" s="328"/>
      <c r="H1264" s="160" t="s">
        <v>1531</v>
      </c>
      <c r="I1264" s="324" t="s">
        <v>1070</v>
      </c>
    </row>
    <row r="1265" spans="1:9" ht="11.1" customHeight="1" outlineLevel="1">
      <c r="A1265" s="325" t="s">
        <v>1067</v>
      </c>
      <c r="B1265" s="325" t="s">
        <v>2674</v>
      </c>
      <c r="C1265" s="325" t="s">
        <v>2675</v>
      </c>
      <c r="D1265" s="325" t="s">
        <v>20</v>
      </c>
      <c r="E1265" s="326">
        <v>4</v>
      </c>
      <c r="F1265" s="331">
        <v>822</v>
      </c>
      <c r="G1265" s="328"/>
      <c r="H1265" s="328" t="s">
        <v>2676</v>
      </c>
      <c r="I1265" s="324" t="s">
        <v>1070</v>
      </c>
    </row>
    <row r="1266" spans="1:9" ht="11.1" customHeight="1" outlineLevel="1">
      <c r="A1266" s="325" t="s">
        <v>1067</v>
      </c>
      <c r="B1266" s="325" t="s">
        <v>2677</v>
      </c>
      <c r="C1266" s="325" t="s">
        <v>2678</v>
      </c>
      <c r="D1266" s="325" t="s">
        <v>20</v>
      </c>
      <c r="E1266" s="326">
        <v>2</v>
      </c>
      <c r="F1266" s="331">
        <v>870</v>
      </c>
      <c r="G1266" s="328"/>
      <c r="H1266" s="328" t="s">
        <v>2676</v>
      </c>
      <c r="I1266" s="324" t="s">
        <v>1070</v>
      </c>
    </row>
    <row r="1267" spans="1:9" ht="11.1" customHeight="1" outlineLevel="1">
      <c r="A1267" s="325" t="s">
        <v>1067</v>
      </c>
      <c r="B1267" s="325" t="s">
        <v>2679</v>
      </c>
      <c r="C1267" s="325" t="s">
        <v>2680</v>
      </c>
      <c r="D1267" s="325" t="s">
        <v>20</v>
      </c>
      <c r="E1267" s="326">
        <v>22</v>
      </c>
      <c r="F1267" s="327">
        <v>92393.36</v>
      </c>
      <c r="G1267" s="328"/>
      <c r="H1267" s="328" t="s">
        <v>2681</v>
      </c>
      <c r="I1267" s="324" t="s">
        <v>1307</v>
      </c>
    </row>
    <row r="1268" spans="1:9" ht="11.1" customHeight="1" outlineLevel="1">
      <c r="A1268" s="325" t="s">
        <v>1067</v>
      </c>
      <c r="B1268" s="325" t="s">
        <v>2682</v>
      </c>
      <c r="C1268" s="325" t="s">
        <v>2683</v>
      </c>
      <c r="D1268" s="325" t="s">
        <v>20</v>
      </c>
      <c r="E1268" s="326">
        <v>10</v>
      </c>
      <c r="F1268" s="327">
        <v>41778.800000000003</v>
      </c>
      <c r="G1268" s="328"/>
      <c r="H1268" s="328" t="s">
        <v>2681</v>
      </c>
      <c r="I1268" s="324" t="s">
        <v>1307</v>
      </c>
    </row>
    <row r="1269" spans="1:9" ht="11.1" customHeight="1" outlineLevel="1">
      <c r="A1269" s="325" t="s">
        <v>1067</v>
      </c>
      <c r="B1269" s="325" t="s">
        <v>2684</v>
      </c>
      <c r="C1269" s="325" t="s">
        <v>2685</v>
      </c>
      <c r="D1269" s="325" t="s">
        <v>20</v>
      </c>
      <c r="E1269" s="326">
        <v>5</v>
      </c>
      <c r="F1269" s="327">
        <v>1435</v>
      </c>
      <c r="G1269" s="328"/>
      <c r="H1269" s="328" t="s">
        <v>2681</v>
      </c>
      <c r="I1269" s="324" t="s">
        <v>1307</v>
      </c>
    </row>
    <row r="1270" spans="1:9" ht="11.1" customHeight="1" outlineLevel="1">
      <c r="A1270" s="325" t="s">
        <v>1067</v>
      </c>
      <c r="B1270" s="325" t="s">
        <v>1536</v>
      </c>
      <c r="C1270" s="325" t="s">
        <v>1537</v>
      </c>
      <c r="D1270" s="325" t="s">
        <v>20</v>
      </c>
      <c r="E1270" s="326">
        <v>32</v>
      </c>
      <c r="F1270" s="327">
        <v>6806.6</v>
      </c>
      <c r="G1270" s="328"/>
      <c r="H1270" s="328" t="s">
        <v>1147</v>
      </c>
      <c r="I1270" s="324" t="s">
        <v>21</v>
      </c>
    </row>
    <row r="1271" spans="1:9" ht="11.1" customHeight="1" outlineLevel="1">
      <c r="A1271" s="325" t="s">
        <v>1067</v>
      </c>
      <c r="B1271" s="325" t="s">
        <v>1541</v>
      </c>
      <c r="C1271" s="325" t="s">
        <v>491</v>
      </c>
      <c r="D1271" s="325" t="s">
        <v>20</v>
      </c>
      <c r="E1271" s="326">
        <v>236</v>
      </c>
      <c r="F1271" s="327">
        <v>1310.1500000000001</v>
      </c>
      <c r="G1271" s="328"/>
      <c r="H1271" s="160" t="s">
        <v>1540</v>
      </c>
      <c r="I1271" s="324" t="s">
        <v>289</v>
      </c>
    </row>
    <row r="1272" spans="1:9" ht="11.1" customHeight="1" outlineLevel="1">
      <c r="A1272" s="325" t="s">
        <v>1067</v>
      </c>
      <c r="B1272" s="325" t="s">
        <v>1542</v>
      </c>
      <c r="C1272" s="325" t="s">
        <v>492</v>
      </c>
      <c r="D1272" s="325" t="s">
        <v>20</v>
      </c>
      <c r="E1272" s="326">
        <v>140</v>
      </c>
      <c r="F1272" s="327">
        <v>1049.8</v>
      </c>
      <c r="G1272" s="328"/>
      <c r="H1272" s="160" t="s">
        <v>1540</v>
      </c>
      <c r="I1272" s="324" t="s">
        <v>289</v>
      </c>
    </row>
    <row r="1273" spans="1:9" ht="11.1" customHeight="1" outlineLevel="1">
      <c r="A1273" s="325" t="s">
        <v>1067</v>
      </c>
      <c r="B1273" s="325" t="s">
        <v>1543</v>
      </c>
      <c r="C1273" s="325" t="s">
        <v>493</v>
      </c>
      <c r="D1273" s="325" t="s">
        <v>20</v>
      </c>
      <c r="E1273" s="326">
        <v>78</v>
      </c>
      <c r="F1273" s="331">
        <v>822.82</v>
      </c>
      <c r="G1273" s="328"/>
      <c r="H1273" s="160" t="s">
        <v>1540</v>
      </c>
      <c r="I1273" s="324" t="s">
        <v>289</v>
      </c>
    </row>
    <row r="1274" spans="1:9" ht="11.1" customHeight="1" outlineLevel="1">
      <c r="A1274" s="325" t="s">
        <v>1067</v>
      </c>
      <c r="B1274" s="325" t="s">
        <v>2686</v>
      </c>
      <c r="C1274" s="325" t="s">
        <v>2687</v>
      </c>
      <c r="D1274" s="325" t="s">
        <v>20</v>
      </c>
      <c r="E1274" s="326">
        <v>194</v>
      </c>
      <c r="F1274" s="327">
        <v>1665</v>
      </c>
      <c r="G1274" s="328"/>
      <c r="H1274" s="328" t="s">
        <v>2688</v>
      </c>
      <c r="I1274" s="324" t="s">
        <v>1070</v>
      </c>
    </row>
    <row r="1275" spans="1:9" ht="11.1" customHeight="1" outlineLevel="1">
      <c r="A1275" s="325" t="s">
        <v>1067</v>
      </c>
      <c r="B1275" s="325" t="s">
        <v>2689</v>
      </c>
      <c r="C1275" s="325" t="s">
        <v>2690</v>
      </c>
      <c r="D1275" s="325" t="s">
        <v>20</v>
      </c>
      <c r="E1275" s="326">
        <v>6</v>
      </c>
      <c r="F1275" s="331">
        <v>288</v>
      </c>
      <c r="G1275" s="328"/>
      <c r="H1275" s="328" t="s">
        <v>1555</v>
      </c>
      <c r="I1275" s="324" t="s">
        <v>1070</v>
      </c>
    </row>
    <row r="1276" spans="1:9" ht="11.1" customHeight="1" outlineLevel="1">
      <c r="A1276" s="325" t="s">
        <v>1067</v>
      </c>
      <c r="B1276" s="325" t="s">
        <v>2691</v>
      </c>
      <c r="C1276" s="325" t="s">
        <v>2692</v>
      </c>
      <c r="D1276" s="325" t="s">
        <v>20</v>
      </c>
      <c r="E1276" s="326">
        <v>32</v>
      </c>
      <c r="F1276" s="327">
        <v>7040.62</v>
      </c>
      <c r="G1276" s="328"/>
      <c r="H1276" s="328" t="s">
        <v>565</v>
      </c>
      <c r="I1276" s="324" t="s">
        <v>1105</v>
      </c>
    </row>
    <row r="1277" spans="1:9" ht="11.1" customHeight="1" outlineLevel="1">
      <c r="A1277" s="325" t="s">
        <v>1067</v>
      </c>
      <c r="B1277" s="325" t="s">
        <v>2487</v>
      </c>
      <c r="C1277" s="325" t="s">
        <v>2488</v>
      </c>
      <c r="D1277" s="325" t="s">
        <v>20</v>
      </c>
      <c r="E1277" s="326">
        <v>2</v>
      </c>
      <c r="F1277" s="331">
        <v>30</v>
      </c>
      <c r="G1277" s="328"/>
      <c r="H1277" s="328" t="s">
        <v>1555</v>
      </c>
      <c r="I1277" s="324" t="s">
        <v>1070</v>
      </c>
    </row>
    <row r="1278" spans="1:9" ht="11.1" customHeight="1" outlineLevel="1">
      <c r="A1278" s="325" t="s">
        <v>1067</v>
      </c>
      <c r="B1278" s="325" t="s">
        <v>2693</v>
      </c>
      <c r="C1278" s="325" t="s">
        <v>2694</v>
      </c>
      <c r="D1278" s="325" t="s">
        <v>20</v>
      </c>
      <c r="E1278" s="326">
        <v>2</v>
      </c>
      <c r="F1278" s="331">
        <v>108</v>
      </c>
      <c r="G1278" s="328"/>
      <c r="H1278" s="328" t="s">
        <v>1555</v>
      </c>
      <c r="I1278" s="324" t="s">
        <v>1070</v>
      </c>
    </row>
    <row r="1279" spans="1:9" ht="11.1" customHeight="1" outlineLevel="1">
      <c r="A1279" s="325" t="s">
        <v>1067</v>
      </c>
      <c r="B1279" s="325" t="s">
        <v>2695</v>
      </c>
      <c r="C1279" s="325" t="s">
        <v>2696</v>
      </c>
      <c r="D1279" s="325" t="s">
        <v>20</v>
      </c>
      <c r="E1279" s="326">
        <v>13</v>
      </c>
      <c r="F1279" s="327">
        <v>1487</v>
      </c>
      <c r="G1279" s="328"/>
      <c r="H1279" s="328" t="s">
        <v>1555</v>
      </c>
      <c r="I1279" s="324" t="s">
        <v>1070</v>
      </c>
    </row>
    <row r="1280" spans="1:9" ht="11.1" customHeight="1" outlineLevel="1">
      <c r="A1280" s="325" t="s">
        <v>1067</v>
      </c>
      <c r="B1280" s="325" t="s">
        <v>1569</v>
      </c>
      <c r="C1280" s="325" t="s">
        <v>832</v>
      </c>
      <c r="D1280" s="325" t="s">
        <v>20</v>
      </c>
      <c r="E1280" s="326">
        <v>5</v>
      </c>
      <c r="F1280" s="327">
        <v>66245.850000000006</v>
      </c>
      <c r="G1280" s="328"/>
      <c r="H1280" s="174" t="s">
        <v>1570</v>
      </c>
      <c r="I1280" s="324" t="s">
        <v>425</v>
      </c>
    </row>
    <row r="1281" spans="1:9" ht="11.1" customHeight="1" outlineLevel="1">
      <c r="A1281" s="325" t="s">
        <v>1067</v>
      </c>
      <c r="B1281" s="325" t="s">
        <v>1571</v>
      </c>
      <c r="C1281" s="325" t="s">
        <v>1572</v>
      </c>
      <c r="D1281" s="325" t="s">
        <v>20</v>
      </c>
      <c r="E1281" s="326">
        <v>239</v>
      </c>
      <c r="F1281" s="327">
        <v>3814.44</v>
      </c>
      <c r="G1281" s="328"/>
      <c r="H1281" s="160" t="s">
        <v>1573</v>
      </c>
      <c r="I1281" s="324" t="s">
        <v>289</v>
      </c>
    </row>
    <row r="1282" spans="1:9" ht="11.1" customHeight="1" outlineLevel="1">
      <c r="A1282" s="325" t="s">
        <v>1067</v>
      </c>
      <c r="B1282" s="325" t="s">
        <v>1574</v>
      </c>
      <c r="C1282" s="325" t="s">
        <v>1575</v>
      </c>
      <c r="D1282" s="325" t="s">
        <v>20</v>
      </c>
      <c r="E1282" s="326">
        <v>14</v>
      </c>
      <c r="F1282" s="327">
        <v>2398.7600000000002</v>
      </c>
      <c r="G1282" s="328"/>
      <c r="H1282" s="328" t="s">
        <v>2075</v>
      </c>
      <c r="I1282" s="324" t="s">
        <v>289</v>
      </c>
    </row>
    <row r="1283" spans="1:9" ht="11.1" customHeight="1" outlineLevel="1">
      <c r="A1283" s="325" t="s">
        <v>1067</v>
      </c>
      <c r="B1283" s="325" t="s">
        <v>1576</v>
      </c>
      <c r="C1283" s="325" t="s">
        <v>1577</v>
      </c>
      <c r="D1283" s="325" t="s">
        <v>20</v>
      </c>
      <c r="E1283" s="326">
        <v>58</v>
      </c>
      <c r="F1283" s="327">
        <v>1004.99</v>
      </c>
      <c r="G1283" s="328"/>
      <c r="H1283" s="160" t="s">
        <v>632</v>
      </c>
      <c r="I1283" s="324" t="s">
        <v>289</v>
      </c>
    </row>
    <row r="1284" spans="1:9" ht="11.1" customHeight="1" outlineLevel="1">
      <c r="A1284" s="325" t="s">
        <v>1067</v>
      </c>
      <c r="B1284" s="325" t="s">
        <v>2697</v>
      </c>
      <c r="C1284" s="325" t="s">
        <v>2698</v>
      </c>
      <c r="D1284" s="325" t="s">
        <v>20</v>
      </c>
      <c r="E1284" s="326">
        <v>2</v>
      </c>
      <c r="F1284" s="331">
        <v>584</v>
      </c>
      <c r="G1284" s="328"/>
      <c r="H1284" s="160" t="s">
        <v>1589</v>
      </c>
      <c r="I1284" s="324" t="s">
        <v>1070</v>
      </c>
    </row>
    <row r="1285" spans="1:9" ht="11.1" customHeight="1" outlineLevel="1">
      <c r="A1285" s="325" t="s">
        <v>1067</v>
      </c>
      <c r="B1285" s="325" t="s">
        <v>1587</v>
      </c>
      <c r="C1285" s="325" t="s">
        <v>1588</v>
      </c>
      <c r="D1285" s="325" t="s">
        <v>20</v>
      </c>
      <c r="E1285" s="326">
        <v>61</v>
      </c>
      <c r="F1285" s="327">
        <v>15534</v>
      </c>
      <c r="G1285" s="328"/>
      <c r="H1285" s="160" t="s">
        <v>1589</v>
      </c>
      <c r="I1285" s="324" t="s">
        <v>1070</v>
      </c>
    </row>
    <row r="1286" spans="1:9" ht="11.1" customHeight="1" outlineLevel="1">
      <c r="A1286" s="325" t="s">
        <v>1067</v>
      </c>
      <c r="B1286" s="325" t="s">
        <v>2699</v>
      </c>
      <c r="C1286" s="325" t="s">
        <v>2700</v>
      </c>
      <c r="D1286" s="325" t="s">
        <v>20</v>
      </c>
      <c r="E1286" s="326">
        <v>34</v>
      </c>
      <c r="F1286" s="331">
        <v>210.97</v>
      </c>
      <c r="G1286" s="328"/>
      <c r="H1286" s="325" t="s">
        <v>2700</v>
      </c>
      <c r="I1286" s="324" t="s">
        <v>1307</v>
      </c>
    </row>
    <row r="1287" spans="1:9" ht="11.1" customHeight="1" outlineLevel="1">
      <c r="A1287" s="325" t="s">
        <v>1067</v>
      </c>
      <c r="B1287" s="325" t="s">
        <v>2701</v>
      </c>
      <c r="C1287" s="325" t="s">
        <v>2702</v>
      </c>
      <c r="D1287" s="325" t="s">
        <v>20</v>
      </c>
      <c r="E1287" s="326">
        <v>12</v>
      </c>
      <c r="F1287" s="331">
        <v>355.7</v>
      </c>
      <c r="G1287" s="328"/>
      <c r="H1287" s="328" t="s">
        <v>536</v>
      </c>
      <c r="I1287" s="324" t="s">
        <v>1070</v>
      </c>
    </row>
    <row r="1288" spans="1:9" ht="11.1" customHeight="1" outlineLevel="1">
      <c r="A1288" s="325" t="s">
        <v>1067</v>
      </c>
      <c r="B1288" s="325" t="s">
        <v>2703</v>
      </c>
      <c r="C1288" s="325" t="s">
        <v>926</v>
      </c>
      <c r="D1288" s="325" t="s">
        <v>20</v>
      </c>
      <c r="E1288" s="326">
        <v>5</v>
      </c>
      <c r="F1288" s="327">
        <v>11617.92</v>
      </c>
      <c r="G1288" s="328"/>
      <c r="H1288" s="174" t="s">
        <v>2704</v>
      </c>
      <c r="I1288" s="324" t="s">
        <v>425</v>
      </c>
    </row>
    <row r="1289" spans="1:9" ht="11.1" customHeight="1" outlineLevel="1">
      <c r="A1289" s="325" t="s">
        <v>1067</v>
      </c>
      <c r="B1289" s="325" t="s">
        <v>2705</v>
      </c>
      <c r="C1289" s="325" t="s">
        <v>2706</v>
      </c>
      <c r="D1289" s="325" t="s">
        <v>517</v>
      </c>
      <c r="E1289" s="326">
        <v>4.8000000000000001E-2</v>
      </c>
      <c r="F1289" s="327">
        <v>1406.1</v>
      </c>
      <c r="G1289" s="328"/>
      <c r="H1289" s="328" t="s">
        <v>1602</v>
      </c>
      <c r="I1289" s="324" t="s">
        <v>289</v>
      </c>
    </row>
    <row r="1290" spans="1:9" ht="11.1" customHeight="1" outlineLevel="1">
      <c r="A1290" s="325" t="s">
        <v>1067</v>
      </c>
      <c r="B1290" s="325" t="s">
        <v>1262</v>
      </c>
      <c r="C1290" s="325" t="s">
        <v>1263</v>
      </c>
      <c r="D1290" s="325" t="s">
        <v>20</v>
      </c>
      <c r="E1290" s="326">
        <v>30</v>
      </c>
      <c r="F1290" s="327">
        <v>15300</v>
      </c>
      <c r="G1290" s="328"/>
      <c r="H1290" s="160" t="s">
        <v>1159</v>
      </c>
      <c r="I1290" s="324" t="s">
        <v>21</v>
      </c>
    </row>
    <row r="1291" spans="1:9" ht="11.1" customHeight="1" outlineLevel="1">
      <c r="A1291" s="325" t="s">
        <v>1067</v>
      </c>
      <c r="B1291" s="325" t="s">
        <v>2707</v>
      </c>
      <c r="C1291" s="325" t="s">
        <v>2708</v>
      </c>
      <c r="D1291" s="325" t="s">
        <v>20</v>
      </c>
      <c r="E1291" s="326">
        <v>230</v>
      </c>
      <c r="F1291" s="327">
        <v>11510</v>
      </c>
      <c r="G1291" s="328"/>
      <c r="H1291" s="328" t="s">
        <v>1621</v>
      </c>
      <c r="I1291" s="324" t="s">
        <v>1307</v>
      </c>
    </row>
    <row r="1292" spans="1:9" ht="11.1" customHeight="1" outlineLevel="1">
      <c r="A1292" s="325" t="s">
        <v>1067</v>
      </c>
      <c r="B1292" s="325" t="s">
        <v>2709</v>
      </c>
      <c r="C1292" s="325" t="s">
        <v>2710</v>
      </c>
      <c r="D1292" s="325" t="s">
        <v>20</v>
      </c>
      <c r="E1292" s="326">
        <v>92</v>
      </c>
      <c r="F1292" s="327">
        <v>7940</v>
      </c>
      <c r="G1292" s="328"/>
      <c r="H1292" s="328" t="s">
        <v>1621</v>
      </c>
      <c r="I1292" s="324" t="s">
        <v>1307</v>
      </c>
    </row>
    <row r="1293" spans="1:9" ht="11.1" customHeight="1" outlineLevel="1">
      <c r="A1293" s="325" t="s">
        <v>1067</v>
      </c>
      <c r="B1293" s="325" t="s">
        <v>2711</v>
      </c>
      <c r="C1293" s="325" t="s">
        <v>2712</v>
      </c>
      <c r="D1293" s="325" t="s">
        <v>517</v>
      </c>
      <c r="E1293" s="326">
        <v>0.1</v>
      </c>
      <c r="F1293" s="327">
        <v>2909.78</v>
      </c>
      <c r="G1293" s="328"/>
      <c r="H1293" s="328" t="s">
        <v>1621</v>
      </c>
      <c r="I1293" s="324" t="s">
        <v>1307</v>
      </c>
    </row>
    <row r="1294" spans="1:9" ht="11.1" customHeight="1" outlineLevel="1">
      <c r="A1294" s="325" t="s">
        <v>1067</v>
      </c>
      <c r="B1294" s="325" t="s">
        <v>2713</v>
      </c>
      <c r="C1294" s="325" t="s">
        <v>2714</v>
      </c>
      <c r="D1294" s="325" t="s">
        <v>20</v>
      </c>
      <c r="E1294" s="326">
        <v>32</v>
      </c>
      <c r="F1294" s="327">
        <v>2266.56</v>
      </c>
      <c r="G1294" s="328"/>
      <c r="H1294" s="328" t="s">
        <v>1621</v>
      </c>
      <c r="I1294" s="324" t="s">
        <v>1307</v>
      </c>
    </row>
    <row r="1295" spans="1:9" ht="11.1" customHeight="1" outlineLevel="1">
      <c r="A1295" s="325" t="s">
        <v>1067</v>
      </c>
      <c r="B1295" s="325" t="s">
        <v>2715</v>
      </c>
      <c r="C1295" s="325" t="s">
        <v>2716</v>
      </c>
      <c r="D1295" s="325" t="s">
        <v>20</v>
      </c>
      <c r="E1295" s="326">
        <v>40</v>
      </c>
      <c r="F1295" s="327">
        <v>1566.8</v>
      </c>
      <c r="G1295" s="328"/>
      <c r="H1295" s="328" t="s">
        <v>1621</v>
      </c>
      <c r="I1295" s="324" t="s">
        <v>1307</v>
      </c>
    </row>
    <row r="1296" spans="1:9" ht="11.1" customHeight="1" outlineLevel="1">
      <c r="A1296" s="325" t="s">
        <v>1067</v>
      </c>
      <c r="B1296" s="325" t="s">
        <v>2717</v>
      </c>
      <c r="C1296" s="325" t="s">
        <v>2718</v>
      </c>
      <c r="D1296" s="325" t="s">
        <v>2719</v>
      </c>
      <c r="E1296" s="326">
        <v>112</v>
      </c>
      <c r="F1296" s="331">
        <v>694.96</v>
      </c>
      <c r="G1296" s="328"/>
      <c r="H1296" s="328" t="s">
        <v>1621</v>
      </c>
      <c r="I1296" s="324" t="s">
        <v>1307</v>
      </c>
    </row>
    <row r="1297" spans="1:9" ht="11.1" customHeight="1" outlineLevel="1">
      <c r="A1297" s="325" t="s">
        <v>1067</v>
      </c>
      <c r="B1297" s="325" t="s">
        <v>1616</v>
      </c>
      <c r="C1297" s="325" t="s">
        <v>1617</v>
      </c>
      <c r="D1297" s="325" t="s">
        <v>20</v>
      </c>
      <c r="E1297" s="326">
        <v>48</v>
      </c>
      <c r="F1297" s="331">
        <v>483</v>
      </c>
      <c r="G1297" s="328"/>
      <c r="H1297" s="160" t="s">
        <v>1618</v>
      </c>
      <c r="I1297" s="324" t="s">
        <v>1070</v>
      </c>
    </row>
    <row r="1298" spans="1:9" ht="11.1" customHeight="1" outlineLevel="1">
      <c r="A1298" s="325" t="s">
        <v>1067</v>
      </c>
      <c r="B1298" s="325" t="s">
        <v>2720</v>
      </c>
      <c r="C1298" s="325" t="s">
        <v>2721</v>
      </c>
      <c r="D1298" s="325" t="s">
        <v>1558</v>
      </c>
      <c r="E1298" s="326">
        <v>1</v>
      </c>
      <c r="F1298" s="327">
        <v>17350</v>
      </c>
      <c r="G1298" s="328"/>
      <c r="H1298" s="174" t="s">
        <v>1624</v>
      </c>
      <c r="I1298" s="324" t="s">
        <v>425</v>
      </c>
    </row>
    <row r="1299" spans="1:9" ht="11.1" customHeight="1" outlineLevel="1">
      <c r="A1299" s="325" t="s">
        <v>1067</v>
      </c>
      <c r="B1299" s="325" t="s">
        <v>2722</v>
      </c>
      <c r="C1299" s="325" t="s">
        <v>2723</v>
      </c>
      <c r="D1299" s="325" t="s">
        <v>20</v>
      </c>
      <c r="E1299" s="326">
        <v>6</v>
      </c>
      <c r="F1299" s="327">
        <v>32652</v>
      </c>
      <c r="G1299" s="328"/>
      <c r="H1299" s="174" t="s">
        <v>2724</v>
      </c>
      <c r="I1299" s="324" t="s">
        <v>425</v>
      </c>
    </row>
    <row r="1300" spans="1:9" ht="11.1" customHeight="1" outlineLevel="1">
      <c r="A1300" s="325" t="s">
        <v>1067</v>
      </c>
      <c r="B1300" s="325" t="s">
        <v>2725</v>
      </c>
      <c r="C1300" s="325" t="s">
        <v>2726</v>
      </c>
      <c r="D1300" s="325" t="s">
        <v>20</v>
      </c>
      <c r="E1300" s="326">
        <v>3</v>
      </c>
      <c r="F1300" s="327">
        <v>9995</v>
      </c>
      <c r="G1300" s="328"/>
      <c r="H1300" s="328" t="s">
        <v>1629</v>
      </c>
      <c r="I1300" s="324" t="s">
        <v>425</v>
      </c>
    </row>
    <row r="1301" spans="1:9" ht="11.1" customHeight="1" outlineLevel="1">
      <c r="A1301" s="325" t="s">
        <v>1067</v>
      </c>
      <c r="B1301" s="325" t="s">
        <v>2727</v>
      </c>
      <c r="C1301" s="325" t="s">
        <v>2728</v>
      </c>
      <c r="D1301" s="325" t="s">
        <v>20</v>
      </c>
      <c r="E1301" s="326">
        <v>13</v>
      </c>
      <c r="F1301" s="331">
        <v>584.91999999999996</v>
      </c>
      <c r="G1301" s="328"/>
      <c r="H1301" s="160" t="s">
        <v>551</v>
      </c>
      <c r="I1301" s="324" t="s">
        <v>289</v>
      </c>
    </row>
    <row r="1302" spans="1:9" ht="11.1" customHeight="1" outlineLevel="1">
      <c r="A1302" s="325" t="s">
        <v>1067</v>
      </c>
      <c r="B1302" s="325" t="s">
        <v>2013</v>
      </c>
      <c r="C1302" s="325" t="s">
        <v>2014</v>
      </c>
      <c r="D1302" s="325" t="s">
        <v>1115</v>
      </c>
      <c r="E1302" s="326">
        <v>0.252</v>
      </c>
      <c r="F1302" s="327">
        <v>7394.4</v>
      </c>
      <c r="G1302" s="328"/>
      <c r="H1302" s="328" t="s">
        <v>1162</v>
      </c>
      <c r="I1302" s="324" t="s">
        <v>1087</v>
      </c>
    </row>
    <row r="1303" spans="1:9" ht="11.1" customHeight="1" outlineLevel="1">
      <c r="A1303" s="325" t="s">
        <v>1067</v>
      </c>
      <c r="B1303" s="325" t="s">
        <v>2729</v>
      </c>
      <c r="C1303" s="325" t="s">
        <v>2730</v>
      </c>
      <c r="D1303" s="325" t="s">
        <v>1115</v>
      </c>
      <c r="E1303" s="326">
        <v>5.3999999999999999E-2</v>
      </c>
      <c r="F1303" s="327">
        <v>1539.09</v>
      </c>
      <c r="G1303" s="328"/>
      <c r="H1303" s="328" t="s">
        <v>1162</v>
      </c>
      <c r="I1303" s="324" t="s">
        <v>1087</v>
      </c>
    </row>
    <row r="1304" spans="1:9" ht="11.1" customHeight="1" outlineLevel="1">
      <c r="A1304" s="325" t="s">
        <v>1067</v>
      </c>
      <c r="B1304" s="325" t="s">
        <v>2731</v>
      </c>
      <c r="C1304" s="325" t="s">
        <v>2732</v>
      </c>
      <c r="D1304" s="325" t="s">
        <v>1115</v>
      </c>
      <c r="E1304" s="326">
        <v>0.216</v>
      </c>
      <c r="F1304" s="327">
        <v>6156.36</v>
      </c>
      <c r="G1304" s="328"/>
      <c r="H1304" s="328" t="s">
        <v>1162</v>
      </c>
      <c r="I1304" s="324" t="s">
        <v>1087</v>
      </c>
    </row>
    <row r="1305" spans="1:9" ht="11.1" customHeight="1" outlineLevel="1">
      <c r="A1305" s="325" t="s">
        <v>1067</v>
      </c>
      <c r="B1305" s="325" t="s">
        <v>2733</v>
      </c>
      <c r="C1305" s="325" t="s">
        <v>2734</v>
      </c>
      <c r="D1305" s="325" t="s">
        <v>1115</v>
      </c>
      <c r="E1305" s="326">
        <v>0.67</v>
      </c>
      <c r="F1305" s="327">
        <v>19096.11</v>
      </c>
      <c r="G1305" s="328"/>
      <c r="H1305" s="328" t="s">
        <v>1162</v>
      </c>
      <c r="I1305" s="324" t="s">
        <v>1087</v>
      </c>
    </row>
    <row r="1306" spans="1:9" ht="11.1" customHeight="1" outlineLevel="1">
      <c r="A1306" s="325" t="s">
        <v>1067</v>
      </c>
      <c r="B1306" s="325" t="s">
        <v>1639</v>
      </c>
      <c r="C1306" s="325" t="s">
        <v>1640</v>
      </c>
      <c r="D1306" s="325" t="s">
        <v>1115</v>
      </c>
      <c r="E1306" s="326">
        <v>0.5</v>
      </c>
      <c r="F1306" s="327">
        <v>16453.8</v>
      </c>
      <c r="G1306" s="328"/>
      <c r="H1306" s="328" t="s">
        <v>2735</v>
      </c>
      <c r="I1306" s="324" t="s">
        <v>1087</v>
      </c>
    </row>
    <row r="1307" spans="1:9" ht="11.1" customHeight="1" outlineLevel="1">
      <c r="A1307" s="325" t="s">
        <v>1067</v>
      </c>
      <c r="B1307" s="325" t="s">
        <v>2501</v>
      </c>
      <c r="C1307" s="325" t="s">
        <v>2502</v>
      </c>
      <c r="D1307" s="325" t="s">
        <v>12</v>
      </c>
      <c r="E1307" s="326">
        <v>199.5</v>
      </c>
      <c r="F1307" s="327">
        <v>38403.75</v>
      </c>
      <c r="G1307" s="328"/>
      <c r="H1307" s="160" t="s">
        <v>570</v>
      </c>
      <c r="I1307" s="324" t="s">
        <v>1105</v>
      </c>
    </row>
    <row r="1308" spans="1:9" ht="11.1" customHeight="1" outlineLevel="1">
      <c r="A1308" s="325" t="s">
        <v>1067</v>
      </c>
      <c r="B1308" s="325" t="s">
        <v>2736</v>
      </c>
      <c r="C1308" s="325" t="s">
        <v>2737</v>
      </c>
      <c r="D1308" s="325" t="s">
        <v>20</v>
      </c>
      <c r="E1308" s="326">
        <v>8</v>
      </c>
      <c r="F1308" s="327">
        <v>36666.67</v>
      </c>
      <c r="G1308" s="328"/>
      <c r="H1308" s="174" t="s">
        <v>2738</v>
      </c>
      <c r="I1308" s="324" t="s">
        <v>425</v>
      </c>
    </row>
    <row r="1309" spans="1:9" ht="11.1" customHeight="1" outlineLevel="1">
      <c r="A1309" s="325" t="s">
        <v>1067</v>
      </c>
      <c r="B1309" s="325" t="s">
        <v>2739</v>
      </c>
      <c r="C1309" s="325" t="s">
        <v>2740</v>
      </c>
      <c r="D1309" s="325" t="s">
        <v>20</v>
      </c>
      <c r="E1309" s="326">
        <v>8</v>
      </c>
      <c r="F1309" s="327">
        <v>2606.65</v>
      </c>
      <c r="G1309" s="328"/>
      <c r="H1309" s="328" t="s">
        <v>1165</v>
      </c>
      <c r="I1309" s="324" t="s">
        <v>1105</v>
      </c>
    </row>
    <row r="1310" spans="1:9" ht="11.1" customHeight="1" outlineLevel="1">
      <c r="A1310" s="325" t="s">
        <v>1067</v>
      </c>
      <c r="B1310" s="325" t="s">
        <v>2741</v>
      </c>
      <c r="C1310" s="325" t="s">
        <v>2742</v>
      </c>
      <c r="D1310" s="325" t="s">
        <v>20</v>
      </c>
      <c r="E1310" s="326">
        <v>8</v>
      </c>
      <c r="F1310" s="327">
        <v>2606.71</v>
      </c>
      <c r="G1310" s="328"/>
      <c r="H1310" s="328" t="s">
        <v>1655</v>
      </c>
      <c r="I1310" s="324" t="s">
        <v>1105</v>
      </c>
    </row>
    <row r="1311" spans="1:9" ht="11.1" customHeight="1" outlineLevel="1">
      <c r="A1311" s="325" t="s">
        <v>1067</v>
      </c>
      <c r="B1311" s="325" t="s">
        <v>1656</v>
      </c>
      <c r="C1311" s="325" t="s">
        <v>610</v>
      </c>
      <c r="D1311" s="325" t="s">
        <v>12</v>
      </c>
      <c r="E1311" s="335">
        <v>1986.9</v>
      </c>
      <c r="F1311" s="327">
        <v>696789.8</v>
      </c>
      <c r="G1311" s="328"/>
      <c r="H1311" s="325" t="s">
        <v>610</v>
      </c>
      <c r="I1311" s="324" t="s">
        <v>1307</v>
      </c>
    </row>
    <row r="1312" spans="1:9" ht="11.1" customHeight="1" outlineLevel="1">
      <c r="A1312" s="325" t="s">
        <v>1067</v>
      </c>
      <c r="B1312" s="325" t="s">
        <v>1657</v>
      </c>
      <c r="C1312" s="325" t="s">
        <v>915</v>
      </c>
      <c r="D1312" s="325" t="s">
        <v>20</v>
      </c>
      <c r="E1312" s="326">
        <v>2</v>
      </c>
      <c r="F1312" s="327">
        <v>1100</v>
      </c>
      <c r="G1312" s="328"/>
      <c r="H1312" s="325" t="s">
        <v>915</v>
      </c>
      <c r="I1312" s="324" t="s">
        <v>1307</v>
      </c>
    </row>
    <row r="1313" spans="1:9" ht="11.1" customHeight="1" outlineLevel="1">
      <c r="A1313" s="325" t="s">
        <v>1067</v>
      </c>
      <c r="B1313" s="325" t="s">
        <v>2743</v>
      </c>
      <c r="C1313" s="325" t="s">
        <v>2744</v>
      </c>
      <c r="D1313" s="325" t="s">
        <v>261</v>
      </c>
      <c r="E1313" s="326">
        <v>4</v>
      </c>
      <c r="F1313" s="331">
        <v>676</v>
      </c>
      <c r="G1313" s="328"/>
      <c r="H1313" s="328" t="s">
        <v>1147</v>
      </c>
      <c r="I1313" s="324" t="s">
        <v>21</v>
      </c>
    </row>
    <row r="1314" spans="1:9" ht="11.1" customHeight="1" outlineLevel="1">
      <c r="A1314" s="325" t="s">
        <v>1067</v>
      </c>
      <c r="B1314" s="325" t="s">
        <v>2745</v>
      </c>
      <c r="C1314" s="325" t="s">
        <v>2746</v>
      </c>
      <c r="D1314" s="325" t="s">
        <v>20</v>
      </c>
      <c r="E1314" s="326">
        <v>1</v>
      </c>
      <c r="F1314" s="327">
        <v>1240</v>
      </c>
      <c r="G1314" s="328"/>
      <c r="H1314" s="328" t="s">
        <v>1664</v>
      </c>
      <c r="I1314" s="324" t="s">
        <v>1307</v>
      </c>
    </row>
    <row r="1315" spans="1:9" ht="11.1" customHeight="1" outlineLevel="1">
      <c r="A1315" s="325" t="s">
        <v>1067</v>
      </c>
      <c r="B1315" s="325" t="s">
        <v>2747</v>
      </c>
      <c r="C1315" s="325" t="s">
        <v>2748</v>
      </c>
      <c r="D1315" s="325" t="s">
        <v>20</v>
      </c>
      <c r="E1315" s="326">
        <v>8</v>
      </c>
      <c r="F1315" s="327">
        <v>21920</v>
      </c>
      <c r="G1315" s="328"/>
      <c r="H1315" s="174" t="s">
        <v>1669</v>
      </c>
      <c r="I1315" s="324" t="s">
        <v>425</v>
      </c>
    </row>
    <row r="1316" spans="1:9" ht="11.1" customHeight="1" outlineLevel="1">
      <c r="A1316" s="325" t="s">
        <v>1067</v>
      </c>
      <c r="B1316" s="325" t="s">
        <v>1672</v>
      </c>
      <c r="C1316" s="325" t="s">
        <v>1673</v>
      </c>
      <c r="D1316" s="325" t="s">
        <v>20</v>
      </c>
      <c r="E1316" s="326">
        <v>11</v>
      </c>
      <c r="F1316" s="327">
        <v>18562.5</v>
      </c>
      <c r="G1316" s="328"/>
      <c r="H1316" s="160" t="s">
        <v>567</v>
      </c>
      <c r="I1316" s="324" t="s">
        <v>1105</v>
      </c>
    </row>
    <row r="1317" spans="1:9" ht="11.1" customHeight="1" outlineLevel="1">
      <c r="A1317" s="325" t="s">
        <v>1067</v>
      </c>
      <c r="B1317" s="325" t="s">
        <v>2749</v>
      </c>
      <c r="C1317" s="325" t="s">
        <v>2750</v>
      </c>
      <c r="D1317" s="325" t="s">
        <v>910</v>
      </c>
      <c r="E1317" s="326">
        <v>5</v>
      </c>
      <c r="F1317" s="327">
        <v>8437.5</v>
      </c>
      <c r="G1317" s="328"/>
      <c r="H1317" s="160" t="s">
        <v>1031</v>
      </c>
      <c r="I1317" s="324" t="s">
        <v>1105</v>
      </c>
    </row>
    <row r="1318" spans="1:9" ht="11.1" customHeight="1" outlineLevel="1">
      <c r="A1318" s="325" t="s">
        <v>1067</v>
      </c>
      <c r="B1318" s="325" t="s">
        <v>2751</v>
      </c>
      <c r="C1318" s="325" t="s">
        <v>2752</v>
      </c>
      <c r="D1318" s="325" t="s">
        <v>12</v>
      </c>
      <c r="E1318" s="326">
        <v>73</v>
      </c>
      <c r="F1318" s="327">
        <v>10950</v>
      </c>
      <c r="G1318" s="328"/>
      <c r="H1318" s="160" t="s">
        <v>546</v>
      </c>
      <c r="I1318" s="324" t="s">
        <v>1105</v>
      </c>
    </row>
    <row r="1319" spans="1:9" ht="11.1" customHeight="1" outlineLevel="1">
      <c r="A1319" s="325" t="s">
        <v>1067</v>
      </c>
      <c r="B1319" s="325" t="s">
        <v>2753</v>
      </c>
      <c r="C1319" s="325" t="s">
        <v>2754</v>
      </c>
      <c r="D1319" s="325" t="s">
        <v>20</v>
      </c>
      <c r="E1319" s="326">
        <v>3</v>
      </c>
      <c r="F1319" s="331">
        <v>159</v>
      </c>
      <c r="G1319" s="328"/>
      <c r="H1319" s="160" t="s">
        <v>560</v>
      </c>
      <c r="I1319" s="324" t="s">
        <v>1070</v>
      </c>
    </row>
    <row r="1320" spans="1:9" ht="11.1" customHeight="1" outlineLevel="1">
      <c r="A1320" s="325" t="s">
        <v>1067</v>
      </c>
      <c r="B1320" s="325" t="s">
        <v>2755</v>
      </c>
      <c r="C1320" s="325" t="s">
        <v>975</v>
      </c>
      <c r="D1320" s="325" t="s">
        <v>20</v>
      </c>
      <c r="E1320" s="326">
        <v>4</v>
      </c>
      <c r="F1320" s="331">
        <v>248</v>
      </c>
      <c r="G1320" s="328"/>
      <c r="H1320" s="160" t="s">
        <v>560</v>
      </c>
      <c r="I1320" s="324" t="s">
        <v>1070</v>
      </c>
    </row>
    <row r="1321" spans="1:9" ht="11.1" customHeight="1" outlineLevel="1">
      <c r="A1321" s="325" t="s">
        <v>1067</v>
      </c>
      <c r="B1321" s="325" t="s">
        <v>1682</v>
      </c>
      <c r="C1321" s="325" t="s">
        <v>1683</v>
      </c>
      <c r="D1321" s="325" t="s">
        <v>20</v>
      </c>
      <c r="E1321" s="326">
        <v>79</v>
      </c>
      <c r="F1321" s="327">
        <v>7195</v>
      </c>
      <c r="G1321" s="328"/>
      <c r="H1321" s="160" t="s">
        <v>560</v>
      </c>
      <c r="I1321" s="324" t="s">
        <v>1070</v>
      </c>
    </row>
    <row r="1322" spans="1:9" ht="11.1" customHeight="1" outlineLevel="1">
      <c r="A1322" s="325" t="s">
        <v>1067</v>
      </c>
      <c r="B1322" s="325" t="s">
        <v>1684</v>
      </c>
      <c r="C1322" s="325" t="s">
        <v>1685</v>
      </c>
      <c r="D1322" s="325" t="s">
        <v>20</v>
      </c>
      <c r="E1322" s="326">
        <v>17</v>
      </c>
      <c r="F1322" s="327">
        <v>1700</v>
      </c>
      <c r="G1322" s="328"/>
      <c r="H1322" s="160" t="s">
        <v>560</v>
      </c>
      <c r="I1322" s="324" t="s">
        <v>1070</v>
      </c>
    </row>
    <row r="1323" spans="1:9" ht="11.1" customHeight="1" outlineLevel="1">
      <c r="A1323" s="325" t="s">
        <v>1067</v>
      </c>
      <c r="B1323" s="325" t="s">
        <v>2756</v>
      </c>
      <c r="C1323" s="325" t="s">
        <v>2757</v>
      </c>
      <c r="D1323" s="325" t="s">
        <v>20</v>
      </c>
      <c r="E1323" s="326">
        <v>5</v>
      </c>
      <c r="F1323" s="331">
        <v>385</v>
      </c>
      <c r="G1323" s="328"/>
      <c r="H1323" s="160" t="s">
        <v>560</v>
      </c>
      <c r="I1323" s="324" t="s">
        <v>1070</v>
      </c>
    </row>
    <row r="1324" spans="1:9" ht="11.1" customHeight="1" outlineLevel="1">
      <c r="A1324" s="325" t="s">
        <v>1067</v>
      </c>
      <c r="B1324" s="325" t="s">
        <v>2758</v>
      </c>
      <c r="C1324" s="325" t="s">
        <v>2759</v>
      </c>
      <c r="D1324" s="325" t="s">
        <v>2719</v>
      </c>
      <c r="E1324" s="326">
        <v>60</v>
      </c>
      <c r="F1324" s="327">
        <v>12500</v>
      </c>
      <c r="G1324" s="328"/>
      <c r="H1324" s="325" t="s">
        <v>2759</v>
      </c>
      <c r="I1324" s="324" t="s">
        <v>1070</v>
      </c>
    </row>
    <row r="1325" spans="1:9" ht="11.1" customHeight="1" outlineLevel="1">
      <c r="A1325" s="325" t="s">
        <v>1067</v>
      </c>
      <c r="B1325" s="325" t="s">
        <v>2760</v>
      </c>
      <c r="C1325" s="325" t="s">
        <v>652</v>
      </c>
      <c r="D1325" s="325" t="s">
        <v>20</v>
      </c>
      <c r="E1325" s="326">
        <v>4</v>
      </c>
      <c r="F1325" s="327">
        <v>26310</v>
      </c>
      <c r="G1325" s="328"/>
      <c r="H1325" s="328" t="s">
        <v>1695</v>
      </c>
      <c r="I1325" s="324" t="s">
        <v>1070</v>
      </c>
    </row>
    <row r="1326" spans="1:9" ht="11.1" customHeight="1" outlineLevel="1">
      <c r="A1326" s="325" t="s">
        <v>1067</v>
      </c>
      <c r="B1326" s="325" t="s">
        <v>1696</v>
      </c>
      <c r="C1326" s="325" t="s">
        <v>1697</v>
      </c>
      <c r="D1326" s="325" t="s">
        <v>20</v>
      </c>
      <c r="E1326" s="326">
        <v>8</v>
      </c>
      <c r="F1326" s="331">
        <v>392</v>
      </c>
      <c r="G1326" s="328"/>
      <c r="H1326" s="328" t="s">
        <v>1698</v>
      </c>
      <c r="I1326" s="324" t="s">
        <v>1070</v>
      </c>
    </row>
    <row r="1327" spans="1:9" ht="11.1" customHeight="1" outlineLevel="1">
      <c r="A1327" s="325" t="s">
        <v>1067</v>
      </c>
      <c r="B1327" s="325" t="s">
        <v>2761</v>
      </c>
      <c r="C1327" s="325" t="s">
        <v>2762</v>
      </c>
      <c r="D1327" s="325" t="s">
        <v>20</v>
      </c>
      <c r="E1327" s="326">
        <v>2</v>
      </c>
      <c r="F1327" s="331">
        <v>132</v>
      </c>
      <c r="G1327" s="328"/>
      <c r="H1327" s="328" t="s">
        <v>1698</v>
      </c>
      <c r="I1327" s="324" t="s">
        <v>1070</v>
      </c>
    </row>
    <row r="1328" spans="1:9" ht="11.1" customHeight="1" outlineLevel="1">
      <c r="A1328" s="325" t="s">
        <v>1067</v>
      </c>
      <c r="B1328" s="325" t="s">
        <v>1699</v>
      </c>
      <c r="C1328" s="325" t="s">
        <v>1700</v>
      </c>
      <c r="D1328" s="325" t="s">
        <v>20</v>
      </c>
      <c r="E1328" s="326">
        <v>12</v>
      </c>
      <c r="F1328" s="331">
        <v>384</v>
      </c>
      <c r="G1328" s="328"/>
      <c r="H1328" s="160" t="s">
        <v>1701</v>
      </c>
      <c r="I1328" s="324" t="s">
        <v>1070</v>
      </c>
    </row>
    <row r="1329" spans="1:9" ht="11.1" customHeight="1" outlineLevel="1">
      <c r="A1329" s="325" t="s">
        <v>1067</v>
      </c>
      <c r="B1329" s="325" t="s">
        <v>1702</v>
      </c>
      <c r="C1329" s="325" t="s">
        <v>1703</v>
      </c>
      <c r="D1329" s="325" t="s">
        <v>20</v>
      </c>
      <c r="E1329" s="326">
        <v>8</v>
      </c>
      <c r="F1329" s="327">
        <v>12391.68</v>
      </c>
      <c r="G1329" s="328"/>
      <c r="H1329" s="174" t="s">
        <v>638</v>
      </c>
      <c r="I1329" s="324" t="s">
        <v>425</v>
      </c>
    </row>
    <row r="1330" spans="1:9" ht="11.1" customHeight="1" outlineLevel="1">
      <c r="A1330" s="325" t="s">
        <v>1067</v>
      </c>
      <c r="B1330" s="325" t="s">
        <v>2763</v>
      </c>
      <c r="C1330" s="325" t="s">
        <v>918</v>
      </c>
      <c r="D1330" s="325" t="s">
        <v>20</v>
      </c>
      <c r="E1330" s="326">
        <v>9</v>
      </c>
      <c r="F1330" s="327">
        <v>1759.8</v>
      </c>
      <c r="G1330" s="328"/>
      <c r="H1330" s="328" t="s">
        <v>1147</v>
      </c>
      <c r="I1330" s="324" t="s">
        <v>21</v>
      </c>
    </row>
    <row r="1331" spans="1:9" ht="11.1" customHeight="1" outlineLevel="1">
      <c r="A1331" s="325" t="s">
        <v>1067</v>
      </c>
      <c r="B1331" s="325" t="s">
        <v>2764</v>
      </c>
      <c r="C1331" s="325" t="s">
        <v>2765</v>
      </c>
      <c r="D1331" s="325" t="s">
        <v>20</v>
      </c>
      <c r="E1331" s="326">
        <v>2</v>
      </c>
      <c r="F1331" s="327">
        <v>1392.52</v>
      </c>
      <c r="G1331" s="328"/>
      <c r="H1331" s="336" t="s">
        <v>2765</v>
      </c>
      <c r="I1331" s="324" t="s">
        <v>425</v>
      </c>
    </row>
    <row r="1332" spans="1:9" ht="11.1" customHeight="1" outlineLevel="1">
      <c r="A1332" s="325" t="s">
        <v>1067</v>
      </c>
      <c r="B1332" s="325" t="s">
        <v>2766</v>
      </c>
      <c r="C1332" s="325" t="s">
        <v>2767</v>
      </c>
      <c r="D1332" s="325" t="s">
        <v>20</v>
      </c>
      <c r="E1332" s="326">
        <v>3</v>
      </c>
      <c r="F1332" s="327">
        <v>14750.01</v>
      </c>
      <c r="G1332" s="328"/>
      <c r="H1332" s="336" t="s">
        <v>2768</v>
      </c>
      <c r="I1332" s="324" t="s">
        <v>425</v>
      </c>
    </row>
    <row r="1333" spans="1:9" ht="11.1" customHeight="1" outlineLevel="1">
      <c r="A1333" s="325" t="s">
        <v>1067</v>
      </c>
      <c r="B1333" s="325" t="s">
        <v>1709</v>
      </c>
      <c r="C1333" s="325" t="s">
        <v>1710</v>
      </c>
      <c r="D1333" s="325" t="s">
        <v>12</v>
      </c>
      <c r="E1333" s="326">
        <v>540</v>
      </c>
      <c r="F1333" s="327">
        <v>95401.82</v>
      </c>
      <c r="G1333" s="328"/>
      <c r="H1333" s="328" t="s">
        <v>1711</v>
      </c>
      <c r="I1333" s="324" t="s">
        <v>1307</v>
      </c>
    </row>
    <row r="1334" spans="1:9" ht="11.1" customHeight="1" outlineLevel="1">
      <c r="A1334" s="325" t="s">
        <v>1067</v>
      </c>
      <c r="B1334" s="325" t="s">
        <v>2769</v>
      </c>
      <c r="C1334" s="325" t="s">
        <v>2770</v>
      </c>
      <c r="D1334" s="325" t="s">
        <v>20</v>
      </c>
      <c r="E1334" s="326">
        <v>20</v>
      </c>
      <c r="F1334" s="327">
        <v>8833.4</v>
      </c>
      <c r="G1334" s="328"/>
      <c r="H1334" s="328" t="s">
        <v>2771</v>
      </c>
      <c r="I1334" s="324" t="s">
        <v>1307</v>
      </c>
    </row>
    <row r="1335" spans="1:9" ht="11.1" customHeight="1" outlineLevel="1">
      <c r="A1335" s="325" t="s">
        <v>1067</v>
      </c>
      <c r="B1335" s="325" t="s">
        <v>1716</v>
      </c>
      <c r="C1335" s="325" t="s">
        <v>1717</v>
      </c>
      <c r="D1335" s="325" t="s">
        <v>20</v>
      </c>
      <c r="E1335" s="326">
        <v>8</v>
      </c>
      <c r="F1335" s="331">
        <v>511.99</v>
      </c>
      <c r="G1335" s="328"/>
      <c r="H1335" s="328" t="s">
        <v>1718</v>
      </c>
      <c r="I1335" s="324" t="s">
        <v>1070</v>
      </c>
    </row>
    <row r="1336" spans="1:9" ht="11.1" customHeight="1" outlineLevel="1">
      <c r="A1336" s="325" t="s">
        <v>1067</v>
      </c>
      <c r="B1336" s="325" t="s">
        <v>2772</v>
      </c>
      <c r="C1336" s="325" t="s">
        <v>2773</v>
      </c>
      <c r="D1336" s="325" t="s">
        <v>20</v>
      </c>
      <c r="E1336" s="326">
        <v>48</v>
      </c>
      <c r="F1336" s="327">
        <v>1247.99</v>
      </c>
      <c r="G1336" s="328"/>
      <c r="H1336" s="328" t="s">
        <v>2774</v>
      </c>
      <c r="I1336" s="324" t="s">
        <v>1087</v>
      </c>
    </row>
    <row r="1337" spans="1:9" ht="11.1" customHeight="1" outlineLevel="1">
      <c r="A1337" s="325" t="s">
        <v>1067</v>
      </c>
      <c r="B1337" s="325" t="s">
        <v>2775</v>
      </c>
      <c r="C1337" s="325" t="s">
        <v>2776</v>
      </c>
      <c r="D1337" s="325" t="s">
        <v>20</v>
      </c>
      <c r="E1337" s="326">
        <v>16</v>
      </c>
      <c r="F1337" s="331">
        <v>672</v>
      </c>
      <c r="G1337" s="328"/>
      <c r="H1337" s="328" t="s">
        <v>2774</v>
      </c>
      <c r="I1337" s="324" t="s">
        <v>1087</v>
      </c>
    </row>
    <row r="1338" spans="1:9" ht="11.1" customHeight="1" outlineLevel="1">
      <c r="A1338" s="325" t="s">
        <v>1067</v>
      </c>
      <c r="B1338" s="325" t="s">
        <v>1723</v>
      </c>
      <c r="C1338" s="325" t="s">
        <v>1724</v>
      </c>
      <c r="D1338" s="325" t="s">
        <v>20</v>
      </c>
      <c r="E1338" s="326">
        <v>21</v>
      </c>
      <c r="F1338" s="327">
        <v>4353</v>
      </c>
      <c r="G1338" s="328"/>
      <c r="H1338" s="328" t="s">
        <v>1147</v>
      </c>
      <c r="I1338" s="324" t="s">
        <v>21</v>
      </c>
    </row>
    <row r="1339" spans="1:9" ht="11.1" customHeight="1" outlineLevel="1">
      <c r="A1339" s="325" t="s">
        <v>1067</v>
      </c>
      <c r="B1339" s="325" t="s">
        <v>2777</v>
      </c>
      <c r="C1339" s="325" t="s">
        <v>2778</v>
      </c>
      <c r="D1339" s="325" t="s">
        <v>20</v>
      </c>
      <c r="E1339" s="326">
        <v>240</v>
      </c>
      <c r="F1339" s="327">
        <v>16868.46</v>
      </c>
      <c r="G1339" s="328"/>
      <c r="H1339" s="160" t="s">
        <v>606</v>
      </c>
      <c r="I1339" s="324" t="s">
        <v>1307</v>
      </c>
    </row>
    <row r="1340" spans="1:9" ht="11.1" customHeight="1" outlineLevel="1">
      <c r="A1340" s="325" t="s">
        <v>1067</v>
      </c>
      <c r="B1340" s="325" t="s">
        <v>2779</v>
      </c>
      <c r="C1340" s="325" t="s">
        <v>2780</v>
      </c>
      <c r="D1340" s="325" t="s">
        <v>20</v>
      </c>
      <c r="E1340" s="326">
        <v>480</v>
      </c>
      <c r="F1340" s="327">
        <v>16800</v>
      </c>
      <c r="G1340" s="328"/>
      <c r="H1340" s="160" t="s">
        <v>606</v>
      </c>
      <c r="I1340" s="324" t="s">
        <v>1307</v>
      </c>
    </row>
    <row r="1341" spans="1:9" ht="11.1" customHeight="1" outlineLevel="1">
      <c r="A1341" s="325" t="s">
        <v>1067</v>
      </c>
      <c r="B1341" s="325" t="s">
        <v>2781</v>
      </c>
      <c r="C1341" s="325" t="s">
        <v>2780</v>
      </c>
      <c r="D1341" s="325" t="s">
        <v>912</v>
      </c>
      <c r="E1341" s="326">
        <v>6</v>
      </c>
      <c r="F1341" s="327">
        <v>8400</v>
      </c>
      <c r="G1341" s="328"/>
      <c r="H1341" s="160" t="s">
        <v>606</v>
      </c>
      <c r="I1341" s="324" t="s">
        <v>1307</v>
      </c>
    </row>
    <row r="1342" spans="1:9" ht="11.1" customHeight="1" outlineLevel="1">
      <c r="A1342" s="325" t="s">
        <v>1067</v>
      </c>
      <c r="B1342" s="325" t="s">
        <v>2782</v>
      </c>
      <c r="C1342" s="325" t="s">
        <v>2783</v>
      </c>
      <c r="D1342" s="325" t="s">
        <v>912</v>
      </c>
      <c r="E1342" s="326">
        <v>12</v>
      </c>
      <c r="F1342" s="327">
        <v>16569</v>
      </c>
      <c r="G1342" s="328"/>
      <c r="H1342" s="160" t="s">
        <v>606</v>
      </c>
      <c r="I1342" s="324" t="s">
        <v>1307</v>
      </c>
    </row>
    <row r="1343" spans="1:9" ht="11.1" customHeight="1" outlineLevel="1">
      <c r="A1343" s="325" t="s">
        <v>1067</v>
      </c>
      <c r="B1343" s="325" t="s">
        <v>2784</v>
      </c>
      <c r="C1343" s="325" t="s">
        <v>2785</v>
      </c>
      <c r="D1343" s="325" t="s">
        <v>20</v>
      </c>
      <c r="E1343" s="326">
        <v>131</v>
      </c>
      <c r="F1343" s="327">
        <v>15349.06</v>
      </c>
      <c r="G1343" s="328"/>
      <c r="H1343" s="325" t="s">
        <v>2785</v>
      </c>
      <c r="I1343" s="324" t="s">
        <v>1105</v>
      </c>
    </row>
    <row r="1344" spans="1:9" ht="11.1" customHeight="1" outlineLevel="1">
      <c r="A1344" s="325" t="s">
        <v>1067</v>
      </c>
      <c r="B1344" s="325" t="s">
        <v>2786</v>
      </c>
      <c r="C1344" s="325" t="s">
        <v>2787</v>
      </c>
      <c r="D1344" s="325" t="s">
        <v>20</v>
      </c>
      <c r="E1344" s="326">
        <v>9</v>
      </c>
      <c r="F1344" s="327">
        <v>1061.44</v>
      </c>
      <c r="G1344" s="328"/>
      <c r="H1344" s="328" t="s">
        <v>2788</v>
      </c>
      <c r="I1344" s="324" t="s">
        <v>1307</v>
      </c>
    </row>
    <row r="1345" spans="1:9" ht="11.1" customHeight="1" outlineLevel="1">
      <c r="A1345" s="325" t="s">
        <v>1067</v>
      </c>
      <c r="B1345" s="325" t="s">
        <v>2789</v>
      </c>
      <c r="C1345" s="325" t="s">
        <v>2790</v>
      </c>
      <c r="D1345" s="325" t="s">
        <v>20</v>
      </c>
      <c r="E1345" s="326">
        <v>406</v>
      </c>
      <c r="F1345" s="327">
        <v>192563.34</v>
      </c>
      <c r="G1345" s="328"/>
      <c r="H1345" s="160" t="s">
        <v>1732</v>
      </c>
      <c r="I1345" s="324" t="s">
        <v>1307</v>
      </c>
    </row>
    <row r="1346" spans="1:9" ht="11.1" customHeight="1" outlineLevel="1">
      <c r="A1346" s="325" t="s">
        <v>1067</v>
      </c>
      <c r="B1346" s="325" t="s">
        <v>2791</v>
      </c>
      <c r="C1346" s="325" t="s">
        <v>2792</v>
      </c>
      <c r="D1346" s="325" t="s">
        <v>912</v>
      </c>
      <c r="E1346" s="326">
        <v>12</v>
      </c>
      <c r="F1346" s="327">
        <v>15402</v>
      </c>
      <c r="G1346" s="328"/>
      <c r="H1346" s="160" t="s">
        <v>606</v>
      </c>
      <c r="I1346" s="324" t="s">
        <v>1307</v>
      </c>
    </row>
    <row r="1347" spans="1:9" ht="11.1" customHeight="1" outlineLevel="1">
      <c r="A1347" s="325" t="s">
        <v>1067</v>
      </c>
      <c r="B1347" s="325" t="s">
        <v>2793</v>
      </c>
      <c r="C1347" s="325" t="s">
        <v>2794</v>
      </c>
      <c r="D1347" s="325" t="s">
        <v>1101</v>
      </c>
      <c r="E1347" s="326">
        <v>240</v>
      </c>
      <c r="F1347" s="327">
        <v>16569.5</v>
      </c>
      <c r="G1347" s="328"/>
      <c r="H1347" s="160" t="s">
        <v>606</v>
      </c>
      <c r="I1347" s="324" t="s">
        <v>1307</v>
      </c>
    </row>
    <row r="1348" spans="1:9" ht="11.1" customHeight="1" outlineLevel="1">
      <c r="A1348" s="325" t="s">
        <v>1067</v>
      </c>
      <c r="B1348" s="325" t="s">
        <v>2795</v>
      </c>
      <c r="C1348" s="325" t="s">
        <v>2796</v>
      </c>
      <c r="D1348" s="325" t="s">
        <v>20</v>
      </c>
      <c r="E1348" s="326">
        <v>240</v>
      </c>
      <c r="F1348" s="327">
        <v>8400</v>
      </c>
      <c r="G1348" s="328"/>
      <c r="H1348" s="160" t="s">
        <v>606</v>
      </c>
      <c r="I1348" s="324" t="s">
        <v>1307</v>
      </c>
    </row>
    <row r="1349" spans="1:9" ht="11.1" customHeight="1" outlineLevel="1">
      <c r="A1349" s="325" t="s">
        <v>1067</v>
      </c>
      <c r="B1349" s="325" t="s">
        <v>2797</v>
      </c>
      <c r="C1349" s="325" t="s">
        <v>2796</v>
      </c>
      <c r="D1349" s="325" t="s">
        <v>912</v>
      </c>
      <c r="E1349" s="326">
        <v>12</v>
      </c>
      <c r="F1349" s="327">
        <v>15208.32</v>
      </c>
      <c r="G1349" s="328"/>
      <c r="H1349" s="160" t="s">
        <v>606</v>
      </c>
      <c r="I1349" s="324" t="s">
        <v>1307</v>
      </c>
    </row>
    <row r="1350" spans="1:9" ht="11.1" customHeight="1" outlineLevel="1">
      <c r="A1350" s="325" t="s">
        <v>1067</v>
      </c>
      <c r="B1350" s="325" t="s">
        <v>2798</v>
      </c>
      <c r="C1350" s="325" t="s">
        <v>875</v>
      </c>
      <c r="D1350" s="325" t="s">
        <v>20</v>
      </c>
      <c r="E1350" s="326">
        <v>60</v>
      </c>
      <c r="F1350" s="327">
        <v>23100</v>
      </c>
      <c r="G1350" s="328"/>
      <c r="H1350" s="328" t="s">
        <v>1147</v>
      </c>
      <c r="I1350" s="324" t="s">
        <v>21</v>
      </c>
    </row>
    <row r="1351" spans="1:9" ht="11.1" customHeight="1" outlineLevel="1">
      <c r="A1351" s="325" t="s">
        <v>1067</v>
      </c>
      <c r="B1351" s="325" t="s">
        <v>1746</v>
      </c>
      <c r="C1351" s="325" t="s">
        <v>1747</v>
      </c>
      <c r="D1351" s="325" t="s">
        <v>910</v>
      </c>
      <c r="E1351" s="326">
        <v>36</v>
      </c>
      <c r="F1351" s="327">
        <v>28577.8</v>
      </c>
      <c r="G1351" s="328"/>
      <c r="H1351" s="160" t="s">
        <v>1748</v>
      </c>
      <c r="I1351" s="324" t="s">
        <v>1105</v>
      </c>
    </row>
    <row r="1352" spans="1:9" ht="11.1" customHeight="1" outlineLevel="1">
      <c r="A1352" s="325" t="s">
        <v>1067</v>
      </c>
      <c r="B1352" s="325" t="s">
        <v>1751</v>
      </c>
      <c r="C1352" s="325" t="s">
        <v>1752</v>
      </c>
      <c r="D1352" s="325" t="s">
        <v>910</v>
      </c>
      <c r="E1352" s="326">
        <v>36</v>
      </c>
      <c r="F1352" s="327">
        <v>28577.93</v>
      </c>
      <c r="G1352" s="328"/>
      <c r="H1352" s="160" t="s">
        <v>1748</v>
      </c>
      <c r="I1352" s="324" t="s">
        <v>1105</v>
      </c>
    </row>
    <row r="1353" spans="1:9" ht="11.1" customHeight="1" outlineLevel="1">
      <c r="A1353" s="325" t="s">
        <v>1067</v>
      </c>
      <c r="B1353" s="325" t="s">
        <v>1755</v>
      </c>
      <c r="C1353" s="325" t="s">
        <v>544</v>
      </c>
      <c r="D1353" s="325" t="s">
        <v>1519</v>
      </c>
      <c r="E1353" s="326">
        <v>240</v>
      </c>
      <c r="F1353" s="327">
        <v>33163.199999999997</v>
      </c>
      <c r="G1353" s="328"/>
      <c r="H1353" s="160" t="s">
        <v>1754</v>
      </c>
      <c r="I1353" s="324" t="s">
        <v>1307</v>
      </c>
    </row>
    <row r="1354" spans="1:9" ht="11.1" customHeight="1" outlineLevel="1">
      <c r="A1354" s="325" t="s">
        <v>1067</v>
      </c>
      <c r="B1354" s="325" t="s">
        <v>1753</v>
      </c>
      <c r="C1354" s="325" t="s">
        <v>544</v>
      </c>
      <c r="D1354" s="325" t="s">
        <v>20</v>
      </c>
      <c r="E1354" s="326">
        <v>48</v>
      </c>
      <c r="F1354" s="327">
        <v>16149.6</v>
      </c>
      <c r="G1354" s="328"/>
      <c r="H1354" s="160" t="s">
        <v>1754</v>
      </c>
      <c r="I1354" s="324" t="s">
        <v>1307</v>
      </c>
    </row>
    <row r="1355" spans="1:9" ht="11.1" customHeight="1" outlineLevel="1">
      <c r="A1355" s="325" t="s">
        <v>1067</v>
      </c>
      <c r="B1355" s="325" t="s">
        <v>2799</v>
      </c>
      <c r="C1355" s="325" t="s">
        <v>2800</v>
      </c>
      <c r="D1355" s="325" t="s">
        <v>20</v>
      </c>
      <c r="E1355" s="326">
        <v>20</v>
      </c>
      <c r="F1355" s="327">
        <v>2340</v>
      </c>
      <c r="G1355" s="328"/>
      <c r="H1355" s="325" t="s">
        <v>2800</v>
      </c>
      <c r="I1355" s="324" t="s">
        <v>1070</v>
      </c>
    </row>
    <row r="1356" spans="1:9" ht="11.1" customHeight="1" outlineLevel="1">
      <c r="A1356" s="325" t="s">
        <v>1067</v>
      </c>
      <c r="B1356" s="325" t="s">
        <v>2801</v>
      </c>
      <c r="C1356" s="325" t="s">
        <v>983</v>
      </c>
      <c r="D1356" s="325" t="s">
        <v>20</v>
      </c>
      <c r="E1356" s="326">
        <v>2</v>
      </c>
      <c r="F1356" s="327">
        <v>6640</v>
      </c>
      <c r="G1356" s="328"/>
      <c r="H1356" s="174" t="s">
        <v>682</v>
      </c>
      <c r="I1356" s="324" t="s">
        <v>425</v>
      </c>
    </row>
    <row r="1357" spans="1:9" ht="11.1" customHeight="1" outlineLevel="1">
      <c r="A1357" s="325" t="s">
        <v>1067</v>
      </c>
      <c r="B1357" s="325" t="s">
        <v>2802</v>
      </c>
      <c r="C1357" s="325" t="s">
        <v>2803</v>
      </c>
      <c r="D1357" s="325" t="s">
        <v>20</v>
      </c>
      <c r="E1357" s="326">
        <v>2</v>
      </c>
      <c r="F1357" s="327">
        <v>3210</v>
      </c>
      <c r="G1357" s="328"/>
      <c r="H1357" s="174" t="s">
        <v>682</v>
      </c>
      <c r="I1357" s="324" t="s">
        <v>425</v>
      </c>
    </row>
    <row r="1358" spans="1:9" ht="11.1" customHeight="1" outlineLevel="1">
      <c r="A1358" s="325" t="s">
        <v>1067</v>
      </c>
      <c r="B1358" s="325" t="s">
        <v>2804</v>
      </c>
      <c r="C1358" s="325" t="s">
        <v>2805</v>
      </c>
      <c r="D1358" s="325" t="s">
        <v>295</v>
      </c>
      <c r="E1358" s="326">
        <v>20</v>
      </c>
      <c r="F1358" s="331">
        <v>340</v>
      </c>
      <c r="G1358" s="328"/>
      <c r="H1358" s="328" t="s">
        <v>549</v>
      </c>
      <c r="I1358" s="324" t="s">
        <v>1070</v>
      </c>
    </row>
    <row r="1359" spans="1:9" ht="11.1" customHeight="1" outlineLevel="1">
      <c r="A1359" s="325" t="s">
        <v>1067</v>
      </c>
      <c r="B1359" s="325" t="s">
        <v>1765</v>
      </c>
      <c r="C1359" s="325" t="s">
        <v>1766</v>
      </c>
      <c r="D1359" s="325" t="s">
        <v>20</v>
      </c>
      <c r="E1359" s="326">
        <v>2</v>
      </c>
      <c r="F1359" s="331">
        <v>158</v>
      </c>
      <c r="G1359" s="328"/>
      <c r="H1359" s="160" t="s">
        <v>1661</v>
      </c>
      <c r="I1359" s="324" t="s">
        <v>1307</v>
      </c>
    </row>
    <row r="1360" spans="1:9" ht="11.1" customHeight="1" outlineLevel="1">
      <c r="A1360" s="325" t="s">
        <v>1067</v>
      </c>
      <c r="B1360" s="325" t="s">
        <v>1773</v>
      </c>
      <c r="C1360" s="325" t="s">
        <v>1774</v>
      </c>
      <c r="D1360" s="325" t="s">
        <v>20</v>
      </c>
      <c r="E1360" s="326">
        <v>20</v>
      </c>
      <c r="F1360" s="327">
        <v>9980</v>
      </c>
      <c r="G1360" s="328"/>
      <c r="H1360" s="325" t="s">
        <v>2806</v>
      </c>
      <c r="I1360" s="324" t="s">
        <v>1307</v>
      </c>
    </row>
    <row r="1361" spans="1:9" ht="11.1" customHeight="1" outlineLevel="1">
      <c r="A1361" s="325" t="s">
        <v>1067</v>
      </c>
      <c r="B1361" s="325" t="s">
        <v>2807</v>
      </c>
      <c r="C1361" s="325" t="s">
        <v>2808</v>
      </c>
      <c r="D1361" s="325" t="s">
        <v>20</v>
      </c>
      <c r="E1361" s="326">
        <v>146</v>
      </c>
      <c r="F1361" s="327">
        <v>12977.64</v>
      </c>
      <c r="G1361" s="328"/>
      <c r="H1361" s="325" t="s">
        <v>2806</v>
      </c>
      <c r="I1361" s="324" t="s">
        <v>1307</v>
      </c>
    </row>
    <row r="1362" spans="1:9" ht="11.1" customHeight="1" outlineLevel="1">
      <c r="A1362" s="325" t="s">
        <v>1067</v>
      </c>
      <c r="B1362" s="325" t="s">
        <v>2809</v>
      </c>
      <c r="C1362" s="325" t="s">
        <v>2810</v>
      </c>
      <c r="D1362" s="325" t="s">
        <v>12</v>
      </c>
      <c r="E1362" s="326">
        <v>973.89599999999996</v>
      </c>
      <c r="F1362" s="327">
        <v>192337.63</v>
      </c>
      <c r="G1362" s="328"/>
      <c r="H1362" s="160" t="s">
        <v>546</v>
      </c>
      <c r="I1362" s="324" t="s">
        <v>1105</v>
      </c>
    </row>
    <row r="1363" spans="1:9" ht="11.1" customHeight="1" outlineLevel="1">
      <c r="A1363" s="325" t="s">
        <v>1067</v>
      </c>
      <c r="B1363" s="325" t="s">
        <v>1106</v>
      </c>
      <c r="C1363" s="325" t="s">
        <v>1107</v>
      </c>
      <c r="D1363" s="325" t="s">
        <v>12</v>
      </c>
      <c r="E1363" s="326">
        <v>412.87299999999999</v>
      </c>
      <c r="F1363" s="327">
        <v>77045.87</v>
      </c>
      <c r="G1363" s="328"/>
      <c r="H1363" s="160" t="s">
        <v>546</v>
      </c>
      <c r="I1363" s="324" t="s">
        <v>1105</v>
      </c>
    </row>
    <row r="1364" spans="1:9" ht="11.1" customHeight="1" outlineLevel="1">
      <c r="A1364" s="325" t="s">
        <v>1067</v>
      </c>
      <c r="B1364" s="325" t="s">
        <v>2811</v>
      </c>
      <c r="C1364" s="325" t="s">
        <v>2812</v>
      </c>
      <c r="D1364" s="325" t="s">
        <v>12</v>
      </c>
      <c r="E1364" s="326">
        <v>261.06099999999998</v>
      </c>
      <c r="F1364" s="327">
        <v>52566.69</v>
      </c>
      <c r="G1364" s="328"/>
      <c r="H1364" s="160" t="s">
        <v>546</v>
      </c>
      <c r="I1364" s="324" t="s">
        <v>1105</v>
      </c>
    </row>
    <row r="1365" spans="1:9" ht="11.1" customHeight="1" outlineLevel="1">
      <c r="A1365" s="325" t="s">
        <v>1067</v>
      </c>
      <c r="B1365" s="325" t="s">
        <v>2523</v>
      </c>
      <c r="C1365" s="325" t="s">
        <v>2524</v>
      </c>
      <c r="D1365" s="325" t="s">
        <v>20</v>
      </c>
      <c r="E1365" s="326">
        <v>6</v>
      </c>
      <c r="F1365" s="327">
        <v>6533</v>
      </c>
      <c r="G1365" s="328"/>
      <c r="H1365" s="160" t="s">
        <v>826</v>
      </c>
      <c r="I1365" s="324" t="s">
        <v>1070</v>
      </c>
    </row>
    <row r="1366" spans="1:9" ht="11.1" customHeight="1" outlineLevel="1">
      <c r="A1366" s="325" t="s">
        <v>1067</v>
      </c>
      <c r="B1366" s="325" t="s">
        <v>1783</v>
      </c>
      <c r="C1366" s="325" t="s">
        <v>961</v>
      </c>
      <c r="D1366" s="325" t="s">
        <v>20</v>
      </c>
      <c r="E1366" s="326">
        <v>4</v>
      </c>
      <c r="F1366" s="331">
        <v>113.04</v>
      </c>
      <c r="G1366" s="328"/>
      <c r="H1366" s="160" t="s">
        <v>577</v>
      </c>
      <c r="I1366" s="324" t="s">
        <v>289</v>
      </c>
    </row>
    <row r="1367" spans="1:9" ht="11.1" customHeight="1" outlineLevel="1">
      <c r="A1367" s="325" t="s">
        <v>1067</v>
      </c>
      <c r="B1367" s="325" t="s">
        <v>2813</v>
      </c>
      <c r="C1367" s="325" t="s">
        <v>2814</v>
      </c>
      <c r="D1367" s="325" t="s">
        <v>20</v>
      </c>
      <c r="E1367" s="326">
        <v>5</v>
      </c>
      <c r="F1367" s="331">
        <v>70</v>
      </c>
      <c r="G1367" s="328"/>
      <c r="H1367" s="160" t="s">
        <v>1786</v>
      </c>
      <c r="I1367" s="324" t="s">
        <v>1070</v>
      </c>
    </row>
    <row r="1368" spans="1:9" ht="11.1" customHeight="1" outlineLevel="1">
      <c r="A1368" s="325" t="s">
        <v>1067</v>
      </c>
      <c r="B1368" s="325" t="s">
        <v>2815</v>
      </c>
      <c r="C1368" s="325" t="s">
        <v>2816</v>
      </c>
      <c r="D1368" s="325" t="s">
        <v>912</v>
      </c>
      <c r="E1368" s="326">
        <v>2.65</v>
      </c>
      <c r="F1368" s="327">
        <v>81535.199999999997</v>
      </c>
      <c r="G1368" s="328"/>
      <c r="H1368" s="160" t="s">
        <v>1789</v>
      </c>
      <c r="I1368" s="324" t="s">
        <v>1307</v>
      </c>
    </row>
    <row r="1369" spans="1:9" ht="11.1" customHeight="1" outlineLevel="1">
      <c r="A1369" s="325" t="s">
        <v>1067</v>
      </c>
      <c r="B1369" s="325" t="s">
        <v>2817</v>
      </c>
      <c r="C1369" s="325" t="s">
        <v>2818</v>
      </c>
      <c r="D1369" s="325" t="s">
        <v>295</v>
      </c>
      <c r="E1369" s="335">
        <v>1602</v>
      </c>
      <c r="F1369" s="327">
        <v>115338.84</v>
      </c>
      <c r="G1369" s="328"/>
      <c r="H1369" s="160" t="s">
        <v>1789</v>
      </c>
      <c r="I1369" s="324" t="s">
        <v>1307</v>
      </c>
    </row>
    <row r="1370" spans="1:9" ht="11.1" customHeight="1" outlineLevel="1">
      <c r="A1370" s="325" t="s">
        <v>1067</v>
      </c>
      <c r="B1370" s="325" t="s">
        <v>2819</v>
      </c>
      <c r="C1370" s="325" t="s">
        <v>2820</v>
      </c>
      <c r="D1370" s="325" t="s">
        <v>20</v>
      </c>
      <c r="E1370" s="326">
        <v>24</v>
      </c>
      <c r="F1370" s="327">
        <v>6376.02</v>
      </c>
      <c r="G1370" s="328"/>
      <c r="H1370" s="160" t="s">
        <v>1799</v>
      </c>
      <c r="I1370" s="324" t="s">
        <v>1105</v>
      </c>
    </row>
    <row r="1371" spans="1:9" ht="11.1" customHeight="1" outlineLevel="1">
      <c r="A1371" s="325" t="s">
        <v>1067</v>
      </c>
      <c r="B1371" s="325" t="s">
        <v>2821</v>
      </c>
      <c r="C1371" s="325" t="s">
        <v>2822</v>
      </c>
      <c r="D1371" s="325" t="s">
        <v>20</v>
      </c>
      <c r="E1371" s="326">
        <v>68</v>
      </c>
      <c r="F1371" s="327">
        <v>6540.24</v>
      </c>
      <c r="G1371" s="328"/>
      <c r="H1371" s="160" t="s">
        <v>633</v>
      </c>
      <c r="I1371" s="324" t="s">
        <v>289</v>
      </c>
    </row>
    <row r="1372" spans="1:9" ht="11.1" customHeight="1" outlineLevel="1">
      <c r="A1372" s="325" t="s">
        <v>1067</v>
      </c>
      <c r="B1372" s="325" t="s">
        <v>1800</v>
      </c>
      <c r="C1372" s="325" t="s">
        <v>1801</v>
      </c>
      <c r="D1372" s="325" t="s">
        <v>20</v>
      </c>
      <c r="E1372" s="326">
        <v>20</v>
      </c>
      <c r="F1372" s="327">
        <v>3729.6</v>
      </c>
      <c r="G1372" s="328"/>
      <c r="H1372" s="160" t="s">
        <v>633</v>
      </c>
      <c r="I1372" s="324" t="s">
        <v>289</v>
      </c>
    </row>
    <row r="1373" spans="1:9" ht="11.1" customHeight="1" outlineLevel="1">
      <c r="A1373" s="325" t="s">
        <v>1067</v>
      </c>
      <c r="B1373" s="325" t="s">
        <v>1802</v>
      </c>
      <c r="C1373" s="325" t="s">
        <v>1803</v>
      </c>
      <c r="D1373" s="325" t="s">
        <v>20</v>
      </c>
      <c r="E1373" s="326">
        <v>80</v>
      </c>
      <c r="F1373" s="327">
        <v>13305.6</v>
      </c>
      <c r="G1373" s="328"/>
      <c r="H1373" s="160" t="s">
        <v>633</v>
      </c>
      <c r="I1373" s="324" t="s">
        <v>289</v>
      </c>
    </row>
    <row r="1374" spans="1:9" ht="11.1" customHeight="1" outlineLevel="1">
      <c r="A1374" s="325" t="s">
        <v>1067</v>
      </c>
      <c r="B1374" s="325" t="s">
        <v>1804</v>
      </c>
      <c r="C1374" s="325" t="s">
        <v>1805</v>
      </c>
      <c r="D1374" s="325" t="s">
        <v>20</v>
      </c>
      <c r="E1374" s="326">
        <v>38</v>
      </c>
      <c r="F1374" s="327">
        <v>3585.61</v>
      </c>
      <c r="G1374" s="328"/>
      <c r="H1374" s="160" t="s">
        <v>633</v>
      </c>
      <c r="I1374" s="324" t="s">
        <v>289</v>
      </c>
    </row>
    <row r="1375" spans="1:9" ht="11.1" customHeight="1" outlineLevel="1">
      <c r="A1375" s="325" t="s">
        <v>1067</v>
      </c>
      <c r="B1375" s="325" t="s">
        <v>1205</v>
      </c>
      <c r="C1375" s="325" t="s">
        <v>1206</v>
      </c>
      <c r="D1375" s="325" t="s">
        <v>261</v>
      </c>
      <c r="E1375" s="326">
        <v>60</v>
      </c>
      <c r="F1375" s="327">
        <v>3789.3</v>
      </c>
      <c r="G1375" s="328"/>
      <c r="H1375" s="160" t="s">
        <v>203</v>
      </c>
      <c r="I1375" s="324" t="s">
        <v>1087</v>
      </c>
    </row>
    <row r="1376" spans="1:9" ht="11.1" customHeight="1" outlineLevel="1">
      <c r="A1376" s="325" t="s">
        <v>1067</v>
      </c>
      <c r="B1376" s="325" t="s">
        <v>2823</v>
      </c>
      <c r="C1376" s="325" t="s">
        <v>2824</v>
      </c>
      <c r="D1376" s="325" t="s">
        <v>20</v>
      </c>
      <c r="E1376" s="335">
        <v>2000</v>
      </c>
      <c r="F1376" s="331">
        <v>267.54000000000002</v>
      </c>
      <c r="G1376" s="328"/>
      <c r="H1376" s="160" t="s">
        <v>612</v>
      </c>
      <c r="I1376" s="324" t="s">
        <v>1307</v>
      </c>
    </row>
    <row r="1377" spans="1:9" ht="11.1" customHeight="1" outlineLevel="1">
      <c r="A1377" s="325" t="s">
        <v>1067</v>
      </c>
      <c r="B1377" s="325" t="s">
        <v>2825</v>
      </c>
      <c r="C1377" s="325" t="s">
        <v>2826</v>
      </c>
      <c r="D1377" s="325" t="s">
        <v>20</v>
      </c>
      <c r="E1377" s="335">
        <v>2000</v>
      </c>
      <c r="F1377" s="331">
        <v>479.22</v>
      </c>
      <c r="G1377" s="328"/>
      <c r="H1377" s="160" t="s">
        <v>612</v>
      </c>
      <c r="I1377" s="324" t="s">
        <v>1307</v>
      </c>
    </row>
    <row r="1378" spans="1:9" ht="11.1" customHeight="1" outlineLevel="1">
      <c r="A1378" s="325" t="s">
        <v>1067</v>
      </c>
      <c r="B1378" s="325" t="s">
        <v>2827</v>
      </c>
      <c r="C1378" s="325" t="s">
        <v>2828</v>
      </c>
      <c r="D1378" s="325" t="s">
        <v>20</v>
      </c>
      <c r="E1378" s="335">
        <v>4000</v>
      </c>
      <c r="F1378" s="331">
        <v>601.72</v>
      </c>
      <c r="G1378" s="328"/>
      <c r="H1378" s="160" t="s">
        <v>612</v>
      </c>
      <c r="I1378" s="324" t="s">
        <v>1307</v>
      </c>
    </row>
    <row r="1379" spans="1:9" ht="11.1" customHeight="1" outlineLevel="1">
      <c r="A1379" s="325" t="s">
        <v>1067</v>
      </c>
      <c r="B1379" s="325" t="s">
        <v>2529</v>
      </c>
      <c r="C1379" s="325" t="s">
        <v>2530</v>
      </c>
      <c r="D1379" s="325" t="s">
        <v>20</v>
      </c>
      <c r="E1379" s="335">
        <v>5500</v>
      </c>
      <c r="F1379" s="327">
        <v>3620.81</v>
      </c>
      <c r="G1379" s="328"/>
      <c r="H1379" s="160" t="s">
        <v>612</v>
      </c>
      <c r="I1379" s="324" t="s">
        <v>1105</v>
      </c>
    </row>
    <row r="1380" spans="1:9" ht="11.1" customHeight="1" outlineLevel="1">
      <c r="A1380" s="325" t="s">
        <v>1067</v>
      </c>
      <c r="B1380" s="325" t="s">
        <v>2531</v>
      </c>
      <c r="C1380" s="325" t="s">
        <v>2532</v>
      </c>
      <c r="D1380" s="325" t="s">
        <v>20</v>
      </c>
      <c r="E1380" s="335">
        <v>9500</v>
      </c>
      <c r="F1380" s="327">
        <v>6037.76</v>
      </c>
      <c r="G1380" s="328"/>
      <c r="H1380" s="160" t="s">
        <v>612</v>
      </c>
      <c r="I1380" s="324" t="s">
        <v>1105</v>
      </c>
    </row>
    <row r="1381" spans="1:9" ht="11.1" customHeight="1" outlineLevel="1">
      <c r="A1381" s="325" t="s">
        <v>1067</v>
      </c>
      <c r="B1381" s="325" t="s">
        <v>2829</v>
      </c>
      <c r="C1381" s="325" t="s">
        <v>2830</v>
      </c>
      <c r="D1381" s="325" t="s">
        <v>20</v>
      </c>
      <c r="E1381" s="335">
        <v>5000</v>
      </c>
      <c r="F1381" s="327">
        <v>3292.8</v>
      </c>
      <c r="G1381" s="328"/>
      <c r="H1381" s="160" t="s">
        <v>612</v>
      </c>
      <c r="I1381" s="324" t="s">
        <v>1307</v>
      </c>
    </row>
    <row r="1382" spans="1:9" ht="11.1" customHeight="1" outlineLevel="1">
      <c r="A1382" s="325" t="s">
        <v>1067</v>
      </c>
      <c r="B1382" s="325" t="s">
        <v>2831</v>
      </c>
      <c r="C1382" s="325" t="s">
        <v>2832</v>
      </c>
      <c r="D1382" s="325" t="s">
        <v>20</v>
      </c>
      <c r="E1382" s="335">
        <v>2000</v>
      </c>
      <c r="F1382" s="331">
        <v>487.6</v>
      </c>
      <c r="G1382" s="328"/>
      <c r="H1382" s="160" t="s">
        <v>612</v>
      </c>
      <c r="I1382" s="324" t="s">
        <v>1105</v>
      </c>
    </row>
    <row r="1383" spans="1:9" ht="11.1" customHeight="1" outlineLevel="1">
      <c r="A1383" s="325" t="s">
        <v>1067</v>
      </c>
      <c r="B1383" s="325" t="s">
        <v>2833</v>
      </c>
      <c r="C1383" s="325" t="s">
        <v>2834</v>
      </c>
      <c r="D1383" s="325" t="s">
        <v>20</v>
      </c>
      <c r="E1383" s="335">
        <v>7000</v>
      </c>
      <c r="F1383" s="331">
        <v>819.77</v>
      </c>
      <c r="G1383" s="328"/>
      <c r="H1383" s="160" t="s">
        <v>612</v>
      </c>
      <c r="I1383" s="324" t="s">
        <v>1105</v>
      </c>
    </row>
    <row r="1384" spans="1:9" ht="11.1" customHeight="1" outlineLevel="1">
      <c r="A1384" s="325" t="s">
        <v>1067</v>
      </c>
      <c r="B1384" s="325" t="s">
        <v>1816</v>
      </c>
      <c r="C1384" s="325" t="s">
        <v>1817</v>
      </c>
      <c r="D1384" s="325" t="s">
        <v>20</v>
      </c>
      <c r="E1384" s="335">
        <v>7000</v>
      </c>
      <c r="F1384" s="327">
        <v>4404.12</v>
      </c>
      <c r="G1384" s="328"/>
      <c r="H1384" s="160" t="s">
        <v>612</v>
      </c>
      <c r="I1384" s="324" t="s">
        <v>1105</v>
      </c>
    </row>
    <row r="1385" spans="1:9" ht="11.1" customHeight="1" outlineLevel="1">
      <c r="A1385" s="325" t="s">
        <v>1067</v>
      </c>
      <c r="B1385" s="325" t="s">
        <v>2835</v>
      </c>
      <c r="C1385" s="325" t="s">
        <v>2836</v>
      </c>
      <c r="D1385" s="325" t="s">
        <v>20</v>
      </c>
      <c r="E1385" s="326">
        <v>50</v>
      </c>
      <c r="F1385" s="327">
        <v>29925</v>
      </c>
      <c r="G1385" s="328"/>
      <c r="H1385" s="160" t="s">
        <v>551</v>
      </c>
      <c r="I1385" s="324" t="s">
        <v>289</v>
      </c>
    </row>
    <row r="1386" spans="1:9" ht="11.1" customHeight="1" outlineLevel="1">
      <c r="A1386" s="325" t="s">
        <v>1067</v>
      </c>
      <c r="B1386" s="325" t="s">
        <v>2837</v>
      </c>
      <c r="C1386" s="325" t="s">
        <v>2838</v>
      </c>
      <c r="D1386" s="325" t="s">
        <v>20</v>
      </c>
      <c r="E1386" s="326">
        <v>33</v>
      </c>
      <c r="F1386" s="327">
        <v>4296.9799999999996</v>
      </c>
      <c r="G1386" s="328"/>
      <c r="H1386" s="160" t="s">
        <v>551</v>
      </c>
      <c r="I1386" s="324" t="s">
        <v>289</v>
      </c>
    </row>
    <row r="1387" spans="1:9" ht="11.1" customHeight="1" outlineLevel="1">
      <c r="A1387" s="325" t="s">
        <v>1067</v>
      </c>
      <c r="B1387" s="325" t="s">
        <v>1824</v>
      </c>
      <c r="C1387" s="325" t="s">
        <v>1825</v>
      </c>
      <c r="D1387" s="325" t="s">
        <v>20</v>
      </c>
      <c r="E1387" s="326">
        <v>3</v>
      </c>
      <c r="F1387" s="331">
        <v>141.47999999999999</v>
      </c>
      <c r="G1387" s="328"/>
      <c r="H1387" s="160" t="s">
        <v>551</v>
      </c>
      <c r="I1387" s="324" t="s">
        <v>289</v>
      </c>
    </row>
    <row r="1388" spans="1:9" ht="11.1" customHeight="1" outlineLevel="1">
      <c r="A1388" s="325" t="s">
        <v>1067</v>
      </c>
      <c r="B1388" s="325" t="s">
        <v>2839</v>
      </c>
      <c r="C1388" s="325" t="s">
        <v>959</v>
      </c>
      <c r="D1388" s="325" t="s">
        <v>20</v>
      </c>
      <c r="E1388" s="326">
        <v>4</v>
      </c>
      <c r="F1388" s="331">
        <v>930.68</v>
      </c>
      <c r="G1388" s="328"/>
      <c r="H1388" s="160" t="s">
        <v>551</v>
      </c>
      <c r="I1388" s="324" t="s">
        <v>289</v>
      </c>
    </row>
    <row r="1389" spans="1:9" ht="11.1" customHeight="1" outlineLevel="1">
      <c r="A1389" s="325" t="s">
        <v>1067</v>
      </c>
      <c r="B1389" s="325" t="s">
        <v>1826</v>
      </c>
      <c r="C1389" s="325" t="s">
        <v>1827</v>
      </c>
      <c r="D1389" s="325" t="s">
        <v>20</v>
      </c>
      <c r="E1389" s="326">
        <v>8</v>
      </c>
      <c r="F1389" s="327">
        <v>2689.44</v>
      </c>
      <c r="G1389" s="328"/>
      <c r="H1389" s="160" t="s">
        <v>551</v>
      </c>
      <c r="I1389" s="324" t="s">
        <v>289</v>
      </c>
    </row>
    <row r="1390" spans="1:9" ht="11.1" customHeight="1" outlineLevel="1">
      <c r="A1390" s="325" t="s">
        <v>1067</v>
      </c>
      <c r="B1390" s="325" t="s">
        <v>2840</v>
      </c>
      <c r="C1390" s="325" t="s">
        <v>2841</v>
      </c>
      <c r="D1390" s="325" t="s">
        <v>20</v>
      </c>
      <c r="E1390" s="326">
        <v>5</v>
      </c>
      <c r="F1390" s="327">
        <v>1186.1600000000001</v>
      </c>
      <c r="G1390" s="328"/>
      <c r="H1390" s="160" t="s">
        <v>551</v>
      </c>
      <c r="I1390" s="324" t="s">
        <v>289</v>
      </c>
    </row>
    <row r="1391" spans="1:9" ht="11.1" customHeight="1" outlineLevel="1">
      <c r="A1391" s="325" t="s">
        <v>1067</v>
      </c>
      <c r="B1391" s="325" t="s">
        <v>2842</v>
      </c>
      <c r="C1391" s="325" t="s">
        <v>2843</v>
      </c>
      <c r="D1391" s="325" t="s">
        <v>20</v>
      </c>
      <c r="E1391" s="326">
        <v>49</v>
      </c>
      <c r="F1391" s="327">
        <v>10657.5</v>
      </c>
      <c r="G1391" s="328"/>
      <c r="H1391" s="160" t="s">
        <v>551</v>
      </c>
      <c r="I1391" s="324" t="s">
        <v>289</v>
      </c>
    </row>
    <row r="1392" spans="1:9" ht="11.1" customHeight="1" outlineLevel="1">
      <c r="A1392" s="325" t="s">
        <v>1067</v>
      </c>
      <c r="B1392" s="325" t="s">
        <v>2844</v>
      </c>
      <c r="C1392" s="325" t="s">
        <v>973</v>
      </c>
      <c r="D1392" s="325" t="s">
        <v>20</v>
      </c>
      <c r="E1392" s="326">
        <v>11</v>
      </c>
      <c r="F1392" s="327">
        <v>17744.990000000002</v>
      </c>
      <c r="G1392" s="328"/>
      <c r="H1392" s="325" t="s">
        <v>973</v>
      </c>
      <c r="I1392" s="324" t="s">
        <v>1105</v>
      </c>
    </row>
    <row r="1393" spans="1:9" ht="11.1" customHeight="1" outlineLevel="1">
      <c r="A1393" s="325" t="s">
        <v>1067</v>
      </c>
      <c r="B1393" s="325" t="s">
        <v>2845</v>
      </c>
      <c r="C1393" s="325" t="s">
        <v>2846</v>
      </c>
      <c r="D1393" s="325" t="s">
        <v>20</v>
      </c>
      <c r="E1393" s="326">
        <v>3</v>
      </c>
      <c r="F1393" s="327">
        <v>3926.19</v>
      </c>
      <c r="G1393" s="328"/>
      <c r="H1393" s="328" t="s">
        <v>2847</v>
      </c>
      <c r="I1393" s="324" t="s">
        <v>1105</v>
      </c>
    </row>
    <row r="1394" spans="1:9" ht="11.1" customHeight="1" outlineLevel="1">
      <c r="A1394" s="325" t="s">
        <v>1067</v>
      </c>
      <c r="B1394" s="325" t="s">
        <v>1832</v>
      </c>
      <c r="C1394" s="325" t="s">
        <v>1833</v>
      </c>
      <c r="D1394" s="325" t="s">
        <v>20</v>
      </c>
      <c r="E1394" s="326">
        <v>2</v>
      </c>
      <c r="F1394" s="327">
        <v>1386</v>
      </c>
      <c r="G1394" s="328"/>
      <c r="H1394" s="160" t="s">
        <v>576</v>
      </c>
      <c r="I1394" s="324" t="s">
        <v>1070</v>
      </c>
    </row>
    <row r="1395" spans="1:9" ht="11.1" customHeight="1" outlineLevel="1">
      <c r="A1395" s="325" t="s">
        <v>1067</v>
      </c>
      <c r="B1395" s="325" t="s">
        <v>2535</v>
      </c>
      <c r="C1395" s="325" t="s">
        <v>2536</v>
      </c>
      <c r="D1395" s="325" t="s">
        <v>20</v>
      </c>
      <c r="E1395" s="326">
        <v>2</v>
      </c>
      <c r="F1395" s="331">
        <v>224</v>
      </c>
      <c r="G1395" s="328"/>
      <c r="H1395" s="160" t="s">
        <v>576</v>
      </c>
      <c r="I1395" s="324" t="s">
        <v>1070</v>
      </c>
    </row>
    <row r="1396" spans="1:9" ht="11.1" customHeight="1" outlineLevel="1">
      <c r="A1396" s="325" t="s">
        <v>1067</v>
      </c>
      <c r="B1396" s="325" t="s">
        <v>2848</v>
      </c>
      <c r="C1396" s="325" t="s">
        <v>2849</v>
      </c>
      <c r="D1396" s="325" t="s">
        <v>20</v>
      </c>
      <c r="E1396" s="326">
        <v>10</v>
      </c>
      <c r="F1396" s="331">
        <v>933.3</v>
      </c>
      <c r="G1396" s="328"/>
      <c r="H1396" s="160" t="s">
        <v>576</v>
      </c>
      <c r="I1396" s="324" t="s">
        <v>1070</v>
      </c>
    </row>
    <row r="1397" spans="1:9" ht="11.1" customHeight="1" outlineLevel="1">
      <c r="A1397" s="325" t="s">
        <v>1067</v>
      </c>
      <c r="B1397" s="325" t="s">
        <v>1836</v>
      </c>
      <c r="C1397" s="325" t="s">
        <v>1837</v>
      </c>
      <c r="D1397" s="325" t="s">
        <v>20</v>
      </c>
      <c r="E1397" s="326">
        <v>18</v>
      </c>
      <c r="F1397" s="327">
        <v>4890.0600000000004</v>
      </c>
      <c r="G1397" s="328"/>
      <c r="H1397" s="325" t="s">
        <v>2850</v>
      </c>
      <c r="I1397" s="324" t="s">
        <v>425</v>
      </c>
    </row>
    <row r="1398" spans="1:9" ht="11.1" customHeight="1" outlineLevel="1">
      <c r="A1398" s="325" t="s">
        <v>1067</v>
      </c>
      <c r="B1398" s="325" t="s">
        <v>2851</v>
      </c>
      <c r="C1398" s="325" t="s">
        <v>2852</v>
      </c>
      <c r="D1398" s="325" t="s">
        <v>20</v>
      </c>
      <c r="E1398" s="326">
        <v>3</v>
      </c>
      <c r="F1398" s="327">
        <v>8430</v>
      </c>
      <c r="G1398" s="328"/>
      <c r="H1398" s="174" t="s">
        <v>2853</v>
      </c>
      <c r="I1398" s="324" t="s">
        <v>425</v>
      </c>
    </row>
    <row r="1399" spans="1:9" ht="11.1" customHeight="1" outlineLevel="1">
      <c r="A1399" s="325" t="s">
        <v>1067</v>
      </c>
      <c r="B1399" s="325" t="s">
        <v>1843</v>
      </c>
      <c r="C1399" s="325" t="s">
        <v>675</v>
      </c>
      <c r="D1399" s="325" t="s">
        <v>20</v>
      </c>
      <c r="E1399" s="326">
        <v>5</v>
      </c>
      <c r="F1399" s="327">
        <v>8747.16</v>
      </c>
      <c r="G1399" s="328"/>
      <c r="H1399" s="174" t="s">
        <v>675</v>
      </c>
      <c r="I1399" s="324" t="s">
        <v>425</v>
      </c>
    </row>
    <row r="1400" spans="1:9" ht="11.1" customHeight="1" outlineLevel="1">
      <c r="A1400" s="325" t="s">
        <v>1067</v>
      </c>
      <c r="B1400" s="325" t="s">
        <v>2854</v>
      </c>
      <c r="C1400" s="325" t="s">
        <v>2855</v>
      </c>
      <c r="D1400" s="325" t="s">
        <v>20</v>
      </c>
      <c r="E1400" s="326">
        <v>4</v>
      </c>
      <c r="F1400" s="327">
        <v>18575</v>
      </c>
      <c r="G1400" s="328"/>
      <c r="H1400" s="174" t="s">
        <v>675</v>
      </c>
      <c r="I1400" s="324" t="s">
        <v>425</v>
      </c>
    </row>
    <row r="1401" spans="1:9" ht="11.1" customHeight="1" outlineLevel="1">
      <c r="A1401" s="325" t="s">
        <v>1067</v>
      </c>
      <c r="B1401" s="325" t="s">
        <v>2856</v>
      </c>
      <c r="C1401" s="325" t="s">
        <v>2857</v>
      </c>
      <c r="D1401" s="325" t="s">
        <v>20</v>
      </c>
      <c r="E1401" s="326">
        <v>13</v>
      </c>
      <c r="F1401" s="327">
        <v>15160.84</v>
      </c>
      <c r="G1401" s="328"/>
      <c r="H1401" s="174" t="s">
        <v>1850</v>
      </c>
      <c r="I1401" s="324" t="s">
        <v>425</v>
      </c>
    </row>
    <row r="1402" spans="1:9" ht="11.1" customHeight="1" outlineLevel="1">
      <c r="A1402" s="325" t="s">
        <v>1067</v>
      </c>
      <c r="B1402" s="325" t="s">
        <v>1848</v>
      </c>
      <c r="C1402" s="325" t="s">
        <v>1849</v>
      </c>
      <c r="D1402" s="325" t="s">
        <v>20</v>
      </c>
      <c r="E1402" s="326">
        <v>8</v>
      </c>
      <c r="F1402" s="327">
        <v>13672</v>
      </c>
      <c r="G1402" s="328"/>
      <c r="H1402" s="174" t="s">
        <v>1850</v>
      </c>
      <c r="I1402" s="324" t="s">
        <v>425</v>
      </c>
    </row>
    <row r="1403" spans="1:9" ht="11.1" customHeight="1" outlineLevel="1">
      <c r="A1403" s="325" t="s">
        <v>1067</v>
      </c>
      <c r="B1403" s="325" t="s">
        <v>2858</v>
      </c>
      <c r="C1403" s="325" t="s">
        <v>2859</v>
      </c>
      <c r="D1403" s="325" t="s">
        <v>20</v>
      </c>
      <c r="E1403" s="326">
        <v>4</v>
      </c>
      <c r="F1403" s="327">
        <v>29868</v>
      </c>
      <c r="G1403" s="328"/>
      <c r="H1403" s="336" t="s">
        <v>2860</v>
      </c>
      <c r="I1403" s="324" t="s">
        <v>425</v>
      </c>
    </row>
    <row r="1404" spans="1:9" ht="11.1" customHeight="1" outlineLevel="1">
      <c r="A1404" s="325" t="s">
        <v>1067</v>
      </c>
      <c r="B1404" s="325" t="s">
        <v>2861</v>
      </c>
      <c r="C1404" s="325" t="s">
        <v>2862</v>
      </c>
      <c r="D1404" s="325" t="s">
        <v>20</v>
      </c>
      <c r="E1404" s="326">
        <v>50</v>
      </c>
      <c r="F1404" s="327">
        <v>41291.5</v>
      </c>
      <c r="G1404" s="328"/>
      <c r="H1404" s="328" t="s">
        <v>2863</v>
      </c>
      <c r="I1404" s="324" t="s">
        <v>1087</v>
      </c>
    </row>
    <row r="1405" spans="1:9" ht="11.1" customHeight="1" outlineLevel="1">
      <c r="A1405" s="325" t="s">
        <v>1067</v>
      </c>
      <c r="B1405" s="325" t="s">
        <v>2864</v>
      </c>
      <c r="C1405" s="325" t="s">
        <v>2865</v>
      </c>
      <c r="D1405" s="325" t="s">
        <v>20</v>
      </c>
      <c r="E1405" s="326">
        <v>6</v>
      </c>
      <c r="F1405" s="327">
        <v>1944</v>
      </c>
      <c r="G1405" s="328"/>
      <c r="H1405" s="160" t="s">
        <v>1853</v>
      </c>
      <c r="I1405" s="324" t="s">
        <v>1105</v>
      </c>
    </row>
    <row r="1406" spans="1:9" ht="11.1" customHeight="1" outlineLevel="1">
      <c r="A1406" s="325" t="s">
        <v>1067</v>
      </c>
      <c r="B1406" s="325" t="s">
        <v>2866</v>
      </c>
      <c r="C1406" s="325" t="s">
        <v>2867</v>
      </c>
      <c r="D1406" s="325" t="s">
        <v>20</v>
      </c>
      <c r="E1406" s="326">
        <v>20</v>
      </c>
      <c r="F1406" s="327">
        <v>6633.33</v>
      </c>
      <c r="G1406" s="328"/>
      <c r="H1406" s="160" t="s">
        <v>1853</v>
      </c>
      <c r="I1406" s="324" t="s">
        <v>1105</v>
      </c>
    </row>
    <row r="1407" spans="1:9" ht="11.1" customHeight="1" outlineLevel="1">
      <c r="A1407" s="325" t="s">
        <v>1067</v>
      </c>
      <c r="B1407" s="325" t="s">
        <v>2868</v>
      </c>
      <c r="C1407" s="325" t="s">
        <v>2869</v>
      </c>
      <c r="D1407" s="325" t="s">
        <v>20</v>
      </c>
      <c r="E1407" s="326">
        <v>40</v>
      </c>
      <c r="F1407" s="331">
        <v>925.2</v>
      </c>
      <c r="G1407" s="328"/>
      <c r="H1407" s="160" t="s">
        <v>1853</v>
      </c>
      <c r="I1407" s="324" t="s">
        <v>1105</v>
      </c>
    </row>
    <row r="1408" spans="1:9" ht="11.1" customHeight="1" outlineLevel="1">
      <c r="A1408" s="325" t="s">
        <v>1067</v>
      </c>
      <c r="B1408" s="325" t="s">
        <v>1861</v>
      </c>
      <c r="C1408" s="325" t="s">
        <v>877</v>
      </c>
      <c r="D1408" s="325" t="s">
        <v>20</v>
      </c>
      <c r="E1408" s="326">
        <v>8</v>
      </c>
      <c r="F1408" s="327">
        <v>1352</v>
      </c>
      <c r="G1408" s="328"/>
      <c r="H1408" s="328" t="s">
        <v>1147</v>
      </c>
      <c r="I1408" s="324" t="s">
        <v>21</v>
      </c>
    </row>
    <row r="1409" spans="1:9" ht="11.1" customHeight="1" outlineLevel="1">
      <c r="A1409" s="325" t="s">
        <v>1067</v>
      </c>
      <c r="B1409" s="325" t="s">
        <v>2870</v>
      </c>
      <c r="C1409" s="325" t="s">
        <v>2871</v>
      </c>
      <c r="D1409" s="325" t="s">
        <v>20</v>
      </c>
      <c r="E1409" s="326">
        <v>21</v>
      </c>
      <c r="F1409" s="327">
        <v>20275.71</v>
      </c>
      <c r="G1409" s="328"/>
      <c r="H1409" s="174" t="s">
        <v>2872</v>
      </c>
      <c r="I1409" s="324" t="s">
        <v>425</v>
      </c>
    </row>
    <row r="1410" spans="1:9" ht="11.1" customHeight="1" outlineLevel="1">
      <c r="A1410" s="325" t="s">
        <v>1067</v>
      </c>
      <c r="B1410" s="325" t="s">
        <v>2873</v>
      </c>
      <c r="C1410" s="325" t="s">
        <v>2874</v>
      </c>
      <c r="D1410" s="325" t="s">
        <v>20</v>
      </c>
      <c r="E1410" s="326">
        <v>4</v>
      </c>
      <c r="F1410" s="331">
        <v>836</v>
      </c>
      <c r="G1410" s="328"/>
      <c r="H1410" s="160" t="s">
        <v>557</v>
      </c>
      <c r="I1410" s="324" t="s">
        <v>1070</v>
      </c>
    </row>
    <row r="1411" spans="1:9" ht="11.1" customHeight="1" outlineLevel="1">
      <c r="A1411" s="325" t="s">
        <v>1067</v>
      </c>
      <c r="B1411" s="325" t="s">
        <v>2542</v>
      </c>
      <c r="C1411" s="325" t="s">
        <v>2543</v>
      </c>
      <c r="D1411" s="325" t="s">
        <v>20</v>
      </c>
      <c r="E1411" s="326">
        <v>16</v>
      </c>
      <c r="F1411" s="327">
        <v>3200</v>
      </c>
      <c r="G1411" s="328"/>
      <c r="H1411" s="160" t="s">
        <v>557</v>
      </c>
      <c r="I1411" s="324" t="s">
        <v>1070</v>
      </c>
    </row>
    <row r="1412" spans="1:9" ht="11.1" customHeight="1" outlineLevel="1">
      <c r="A1412" s="325" t="s">
        <v>1067</v>
      </c>
      <c r="B1412" s="325" t="s">
        <v>2875</v>
      </c>
      <c r="C1412" s="325" t="s">
        <v>2876</v>
      </c>
      <c r="D1412" s="325" t="s">
        <v>20</v>
      </c>
      <c r="E1412" s="326">
        <v>8</v>
      </c>
      <c r="F1412" s="331">
        <v>208</v>
      </c>
      <c r="G1412" s="328"/>
      <c r="H1412" s="160" t="s">
        <v>557</v>
      </c>
      <c r="I1412" s="324" t="s">
        <v>1070</v>
      </c>
    </row>
    <row r="1413" spans="1:9" ht="11.1" customHeight="1" outlineLevel="1">
      <c r="A1413" s="325" t="s">
        <v>1067</v>
      </c>
      <c r="B1413" s="325" t="s">
        <v>2369</v>
      </c>
      <c r="C1413" s="325" t="s">
        <v>2370</v>
      </c>
      <c r="D1413" s="325" t="s">
        <v>20</v>
      </c>
      <c r="E1413" s="326">
        <v>1</v>
      </c>
      <c r="F1413" s="331">
        <v>28</v>
      </c>
      <c r="G1413" s="328"/>
      <c r="H1413" s="160" t="s">
        <v>557</v>
      </c>
      <c r="I1413" s="324" t="s">
        <v>1070</v>
      </c>
    </row>
    <row r="1414" spans="1:9" ht="11.1" customHeight="1" outlineLevel="1">
      <c r="A1414" s="325" t="s">
        <v>1067</v>
      </c>
      <c r="B1414" s="325" t="s">
        <v>1870</v>
      </c>
      <c r="C1414" s="325" t="s">
        <v>1871</v>
      </c>
      <c r="D1414" s="325" t="s">
        <v>20</v>
      </c>
      <c r="E1414" s="326">
        <v>2</v>
      </c>
      <c r="F1414" s="331">
        <v>56</v>
      </c>
      <c r="G1414" s="328"/>
      <c r="H1414" s="160" t="s">
        <v>557</v>
      </c>
      <c r="I1414" s="324" t="s">
        <v>1070</v>
      </c>
    </row>
    <row r="1415" spans="1:9" ht="11.1" customHeight="1" outlineLevel="1">
      <c r="A1415" s="325" t="s">
        <v>1067</v>
      </c>
      <c r="B1415" s="325" t="s">
        <v>1874</v>
      </c>
      <c r="C1415" s="325" t="s">
        <v>1875</v>
      </c>
      <c r="D1415" s="325" t="s">
        <v>20</v>
      </c>
      <c r="E1415" s="326">
        <v>44</v>
      </c>
      <c r="F1415" s="331">
        <v>552.5</v>
      </c>
      <c r="G1415" s="328"/>
      <c r="H1415" s="160" t="s">
        <v>557</v>
      </c>
      <c r="I1415" s="324" t="s">
        <v>1070</v>
      </c>
    </row>
    <row r="1416" spans="1:9" ht="11.1" customHeight="1" outlineLevel="1">
      <c r="A1416" s="325" t="s">
        <v>1067</v>
      </c>
      <c r="B1416" s="325" t="s">
        <v>1878</v>
      </c>
      <c r="C1416" s="325" t="s">
        <v>1879</v>
      </c>
      <c r="D1416" s="325" t="s">
        <v>20</v>
      </c>
      <c r="E1416" s="326">
        <v>21</v>
      </c>
      <c r="F1416" s="327">
        <v>2003.5</v>
      </c>
      <c r="G1416" s="328"/>
      <c r="H1416" s="160" t="s">
        <v>557</v>
      </c>
      <c r="I1416" s="324" t="s">
        <v>1070</v>
      </c>
    </row>
    <row r="1417" spans="1:9" ht="11.1" customHeight="1" outlineLevel="1">
      <c r="A1417" s="325" t="s">
        <v>1067</v>
      </c>
      <c r="B1417" s="325" t="s">
        <v>2877</v>
      </c>
      <c r="C1417" s="325" t="s">
        <v>2878</v>
      </c>
      <c r="D1417" s="325" t="s">
        <v>20</v>
      </c>
      <c r="E1417" s="326">
        <v>7</v>
      </c>
      <c r="F1417" s="331">
        <v>520.72</v>
      </c>
      <c r="G1417" s="328"/>
      <c r="H1417" s="160" t="s">
        <v>557</v>
      </c>
      <c r="I1417" s="324" t="s">
        <v>1070</v>
      </c>
    </row>
    <row r="1418" spans="1:9" ht="11.1" customHeight="1" outlineLevel="1">
      <c r="A1418" s="325" t="s">
        <v>1067</v>
      </c>
      <c r="B1418" s="325" t="s">
        <v>2879</v>
      </c>
      <c r="C1418" s="325" t="s">
        <v>2880</v>
      </c>
      <c r="D1418" s="325" t="s">
        <v>517</v>
      </c>
      <c r="E1418" s="326">
        <v>13.175000000000001</v>
      </c>
      <c r="F1418" s="327">
        <v>422748.56</v>
      </c>
      <c r="G1418" s="328"/>
      <c r="H1418" s="160" t="s">
        <v>535</v>
      </c>
      <c r="I1418" s="324" t="s">
        <v>1087</v>
      </c>
    </row>
    <row r="1419" spans="1:9" ht="11.1" customHeight="1" outlineLevel="1">
      <c r="A1419" s="325" t="s">
        <v>1067</v>
      </c>
      <c r="B1419" s="325" t="s">
        <v>2881</v>
      </c>
      <c r="C1419" s="325" t="s">
        <v>2882</v>
      </c>
      <c r="D1419" s="325" t="s">
        <v>517</v>
      </c>
      <c r="E1419" s="326">
        <v>0.30499999999999999</v>
      </c>
      <c r="F1419" s="327">
        <v>9644.66</v>
      </c>
      <c r="G1419" s="328"/>
      <c r="H1419" s="160" t="s">
        <v>535</v>
      </c>
      <c r="I1419" s="324" t="s">
        <v>1087</v>
      </c>
    </row>
    <row r="1420" spans="1:9" ht="11.1" customHeight="1" outlineLevel="1">
      <c r="A1420" s="325" t="s">
        <v>1067</v>
      </c>
      <c r="B1420" s="325" t="s">
        <v>2883</v>
      </c>
      <c r="C1420" s="325" t="s">
        <v>860</v>
      </c>
      <c r="D1420" s="325" t="s">
        <v>517</v>
      </c>
      <c r="E1420" s="326">
        <v>2.8570000000000002</v>
      </c>
      <c r="F1420" s="327">
        <v>90330.48</v>
      </c>
      <c r="G1420" s="328"/>
      <c r="H1420" s="160" t="s">
        <v>535</v>
      </c>
      <c r="I1420" s="324" t="s">
        <v>1087</v>
      </c>
    </row>
    <row r="1421" spans="1:9" ht="11.1" customHeight="1" outlineLevel="1">
      <c r="A1421" s="325" t="s">
        <v>1067</v>
      </c>
      <c r="B1421" s="325" t="s">
        <v>2884</v>
      </c>
      <c r="C1421" s="325" t="s">
        <v>2885</v>
      </c>
      <c r="D1421" s="325" t="s">
        <v>517</v>
      </c>
      <c r="E1421" s="326">
        <v>0.11799999999999999</v>
      </c>
      <c r="F1421" s="327">
        <v>3730.84</v>
      </c>
      <c r="G1421" s="328"/>
      <c r="H1421" s="160" t="s">
        <v>535</v>
      </c>
      <c r="I1421" s="324" t="s">
        <v>1087</v>
      </c>
    </row>
    <row r="1422" spans="1:9" ht="11.1" customHeight="1" outlineLevel="1">
      <c r="A1422" s="325" t="s">
        <v>1067</v>
      </c>
      <c r="B1422" s="325" t="s">
        <v>1887</v>
      </c>
      <c r="C1422" s="325" t="s">
        <v>1888</v>
      </c>
      <c r="D1422" s="325" t="s">
        <v>517</v>
      </c>
      <c r="E1422" s="326">
        <v>11.358000000000001</v>
      </c>
      <c r="F1422" s="327">
        <v>359108.73</v>
      </c>
      <c r="G1422" s="328"/>
      <c r="H1422" s="160" t="s">
        <v>535</v>
      </c>
      <c r="I1422" s="324" t="s">
        <v>1087</v>
      </c>
    </row>
    <row r="1423" spans="1:9" ht="11.1" customHeight="1" outlineLevel="1">
      <c r="A1423" s="325" t="s">
        <v>1067</v>
      </c>
      <c r="B1423" s="325" t="s">
        <v>2886</v>
      </c>
      <c r="C1423" s="325" t="s">
        <v>2887</v>
      </c>
      <c r="D1423" s="325" t="s">
        <v>1115</v>
      </c>
      <c r="E1423" s="326">
        <v>8.2000000000000003E-2</v>
      </c>
      <c r="F1423" s="327">
        <v>2592.61</v>
      </c>
      <c r="G1423" s="328"/>
      <c r="H1423" s="160" t="s">
        <v>535</v>
      </c>
      <c r="I1423" s="324" t="s">
        <v>1087</v>
      </c>
    </row>
    <row r="1424" spans="1:9" ht="11.1" customHeight="1" outlineLevel="1">
      <c r="A1424" s="325" t="s">
        <v>1067</v>
      </c>
      <c r="B1424" s="325" t="s">
        <v>2888</v>
      </c>
      <c r="C1424" s="325" t="s">
        <v>2889</v>
      </c>
      <c r="D1424" s="325" t="s">
        <v>20</v>
      </c>
      <c r="E1424" s="326">
        <v>16</v>
      </c>
      <c r="F1424" s="327">
        <v>4673.18</v>
      </c>
      <c r="G1424" s="328"/>
      <c r="H1424" s="160" t="s">
        <v>1895</v>
      </c>
      <c r="I1424" s="324" t="s">
        <v>1105</v>
      </c>
    </row>
    <row r="1425" spans="1:9" ht="11.1" customHeight="1" outlineLevel="1">
      <c r="A1425" s="325" t="s">
        <v>1067</v>
      </c>
      <c r="B1425" s="325" t="s">
        <v>2890</v>
      </c>
      <c r="C1425" s="325" t="s">
        <v>2891</v>
      </c>
      <c r="D1425" s="325" t="s">
        <v>517</v>
      </c>
      <c r="E1425" s="326">
        <v>6.6000000000000003E-2</v>
      </c>
      <c r="F1425" s="327">
        <v>2158.6999999999998</v>
      </c>
      <c r="G1425" s="328"/>
      <c r="H1425" s="328" t="s">
        <v>2892</v>
      </c>
      <c r="I1425" s="324" t="s">
        <v>1087</v>
      </c>
    </row>
    <row r="1426" spans="1:9" ht="11.1" customHeight="1" outlineLevel="1">
      <c r="A1426" s="325" t="s">
        <v>1067</v>
      </c>
      <c r="B1426" s="325" t="s">
        <v>2893</v>
      </c>
      <c r="C1426" s="325" t="s">
        <v>2894</v>
      </c>
      <c r="D1426" s="325" t="s">
        <v>20</v>
      </c>
      <c r="E1426" s="326">
        <v>2</v>
      </c>
      <c r="F1426" s="331">
        <v>294</v>
      </c>
      <c r="G1426" s="328"/>
      <c r="H1426" s="160" t="s">
        <v>573</v>
      </c>
      <c r="I1426" s="324" t="s">
        <v>1070</v>
      </c>
    </row>
    <row r="1427" spans="1:9" ht="11.1" customHeight="1" outlineLevel="1">
      <c r="A1427" s="325" t="s">
        <v>1067</v>
      </c>
      <c r="B1427" s="325" t="s">
        <v>2895</v>
      </c>
      <c r="C1427" s="325" t="s">
        <v>2896</v>
      </c>
      <c r="D1427" s="325" t="s">
        <v>20</v>
      </c>
      <c r="E1427" s="326">
        <v>1</v>
      </c>
      <c r="F1427" s="331">
        <v>280</v>
      </c>
      <c r="G1427" s="328"/>
      <c r="H1427" s="160" t="s">
        <v>573</v>
      </c>
      <c r="I1427" s="324" t="s">
        <v>1070</v>
      </c>
    </row>
    <row r="1428" spans="1:9" ht="11.1" customHeight="1" outlineLevel="1">
      <c r="A1428" s="325" t="s">
        <v>1067</v>
      </c>
      <c r="B1428" s="325" t="s">
        <v>2897</v>
      </c>
      <c r="C1428" s="325" t="s">
        <v>2898</v>
      </c>
      <c r="D1428" s="325" t="s">
        <v>20</v>
      </c>
      <c r="E1428" s="326">
        <v>6</v>
      </c>
      <c r="F1428" s="327">
        <v>1734</v>
      </c>
      <c r="G1428" s="328"/>
      <c r="H1428" s="160" t="s">
        <v>573</v>
      </c>
      <c r="I1428" s="324" t="s">
        <v>1070</v>
      </c>
    </row>
    <row r="1429" spans="1:9" ht="11.1" customHeight="1" outlineLevel="1">
      <c r="A1429" s="325" t="s">
        <v>1067</v>
      </c>
      <c r="B1429" s="325" t="s">
        <v>2899</v>
      </c>
      <c r="C1429" s="325" t="s">
        <v>2900</v>
      </c>
      <c r="D1429" s="325" t="s">
        <v>20</v>
      </c>
      <c r="E1429" s="326">
        <v>12</v>
      </c>
      <c r="F1429" s="327">
        <v>7260</v>
      </c>
      <c r="G1429" s="328"/>
      <c r="H1429" s="160" t="s">
        <v>573</v>
      </c>
      <c r="I1429" s="324" t="s">
        <v>1070</v>
      </c>
    </row>
    <row r="1430" spans="1:9" ht="11.1" customHeight="1" outlineLevel="1">
      <c r="A1430" s="325" t="s">
        <v>1067</v>
      </c>
      <c r="B1430" s="325" t="s">
        <v>2901</v>
      </c>
      <c r="C1430" s="325" t="s">
        <v>2902</v>
      </c>
      <c r="D1430" s="325" t="s">
        <v>20</v>
      </c>
      <c r="E1430" s="326">
        <v>4</v>
      </c>
      <c r="F1430" s="331">
        <v>112</v>
      </c>
      <c r="G1430" s="328"/>
      <c r="H1430" s="160" t="s">
        <v>573</v>
      </c>
      <c r="I1430" s="324" t="s">
        <v>1070</v>
      </c>
    </row>
    <row r="1431" spans="1:9" ht="11.1" customHeight="1" outlineLevel="1">
      <c r="A1431" s="325" t="s">
        <v>1067</v>
      </c>
      <c r="B1431" s="325" t="s">
        <v>2551</v>
      </c>
      <c r="C1431" s="325" t="s">
        <v>2552</v>
      </c>
      <c r="D1431" s="325" t="s">
        <v>20</v>
      </c>
      <c r="E1431" s="326">
        <v>5</v>
      </c>
      <c r="F1431" s="331">
        <v>310</v>
      </c>
      <c r="G1431" s="328"/>
      <c r="H1431" s="160" t="s">
        <v>573</v>
      </c>
      <c r="I1431" s="324" t="s">
        <v>1070</v>
      </c>
    </row>
    <row r="1432" spans="1:9" ht="11.1" customHeight="1" outlineLevel="1">
      <c r="A1432" s="325" t="s">
        <v>1067</v>
      </c>
      <c r="B1432" s="325" t="s">
        <v>2553</v>
      </c>
      <c r="C1432" s="325" t="s">
        <v>2554</v>
      </c>
      <c r="D1432" s="325" t="s">
        <v>20</v>
      </c>
      <c r="E1432" s="326">
        <v>6</v>
      </c>
      <c r="F1432" s="331">
        <v>222</v>
      </c>
      <c r="G1432" s="328"/>
      <c r="H1432" s="160" t="s">
        <v>573</v>
      </c>
      <c r="I1432" s="324" t="s">
        <v>1070</v>
      </c>
    </row>
    <row r="1433" spans="1:9" ht="11.1" customHeight="1" outlineLevel="1">
      <c r="A1433" s="325" t="s">
        <v>1067</v>
      </c>
      <c r="B1433" s="325" t="s">
        <v>1907</v>
      </c>
      <c r="C1433" s="325" t="s">
        <v>1908</v>
      </c>
      <c r="D1433" s="325" t="s">
        <v>295</v>
      </c>
      <c r="E1433" s="335">
        <v>1200</v>
      </c>
      <c r="F1433" s="327">
        <v>9984</v>
      </c>
      <c r="G1433" s="328"/>
      <c r="H1433" s="328" t="s">
        <v>1906</v>
      </c>
      <c r="I1433" s="324" t="s">
        <v>289</v>
      </c>
    </row>
    <row r="1434" spans="1:9" ht="11.1" customHeight="1" outlineLevel="1">
      <c r="A1434" s="325" t="s">
        <v>1067</v>
      </c>
      <c r="B1434" s="325" t="s">
        <v>1911</v>
      </c>
      <c r="C1434" s="325" t="s">
        <v>1912</v>
      </c>
      <c r="D1434" s="325" t="s">
        <v>1519</v>
      </c>
      <c r="E1434" s="326">
        <v>30</v>
      </c>
      <c r="F1434" s="331">
        <v>567</v>
      </c>
      <c r="G1434" s="328"/>
      <c r="H1434" s="328" t="s">
        <v>1906</v>
      </c>
      <c r="I1434" s="324" t="s">
        <v>1070</v>
      </c>
    </row>
    <row r="1435" spans="1:9" ht="11.1" customHeight="1" outlineLevel="1">
      <c r="A1435" s="325" t="s">
        <v>1067</v>
      </c>
      <c r="B1435" s="325" t="s">
        <v>2903</v>
      </c>
      <c r="C1435" s="325" t="s">
        <v>2904</v>
      </c>
      <c r="D1435" s="325" t="s">
        <v>295</v>
      </c>
      <c r="E1435" s="326">
        <v>48</v>
      </c>
      <c r="F1435" s="327">
        <v>4896</v>
      </c>
      <c r="G1435" s="328"/>
      <c r="H1435" s="328" t="s">
        <v>1906</v>
      </c>
      <c r="I1435" s="324" t="s">
        <v>1070</v>
      </c>
    </row>
    <row r="1436" spans="1:9" ht="11.1" customHeight="1" outlineLevel="1">
      <c r="A1436" s="325" t="s">
        <v>1067</v>
      </c>
      <c r="B1436" s="325" t="s">
        <v>2905</v>
      </c>
      <c r="C1436" s="325" t="s">
        <v>2906</v>
      </c>
      <c r="D1436" s="325" t="s">
        <v>20</v>
      </c>
      <c r="E1436" s="326">
        <v>2</v>
      </c>
      <c r="F1436" s="331">
        <v>142</v>
      </c>
      <c r="G1436" s="328"/>
      <c r="H1436" s="328" t="s">
        <v>1906</v>
      </c>
      <c r="I1436" s="324" t="s">
        <v>1070</v>
      </c>
    </row>
    <row r="1437" spans="1:9" ht="11.1" customHeight="1" outlineLevel="1">
      <c r="A1437" s="325" t="s">
        <v>1067</v>
      </c>
      <c r="B1437" s="325" t="s">
        <v>2907</v>
      </c>
      <c r="C1437" s="325" t="s">
        <v>2908</v>
      </c>
      <c r="D1437" s="325" t="s">
        <v>20</v>
      </c>
      <c r="E1437" s="326">
        <v>10</v>
      </c>
      <c r="F1437" s="327">
        <v>1150</v>
      </c>
      <c r="G1437" s="328"/>
      <c r="H1437" s="328" t="s">
        <v>1906</v>
      </c>
      <c r="I1437" s="324" t="s">
        <v>1070</v>
      </c>
    </row>
    <row r="1438" spans="1:9" ht="11.1" customHeight="1" outlineLevel="1">
      <c r="A1438" s="325" t="s">
        <v>1067</v>
      </c>
      <c r="B1438" s="325" t="s">
        <v>2909</v>
      </c>
      <c r="C1438" s="325" t="s">
        <v>2910</v>
      </c>
      <c r="D1438" s="325" t="s">
        <v>20</v>
      </c>
      <c r="E1438" s="326">
        <v>10</v>
      </c>
      <c r="F1438" s="331">
        <v>440</v>
      </c>
      <c r="G1438" s="328"/>
      <c r="H1438" s="328" t="s">
        <v>1906</v>
      </c>
      <c r="I1438" s="324" t="s">
        <v>1070</v>
      </c>
    </row>
    <row r="1439" spans="1:9" ht="11.1" customHeight="1" outlineLevel="1">
      <c r="A1439" s="325" t="s">
        <v>1067</v>
      </c>
      <c r="B1439" s="325" t="s">
        <v>1913</v>
      </c>
      <c r="C1439" s="325" t="s">
        <v>1914</v>
      </c>
      <c r="D1439" s="325" t="s">
        <v>20</v>
      </c>
      <c r="E1439" s="326">
        <v>4</v>
      </c>
      <c r="F1439" s="331">
        <v>248</v>
      </c>
      <c r="G1439" s="328"/>
      <c r="H1439" s="328" t="s">
        <v>1906</v>
      </c>
      <c r="I1439" s="324" t="s">
        <v>1070</v>
      </c>
    </row>
    <row r="1440" spans="1:9" ht="11.1" customHeight="1" outlineLevel="1">
      <c r="A1440" s="325" t="s">
        <v>1067</v>
      </c>
      <c r="B1440" s="325" t="s">
        <v>1917</v>
      </c>
      <c r="C1440" s="325" t="s">
        <v>1918</v>
      </c>
      <c r="D1440" s="325" t="s">
        <v>295</v>
      </c>
      <c r="E1440" s="326">
        <v>72</v>
      </c>
      <c r="F1440" s="327">
        <v>5976</v>
      </c>
      <c r="G1440" s="328"/>
      <c r="H1440" s="328" t="s">
        <v>1906</v>
      </c>
      <c r="I1440" s="324" t="s">
        <v>1070</v>
      </c>
    </row>
    <row r="1441" spans="1:9" ht="11.1" customHeight="1" outlineLevel="1">
      <c r="A1441" s="325" t="s">
        <v>1067</v>
      </c>
      <c r="B1441" s="325" t="s">
        <v>2911</v>
      </c>
      <c r="C1441" s="325" t="s">
        <v>2912</v>
      </c>
      <c r="D1441" s="325" t="s">
        <v>20</v>
      </c>
      <c r="E1441" s="326">
        <v>2</v>
      </c>
      <c r="F1441" s="327">
        <v>3040</v>
      </c>
      <c r="G1441" s="328"/>
      <c r="H1441" s="336" t="s">
        <v>2913</v>
      </c>
      <c r="I1441" s="324" t="s">
        <v>425</v>
      </c>
    </row>
    <row r="1442" spans="1:9" ht="11.1" customHeight="1" outlineLevel="1">
      <c r="A1442" s="325" t="s">
        <v>1067</v>
      </c>
      <c r="B1442" s="325" t="s">
        <v>1923</v>
      </c>
      <c r="C1442" s="325" t="s">
        <v>656</v>
      </c>
      <c r="D1442" s="325" t="s">
        <v>20</v>
      </c>
      <c r="E1442" s="326">
        <v>6</v>
      </c>
      <c r="F1442" s="327">
        <v>6105</v>
      </c>
      <c r="G1442" s="328"/>
      <c r="H1442" s="325" t="s">
        <v>656</v>
      </c>
      <c r="I1442" s="324" t="s">
        <v>1070</v>
      </c>
    </row>
    <row r="1443" spans="1:9" ht="11.1" customHeight="1" outlineLevel="1">
      <c r="A1443" s="325" t="s">
        <v>1067</v>
      </c>
      <c r="B1443" s="325" t="s">
        <v>1926</v>
      </c>
      <c r="C1443" s="325" t="s">
        <v>1927</v>
      </c>
      <c r="D1443" s="325" t="s">
        <v>20</v>
      </c>
      <c r="E1443" s="335">
        <v>6000</v>
      </c>
      <c r="F1443" s="327">
        <v>4236.54</v>
      </c>
      <c r="G1443" s="328"/>
      <c r="H1443" s="160" t="s">
        <v>1561</v>
      </c>
      <c r="I1443" s="324" t="s">
        <v>1307</v>
      </c>
    </row>
    <row r="1444" spans="1:9" ht="11.1" customHeight="1" outlineLevel="1">
      <c r="A1444" s="325" t="s">
        <v>1067</v>
      </c>
      <c r="B1444" s="325" t="s">
        <v>1930</v>
      </c>
      <c r="C1444" s="325" t="s">
        <v>1931</v>
      </c>
      <c r="D1444" s="325" t="s">
        <v>20</v>
      </c>
      <c r="E1444" s="326">
        <v>6</v>
      </c>
      <c r="F1444" s="327">
        <v>21918</v>
      </c>
      <c r="G1444" s="328"/>
      <c r="H1444" s="328" t="s">
        <v>1932</v>
      </c>
      <c r="I1444" s="324" t="s">
        <v>1070</v>
      </c>
    </row>
    <row r="1445" spans="1:9" ht="11.1" customHeight="1" outlineLevel="1">
      <c r="A1445" s="325" t="s">
        <v>1067</v>
      </c>
      <c r="B1445" s="325" t="s">
        <v>1944</v>
      </c>
      <c r="C1445" s="325" t="s">
        <v>1945</v>
      </c>
      <c r="D1445" s="325" t="s">
        <v>20</v>
      </c>
      <c r="E1445" s="326">
        <v>6</v>
      </c>
      <c r="F1445" s="331">
        <v>762</v>
      </c>
      <c r="G1445" s="328"/>
      <c r="H1445" s="328" t="s">
        <v>1946</v>
      </c>
      <c r="I1445" s="324" t="s">
        <v>1070</v>
      </c>
    </row>
    <row r="1446" spans="1:9" ht="11.1" customHeight="1" outlineLevel="1">
      <c r="A1446" s="325" t="s">
        <v>1067</v>
      </c>
      <c r="B1446" s="325" t="s">
        <v>2559</v>
      </c>
      <c r="C1446" s="325" t="s">
        <v>2560</v>
      </c>
      <c r="D1446" s="325" t="s">
        <v>20</v>
      </c>
      <c r="E1446" s="326">
        <v>4</v>
      </c>
      <c r="F1446" s="331">
        <v>140</v>
      </c>
      <c r="G1446" s="328"/>
      <c r="H1446" s="328" t="s">
        <v>1946</v>
      </c>
      <c r="I1446" s="324" t="s">
        <v>1070</v>
      </c>
    </row>
    <row r="1447" spans="1:9" ht="11.1" customHeight="1" outlineLevel="1">
      <c r="A1447" s="325" t="s">
        <v>1067</v>
      </c>
      <c r="B1447" s="325" t="s">
        <v>2914</v>
      </c>
      <c r="C1447" s="325" t="s">
        <v>2915</v>
      </c>
      <c r="D1447" s="325" t="s">
        <v>20</v>
      </c>
      <c r="E1447" s="326">
        <v>20</v>
      </c>
      <c r="F1447" s="331">
        <v>800</v>
      </c>
      <c r="G1447" s="328"/>
      <c r="H1447" s="328" t="s">
        <v>657</v>
      </c>
      <c r="I1447" s="324" t="s">
        <v>1070</v>
      </c>
    </row>
    <row r="1448" spans="1:9" ht="11.1" customHeight="1" outlineLevel="1">
      <c r="A1448" s="325" t="s">
        <v>1067</v>
      </c>
      <c r="B1448" s="325" t="s">
        <v>2916</v>
      </c>
      <c r="C1448" s="325" t="s">
        <v>2917</v>
      </c>
      <c r="D1448" s="325" t="s">
        <v>20</v>
      </c>
      <c r="E1448" s="326">
        <v>67</v>
      </c>
      <c r="F1448" s="327">
        <v>2493</v>
      </c>
      <c r="G1448" s="328"/>
      <c r="H1448" s="328" t="s">
        <v>657</v>
      </c>
      <c r="I1448" s="324" t="s">
        <v>1070</v>
      </c>
    </row>
    <row r="1449" spans="1:9" ht="11.1" customHeight="1" outlineLevel="1">
      <c r="A1449" s="325" t="s">
        <v>1067</v>
      </c>
      <c r="B1449" s="325" t="s">
        <v>2918</v>
      </c>
      <c r="C1449" s="325" t="s">
        <v>2919</v>
      </c>
      <c r="D1449" s="325" t="s">
        <v>20</v>
      </c>
      <c r="E1449" s="326">
        <v>14</v>
      </c>
      <c r="F1449" s="327">
        <v>1120</v>
      </c>
      <c r="G1449" s="328"/>
      <c r="H1449" s="328" t="s">
        <v>657</v>
      </c>
      <c r="I1449" s="324" t="s">
        <v>1070</v>
      </c>
    </row>
    <row r="1450" spans="1:9" ht="11.1" customHeight="1" outlineLevel="1">
      <c r="A1450" s="325" t="s">
        <v>1067</v>
      </c>
      <c r="B1450" s="325" t="s">
        <v>2920</v>
      </c>
      <c r="C1450" s="325" t="s">
        <v>2921</v>
      </c>
      <c r="D1450" s="325" t="s">
        <v>20</v>
      </c>
      <c r="E1450" s="326">
        <v>2</v>
      </c>
      <c r="F1450" s="331">
        <v>536</v>
      </c>
      <c r="G1450" s="328"/>
      <c r="H1450" s="160" t="s">
        <v>1961</v>
      </c>
      <c r="I1450" s="324" t="s">
        <v>1070</v>
      </c>
    </row>
    <row r="1451" spans="1:9" ht="11.1" customHeight="1" outlineLevel="1">
      <c r="A1451" s="325" t="s">
        <v>1067</v>
      </c>
      <c r="B1451" s="325" t="s">
        <v>2922</v>
      </c>
      <c r="C1451" s="325" t="s">
        <v>2923</v>
      </c>
      <c r="D1451" s="325" t="s">
        <v>20</v>
      </c>
      <c r="E1451" s="326">
        <v>2</v>
      </c>
      <c r="F1451" s="331">
        <v>536</v>
      </c>
      <c r="G1451" s="328"/>
      <c r="H1451" s="160" t="s">
        <v>1961</v>
      </c>
      <c r="I1451" s="324" t="s">
        <v>1070</v>
      </c>
    </row>
    <row r="1452" spans="1:9" ht="11.1" customHeight="1" outlineLevel="1">
      <c r="A1452" s="325" t="s">
        <v>1067</v>
      </c>
      <c r="B1452" s="325" t="s">
        <v>2924</v>
      </c>
      <c r="C1452" s="325" t="s">
        <v>2925</v>
      </c>
      <c r="D1452" s="325" t="s">
        <v>20</v>
      </c>
      <c r="E1452" s="326">
        <v>47</v>
      </c>
      <c r="F1452" s="327">
        <v>293750</v>
      </c>
      <c r="G1452" s="328"/>
      <c r="H1452" s="328" t="s">
        <v>2926</v>
      </c>
      <c r="I1452" s="324" t="s">
        <v>1307</v>
      </c>
    </row>
    <row r="1453" spans="1:9" ht="11.1" customHeight="1" outlineLevel="1">
      <c r="A1453" s="325" t="s">
        <v>1067</v>
      </c>
      <c r="B1453" s="325" t="s">
        <v>2927</v>
      </c>
      <c r="C1453" s="325" t="s">
        <v>2925</v>
      </c>
      <c r="D1453" s="325" t="s">
        <v>20</v>
      </c>
      <c r="E1453" s="326">
        <v>63</v>
      </c>
      <c r="F1453" s="327">
        <v>393750</v>
      </c>
      <c r="G1453" s="328"/>
      <c r="H1453" s="328" t="s">
        <v>2926</v>
      </c>
      <c r="I1453" s="324" t="s">
        <v>1307</v>
      </c>
    </row>
    <row r="1454" spans="1:9" ht="11.1" customHeight="1" outlineLevel="1">
      <c r="A1454" s="325" t="s">
        <v>1067</v>
      </c>
      <c r="B1454" s="325" t="s">
        <v>2928</v>
      </c>
      <c r="C1454" s="325" t="s">
        <v>2929</v>
      </c>
      <c r="D1454" s="325" t="s">
        <v>20</v>
      </c>
      <c r="E1454" s="326">
        <v>9</v>
      </c>
      <c r="F1454" s="327">
        <v>38385</v>
      </c>
      <c r="G1454" s="328"/>
      <c r="H1454" s="174" t="s">
        <v>562</v>
      </c>
      <c r="I1454" s="324" t="s">
        <v>425</v>
      </c>
    </row>
    <row r="1455" spans="1:9" ht="11.1" customHeight="1" outlineLevel="1">
      <c r="A1455" s="325" t="s">
        <v>1067</v>
      </c>
      <c r="B1455" s="325" t="s">
        <v>2930</v>
      </c>
      <c r="C1455" s="325" t="s">
        <v>2931</v>
      </c>
      <c r="D1455" s="325" t="s">
        <v>20</v>
      </c>
      <c r="E1455" s="326">
        <v>6</v>
      </c>
      <c r="F1455" s="327">
        <v>55290</v>
      </c>
      <c r="G1455" s="328"/>
      <c r="H1455" s="328" t="s">
        <v>2932</v>
      </c>
      <c r="I1455" s="324" t="s">
        <v>425</v>
      </c>
    </row>
    <row r="1456" spans="1:9" ht="11.1" customHeight="1" outlineLevel="1">
      <c r="A1456" s="325" t="s">
        <v>1067</v>
      </c>
      <c r="B1456" s="325" t="s">
        <v>1990</v>
      </c>
      <c r="C1456" s="325" t="s">
        <v>1991</v>
      </c>
      <c r="D1456" s="325" t="s">
        <v>20</v>
      </c>
      <c r="E1456" s="326">
        <v>16</v>
      </c>
      <c r="F1456" s="331">
        <v>577.29999999999995</v>
      </c>
      <c r="G1456" s="328"/>
      <c r="H1456" s="160" t="s">
        <v>1992</v>
      </c>
      <c r="I1456" s="324" t="s">
        <v>289</v>
      </c>
    </row>
    <row r="1457" spans="1:9" ht="11.1" customHeight="1" outlineLevel="1">
      <c r="A1457" s="325" t="s">
        <v>1067</v>
      </c>
      <c r="B1457" s="325" t="s">
        <v>2933</v>
      </c>
      <c r="C1457" s="325" t="s">
        <v>2934</v>
      </c>
      <c r="D1457" s="325" t="s">
        <v>20</v>
      </c>
      <c r="E1457" s="326">
        <v>24</v>
      </c>
      <c r="F1457" s="331">
        <v>865.92</v>
      </c>
      <c r="G1457" s="328"/>
      <c r="H1457" s="160" t="s">
        <v>1992</v>
      </c>
      <c r="I1457" s="324" t="s">
        <v>289</v>
      </c>
    </row>
    <row r="1458" spans="1:9" ht="11.1" customHeight="1" outlineLevel="1">
      <c r="A1458" s="325" t="s">
        <v>1067</v>
      </c>
      <c r="B1458" s="325" t="s">
        <v>2935</v>
      </c>
      <c r="C1458" s="325" t="s">
        <v>2936</v>
      </c>
      <c r="D1458" s="325" t="s">
        <v>20</v>
      </c>
      <c r="E1458" s="326">
        <v>4</v>
      </c>
      <c r="F1458" s="327">
        <v>1364</v>
      </c>
      <c r="G1458" s="328"/>
      <c r="H1458" s="160" t="s">
        <v>1050</v>
      </c>
      <c r="I1458" s="324" t="s">
        <v>1070</v>
      </c>
    </row>
    <row r="1459" spans="1:9" ht="11.1" customHeight="1" outlineLevel="1">
      <c r="A1459" s="325" t="s">
        <v>1067</v>
      </c>
      <c r="B1459" s="325" t="s">
        <v>2937</v>
      </c>
      <c r="C1459" s="325" t="s">
        <v>2938</v>
      </c>
      <c r="D1459" s="325" t="s">
        <v>20</v>
      </c>
      <c r="E1459" s="326">
        <v>4</v>
      </c>
      <c r="F1459" s="327">
        <v>1572</v>
      </c>
      <c r="G1459" s="328"/>
      <c r="H1459" s="160" t="s">
        <v>1050</v>
      </c>
      <c r="I1459" s="324" t="s">
        <v>1070</v>
      </c>
    </row>
    <row r="1460" spans="1:9" ht="11.1" customHeight="1" outlineLevel="1">
      <c r="A1460" s="325" t="s">
        <v>1067</v>
      </c>
      <c r="B1460" s="325" t="s">
        <v>2939</v>
      </c>
      <c r="C1460" s="325" t="s">
        <v>2940</v>
      </c>
      <c r="D1460" s="325" t="s">
        <v>20</v>
      </c>
      <c r="E1460" s="326">
        <v>2</v>
      </c>
      <c r="F1460" s="331">
        <v>804</v>
      </c>
      <c r="G1460" s="328"/>
      <c r="H1460" s="160" t="s">
        <v>1050</v>
      </c>
      <c r="I1460" s="324" t="s">
        <v>1070</v>
      </c>
    </row>
    <row r="1461" spans="1:9" ht="11.1" customHeight="1" outlineLevel="1">
      <c r="A1461" s="325" t="s">
        <v>1067</v>
      </c>
      <c r="B1461" s="325" t="s">
        <v>2941</v>
      </c>
      <c r="C1461" s="325" t="s">
        <v>2942</v>
      </c>
      <c r="D1461" s="325" t="s">
        <v>20</v>
      </c>
      <c r="E1461" s="326">
        <v>5</v>
      </c>
      <c r="F1461" s="327">
        <v>1898</v>
      </c>
      <c r="G1461" s="328"/>
      <c r="H1461" s="160" t="s">
        <v>1050</v>
      </c>
      <c r="I1461" s="324" t="s">
        <v>1070</v>
      </c>
    </row>
    <row r="1462" spans="1:9" ht="11.1" customHeight="1" outlineLevel="1">
      <c r="A1462" s="325" t="s">
        <v>1067</v>
      </c>
      <c r="B1462" s="325" t="s">
        <v>2943</v>
      </c>
      <c r="C1462" s="325" t="s">
        <v>2944</v>
      </c>
      <c r="D1462" s="325" t="s">
        <v>20</v>
      </c>
      <c r="E1462" s="326">
        <v>1</v>
      </c>
      <c r="F1462" s="331">
        <v>121</v>
      </c>
      <c r="G1462" s="328"/>
      <c r="H1462" s="328" t="s">
        <v>2945</v>
      </c>
      <c r="I1462" s="324" t="s">
        <v>1307</v>
      </c>
    </row>
    <row r="1463" spans="1:9" ht="11.1" customHeight="1" outlineLevel="1">
      <c r="A1463" s="325" t="s">
        <v>1067</v>
      </c>
      <c r="B1463" s="325" t="s">
        <v>2946</v>
      </c>
      <c r="C1463" s="325" t="s">
        <v>2947</v>
      </c>
      <c r="D1463" s="325" t="s">
        <v>20</v>
      </c>
      <c r="E1463" s="326">
        <v>4</v>
      </c>
      <c r="F1463" s="331">
        <v>320</v>
      </c>
      <c r="G1463" s="328"/>
      <c r="H1463" s="328" t="s">
        <v>2945</v>
      </c>
      <c r="I1463" s="324" t="s">
        <v>1307</v>
      </c>
    </row>
    <row r="1464" spans="1:9" ht="11.1" customHeight="1" outlineLevel="1">
      <c r="A1464" s="325" t="s">
        <v>1067</v>
      </c>
      <c r="B1464" s="325" t="s">
        <v>2948</v>
      </c>
      <c r="C1464" s="325" t="s">
        <v>2949</v>
      </c>
      <c r="D1464" s="325" t="s">
        <v>20</v>
      </c>
      <c r="E1464" s="335">
        <v>9400</v>
      </c>
      <c r="F1464" s="327">
        <v>1571.52</v>
      </c>
      <c r="G1464" s="328"/>
      <c r="H1464" s="160" t="s">
        <v>1561</v>
      </c>
      <c r="I1464" s="324" t="s">
        <v>1105</v>
      </c>
    </row>
    <row r="1465" spans="1:9" ht="11.1" customHeight="1" outlineLevel="1">
      <c r="A1465" s="325" t="s">
        <v>1067</v>
      </c>
      <c r="B1465" s="325" t="s">
        <v>2004</v>
      </c>
      <c r="C1465" s="325" t="s">
        <v>2005</v>
      </c>
      <c r="D1465" s="325" t="s">
        <v>20</v>
      </c>
      <c r="E1465" s="335">
        <v>11000</v>
      </c>
      <c r="F1465" s="327">
        <v>4851</v>
      </c>
      <c r="G1465" s="328"/>
      <c r="H1465" s="160" t="s">
        <v>1561</v>
      </c>
      <c r="I1465" s="324" t="s">
        <v>1105</v>
      </c>
    </row>
    <row r="1466" spans="1:9" ht="11.1" customHeight="1" outlineLevel="1">
      <c r="A1466" s="325" t="s">
        <v>1067</v>
      </c>
      <c r="B1466" s="325" t="s">
        <v>2006</v>
      </c>
      <c r="C1466" s="325" t="s">
        <v>2007</v>
      </c>
      <c r="D1466" s="325" t="s">
        <v>20</v>
      </c>
      <c r="E1466" s="335">
        <v>12000</v>
      </c>
      <c r="F1466" s="327">
        <v>2919.48</v>
      </c>
      <c r="G1466" s="328"/>
      <c r="H1466" s="160" t="s">
        <v>1561</v>
      </c>
      <c r="I1466" s="324" t="s">
        <v>1105</v>
      </c>
    </row>
    <row r="1467" spans="1:9" ht="11.1" customHeight="1" outlineLevel="1">
      <c r="A1467" s="325" t="s">
        <v>1067</v>
      </c>
      <c r="B1467" s="325" t="s">
        <v>2950</v>
      </c>
      <c r="C1467" s="325" t="s">
        <v>2951</v>
      </c>
      <c r="D1467" s="325" t="s">
        <v>20</v>
      </c>
      <c r="E1467" s="335">
        <v>10000</v>
      </c>
      <c r="F1467" s="327">
        <v>2336.88</v>
      </c>
      <c r="G1467" s="328"/>
      <c r="H1467" s="160" t="s">
        <v>1561</v>
      </c>
      <c r="I1467" s="324" t="s">
        <v>1105</v>
      </c>
    </row>
    <row r="1468" spans="1:9" ht="11.1" customHeight="1" outlineLevel="1">
      <c r="A1468" s="325" t="s">
        <v>1067</v>
      </c>
      <c r="B1468" s="325" t="s">
        <v>2952</v>
      </c>
      <c r="C1468" s="325" t="s">
        <v>2953</v>
      </c>
      <c r="D1468" s="325" t="s">
        <v>20</v>
      </c>
      <c r="E1468" s="326">
        <v>5</v>
      </c>
      <c r="F1468" s="327">
        <v>1913.8</v>
      </c>
      <c r="G1468" s="328"/>
      <c r="H1468" s="160" t="s">
        <v>2075</v>
      </c>
      <c r="I1468" s="324" t="s">
        <v>289</v>
      </c>
    </row>
    <row r="1469" spans="1:9" ht="11.1" customHeight="1" outlineLevel="1">
      <c r="A1469" s="325" t="s">
        <v>1067</v>
      </c>
      <c r="B1469" s="325" t="s">
        <v>2954</v>
      </c>
      <c r="C1469" s="325" t="s">
        <v>2955</v>
      </c>
      <c r="D1469" s="325" t="s">
        <v>20</v>
      </c>
      <c r="E1469" s="326">
        <v>8</v>
      </c>
      <c r="F1469" s="327">
        <v>4755.88</v>
      </c>
      <c r="G1469" s="328"/>
      <c r="H1469" s="160" t="s">
        <v>2075</v>
      </c>
      <c r="I1469" s="324" t="s">
        <v>289</v>
      </c>
    </row>
    <row r="1470" spans="1:9" ht="11.1" customHeight="1">
      <c r="A1470" s="320" t="s">
        <v>2956</v>
      </c>
      <c r="B1470" s="320"/>
      <c r="C1470" s="320"/>
      <c r="D1470" s="320"/>
      <c r="E1470" s="321">
        <v>45.396000000000001</v>
      </c>
      <c r="F1470" s="322">
        <v>1408745.14</v>
      </c>
      <c r="G1470" s="323"/>
      <c r="H1470" s="323"/>
    </row>
    <row r="1471" spans="1:9" ht="11.1" customHeight="1" outlineLevel="1">
      <c r="A1471" s="325" t="s">
        <v>1067</v>
      </c>
      <c r="B1471" s="325" t="s">
        <v>2957</v>
      </c>
      <c r="C1471" s="325" t="s">
        <v>2958</v>
      </c>
      <c r="D1471" s="325" t="s">
        <v>1115</v>
      </c>
      <c r="E1471" s="326">
        <v>0.155</v>
      </c>
      <c r="F1471" s="327">
        <v>4888.87</v>
      </c>
      <c r="G1471" s="328"/>
      <c r="H1471" s="328" t="s">
        <v>2959</v>
      </c>
      <c r="I1471" s="324" t="s">
        <v>1087</v>
      </c>
    </row>
    <row r="1472" spans="1:9" ht="11.1" customHeight="1" outlineLevel="1">
      <c r="A1472" s="325" t="s">
        <v>1302</v>
      </c>
      <c r="B1472" s="325" t="s">
        <v>2960</v>
      </c>
      <c r="C1472" s="325" t="s">
        <v>2961</v>
      </c>
      <c r="D1472" s="325" t="s">
        <v>1115</v>
      </c>
      <c r="E1472" s="326">
        <v>0.96299999999999997</v>
      </c>
      <c r="F1472" s="327">
        <v>33975.99</v>
      </c>
      <c r="G1472" s="328"/>
      <c r="H1472" s="328" t="s">
        <v>2962</v>
      </c>
      <c r="I1472" s="324" t="s">
        <v>1087</v>
      </c>
    </row>
    <row r="1473" spans="1:9" ht="11.1" customHeight="1" outlineLevel="1">
      <c r="A1473" s="325" t="s">
        <v>1302</v>
      </c>
      <c r="B1473" s="325" t="s">
        <v>2963</v>
      </c>
      <c r="C1473" s="325" t="s">
        <v>2964</v>
      </c>
      <c r="D1473" s="325" t="s">
        <v>1115</v>
      </c>
      <c r="E1473" s="326">
        <v>0.16800000000000001</v>
      </c>
      <c r="F1473" s="327">
        <v>5782</v>
      </c>
      <c r="G1473" s="328"/>
      <c r="H1473" s="328" t="s">
        <v>2959</v>
      </c>
      <c r="I1473" s="324" t="s">
        <v>1087</v>
      </c>
    </row>
    <row r="1474" spans="1:9" ht="11.1" customHeight="1" outlineLevel="1">
      <c r="A1474" s="325" t="s">
        <v>1302</v>
      </c>
      <c r="B1474" s="325" t="s">
        <v>2965</v>
      </c>
      <c r="C1474" s="325" t="s">
        <v>2966</v>
      </c>
      <c r="D1474" s="325" t="s">
        <v>1115</v>
      </c>
      <c r="E1474" s="326">
        <v>0.25700000000000001</v>
      </c>
      <c r="F1474" s="327">
        <v>8288.31</v>
      </c>
      <c r="G1474" s="328"/>
      <c r="H1474" s="328" t="s">
        <v>2959</v>
      </c>
      <c r="I1474" s="324" t="s">
        <v>1087</v>
      </c>
    </row>
    <row r="1475" spans="1:9" ht="11.1" customHeight="1" outlineLevel="1">
      <c r="A1475" s="325" t="s">
        <v>1302</v>
      </c>
      <c r="B1475" s="325" t="s">
        <v>2967</v>
      </c>
      <c r="C1475" s="325" t="s">
        <v>2968</v>
      </c>
      <c r="D1475" s="325" t="s">
        <v>1115</v>
      </c>
      <c r="E1475" s="326">
        <v>0.41499999999999998</v>
      </c>
      <c r="F1475" s="327">
        <v>15722.47</v>
      </c>
      <c r="G1475" s="328"/>
      <c r="H1475" s="328" t="s">
        <v>2959</v>
      </c>
      <c r="I1475" s="324" t="s">
        <v>1087</v>
      </c>
    </row>
    <row r="1476" spans="1:9" ht="11.1" customHeight="1" outlineLevel="1">
      <c r="A1476" s="325" t="s">
        <v>1302</v>
      </c>
      <c r="B1476" s="325" t="s">
        <v>2969</v>
      </c>
      <c r="C1476" s="325" t="s">
        <v>2970</v>
      </c>
      <c r="D1476" s="325" t="s">
        <v>1115</v>
      </c>
      <c r="E1476" s="326">
        <v>3.5000000000000003E-2</v>
      </c>
      <c r="F1476" s="327">
        <v>1227.97</v>
      </c>
      <c r="G1476" s="328"/>
      <c r="H1476" s="328" t="s">
        <v>2959</v>
      </c>
      <c r="I1476" s="324" t="s">
        <v>1087</v>
      </c>
    </row>
    <row r="1477" spans="1:9" ht="11.1" customHeight="1" outlineLevel="1">
      <c r="A1477" s="325" t="s">
        <v>1302</v>
      </c>
      <c r="B1477" s="325" t="s">
        <v>2971</v>
      </c>
      <c r="C1477" s="325" t="s">
        <v>2972</v>
      </c>
      <c r="D1477" s="325" t="s">
        <v>1115</v>
      </c>
      <c r="E1477" s="326">
        <v>0.153</v>
      </c>
      <c r="F1477" s="327">
        <v>6339.94</v>
      </c>
      <c r="G1477" s="328"/>
      <c r="H1477" s="328" t="s">
        <v>2959</v>
      </c>
      <c r="I1477" s="324" t="s">
        <v>1087</v>
      </c>
    </row>
    <row r="1478" spans="1:9" ht="11.1" customHeight="1" outlineLevel="1">
      <c r="A1478" s="325" t="s">
        <v>1302</v>
      </c>
      <c r="B1478" s="325" t="s">
        <v>2973</v>
      </c>
      <c r="C1478" s="325" t="s">
        <v>2974</v>
      </c>
      <c r="D1478" s="325" t="s">
        <v>1115</v>
      </c>
      <c r="E1478" s="326">
        <v>8.5999999999999993E-2</v>
      </c>
      <c r="F1478" s="327">
        <v>3063.75</v>
      </c>
      <c r="G1478" s="328"/>
      <c r="H1478" s="328" t="s">
        <v>2959</v>
      </c>
      <c r="I1478" s="324" t="s">
        <v>1087</v>
      </c>
    </row>
    <row r="1479" spans="1:9" ht="11.1" customHeight="1" outlineLevel="1">
      <c r="A1479" s="325" t="s">
        <v>1302</v>
      </c>
      <c r="B1479" s="325" t="s">
        <v>2975</v>
      </c>
      <c r="C1479" s="325" t="s">
        <v>2976</v>
      </c>
      <c r="D1479" s="325" t="s">
        <v>517</v>
      </c>
      <c r="E1479" s="326">
        <v>0.60499999999999998</v>
      </c>
      <c r="F1479" s="327">
        <v>21630.36</v>
      </c>
      <c r="G1479" s="328"/>
      <c r="H1479" s="328" t="s">
        <v>2959</v>
      </c>
      <c r="I1479" s="324" t="s">
        <v>1087</v>
      </c>
    </row>
    <row r="1480" spans="1:9" ht="11.1" customHeight="1" outlineLevel="1">
      <c r="A1480" s="325" t="s">
        <v>1302</v>
      </c>
      <c r="B1480" s="325" t="s">
        <v>2977</v>
      </c>
      <c r="C1480" s="325" t="s">
        <v>2978</v>
      </c>
      <c r="D1480" s="325" t="s">
        <v>517</v>
      </c>
      <c r="E1480" s="326">
        <v>8.2000000000000003E-2</v>
      </c>
      <c r="F1480" s="327">
        <v>3026.48</v>
      </c>
      <c r="G1480" s="328"/>
      <c r="H1480" s="328" t="s">
        <v>2959</v>
      </c>
      <c r="I1480" s="324" t="s">
        <v>1087</v>
      </c>
    </row>
    <row r="1481" spans="1:9" ht="11.1" customHeight="1" outlineLevel="1">
      <c r="A1481" s="325" t="s">
        <v>1302</v>
      </c>
      <c r="B1481" s="325" t="s">
        <v>2979</v>
      </c>
      <c r="C1481" s="325" t="s">
        <v>2980</v>
      </c>
      <c r="D1481" s="325" t="s">
        <v>517</v>
      </c>
      <c r="E1481" s="326">
        <v>9.4E-2</v>
      </c>
      <c r="F1481" s="327">
        <v>4408.6000000000004</v>
      </c>
      <c r="G1481" s="328"/>
      <c r="H1481" s="328" t="s">
        <v>2959</v>
      </c>
      <c r="I1481" s="324" t="s">
        <v>1087</v>
      </c>
    </row>
    <row r="1482" spans="1:9" ht="11.1" customHeight="1" outlineLevel="1">
      <c r="A1482" s="325" t="s">
        <v>1302</v>
      </c>
      <c r="B1482" s="325" t="s">
        <v>2981</v>
      </c>
      <c r="C1482" s="325" t="s">
        <v>2982</v>
      </c>
      <c r="D1482" s="325" t="s">
        <v>517</v>
      </c>
      <c r="E1482" s="326">
        <v>0.223</v>
      </c>
      <c r="F1482" s="327">
        <v>6440.78</v>
      </c>
      <c r="G1482" s="328"/>
      <c r="H1482" s="328" t="s">
        <v>2959</v>
      </c>
      <c r="I1482" s="324" t="s">
        <v>1087</v>
      </c>
    </row>
    <row r="1483" spans="1:9" ht="11.1" customHeight="1" outlineLevel="1">
      <c r="A1483" s="325" t="s">
        <v>1067</v>
      </c>
      <c r="B1483" s="325" t="s">
        <v>2983</v>
      </c>
      <c r="C1483" s="325" t="s">
        <v>2984</v>
      </c>
      <c r="D1483" s="325" t="s">
        <v>517</v>
      </c>
      <c r="E1483" s="326">
        <v>8.0000000000000002E-3</v>
      </c>
      <c r="F1483" s="331">
        <v>231.87</v>
      </c>
      <c r="G1483" s="328"/>
      <c r="H1483" s="328" t="s">
        <v>1602</v>
      </c>
      <c r="I1483" s="324" t="s">
        <v>1087</v>
      </c>
    </row>
    <row r="1484" spans="1:9" ht="11.1" customHeight="1" outlineLevel="1">
      <c r="A1484" s="325" t="s">
        <v>1302</v>
      </c>
      <c r="B1484" s="325" t="s">
        <v>2983</v>
      </c>
      <c r="C1484" s="325" t="s">
        <v>2984</v>
      </c>
      <c r="D1484" s="325" t="s">
        <v>517</v>
      </c>
      <c r="E1484" s="326">
        <v>1.0999999999999999E-2</v>
      </c>
      <c r="F1484" s="331">
        <v>308.91000000000003</v>
      </c>
      <c r="G1484" s="328"/>
      <c r="H1484" s="328" t="s">
        <v>1602</v>
      </c>
      <c r="I1484" s="324" t="s">
        <v>1087</v>
      </c>
    </row>
    <row r="1485" spans="1:9" ht="11.1" customHeight="1" outlineLevel="1">
      <c r="A1485" s="325" t="s">
        <v>1067</v>
      </c>
      <c r="B1485" s="325" t="s">
        <v>2985</v>
      </c>
      <c r="C1485" s="325" t="s">
        <v>2986</v>
      </c>
      <c r="D1485" s="325" t="s">
        <v>517</v>
      </c>
      <c r="E1485" s="326">
        <v>1.7999999999999999E-2</v>
      </c>
      <c r="F1485" s="331">
        <v>479.3</v>
      </c>
      <c r="G1485" s="328"/>
      <c r="H1485" s="160" t="s">
        <v>1029</v>
      </c>
      <c r="I1485" s="324" t="s">
        <v>1087</v>
      </c>
    </row>
    <row r="1486" spans="1:9" ht="11.1" customHeight="1" outlineLevel="1">
      <c r="A1486" s="325" t="s">
        <v>1067</v>
      </c>
      <c r="B1486" s="325" t="s">
        <v>1097</v>
      </c>
      <c r="C1486" s="325" t="s">
        <v>1098</v>
      </c>
      <c r="D1486" s="325" t="s">
        <v>517</v>
      </c>
      <c r="E1486" s="326">
        <v>7.5999999999999998E-2</v>
      </c>
      <c r="F1486" s="327">
        <v>2128.67</v>
      </c>
      <c r="G1486" s="328"/>
      <c r="H1486" s="160" t="s">
        <v>1029</v>
      </c>
      <c r="I1486" s="324" t="s">
        <v>1087</v>
      </c>
    </row>
    <row r="1487" spans="1:9" ht="11.1" customHeight="1" outlineLevel="1">
      <c r="A1487" s="325" t="s">
        <v>1302</v>
      </c>
      <c r="B1487" s="325" t="s">
        <v>1097</v>
      </c>
      <c r="C1487" s="325" t="s">
        <v>1098</v>
      </c>
      <c r="D1487" s="325" t="s">
        <v>517</v>
      </c>
      <c r="E1487" s="326">
        <v>4.4999999999999998E-2</v>
      </c>
      <c r="F1487" s="327">
        <v>1147.5</v>
      </c>
      <c r="G1487" s="328"/>
      <c r="H1487" s="160" t="s">
        <v>1029</v>
      </c>
      <c r="I1487" s="324" t="s">
        <v>1087</v>
      </c>
    </row>
    <row r="1488" spans="1:9" ht="11.1" customHeight="1" outlineLevel="1">
      <c r="A1488" s="325" t="s">
        <v>1302</v>
      </c>
      <c r="B1488" s="325" t="s">
        <v>2987</v>
      </c>
      <c r="C1488" s="325" t="s">
        <v>2988</v>
      </c>
      <c r="D1488" s="325" t="s">
        <v>517</v>
      </c>
      <c r="E1488" s="326">
        <v>3.1E-2</v>
      </c>
      <c r="F1488" s="331">
        <v>853.66</v>
      </c>
      <c r="G1488" s="328"/>
      <c r="H1488" s="160" t="s">
        <v>1029</v>
      </c>
      <c r="I1488" s="324" t="s">
        <v>1087</v>
      </c>
    </row>
    <row r="1489" spans="1:9" ht="11.1" customHeight="1" outlineLevel="1">
      <c r="A1489" s="325" t="s">
        <v>1067</v>
      </c>
      <c r="B1489" s="325" t="s">
        <v>2989</v>
      </c>
      <c r="C1489" s="325" t="s">
        <v>2990</v>
      </c>
      <c r="D1489" s="325" t="s">
        <v>517</v>
      </c>
      <c r="E1489" s="326">
        <v>3.3000000000000002E-2</v>
      </c>
      <c r="F1489" s="331">
        <v>838.61</v>
      </c>
      <c r="G1489" s="328"/>
      <c r="H1489" s="160" t="s">
        <v>1029</v>
      </c>
      <c r="I1489" s="324" t="s">
        <v>1087</v>
      </c>
    </row>
    <row r="1490" spans="1:9" ht="11.1" customHeight="1" outlineLevel="1">
      <c r="A1490" s="325" t="s">
        <v>1067</v>
      </c>
      <c r="B1490" s="325" t="s">
        <v>2991</v>
      </c>
      <c r="C1490" s="325" t="s">
        <v>2992</v>
      </c>
      <c r="D1490" s="325" t="s">
        <v>1115</v>
      </c>
      <c r="E1490" s="326">
        <v>0.625</v>
      </c>
      <c r="F1490" s="327">
        <v>16760.419999999998</v>
      </c>
      <c r="G1490" s="328"/>
      <c r="H1490" s="328" t="s">
        <v>1162</v>
      </c>
      <c r="I1490" s="324" t="s">
        <v>1087</v>
      </c>
    </row>
    <row r="1491" spans="1:9" ht="11.1" customHeight="1" outlineLevel="1">
      <c r="A1491" s="325" t="s">
        <v>1302</v>
      </c>
      <c r="B1491" s="325" t="s">
        <v>2993</v>
      </c>
      <c r="C1491" s="325" t="s">
        <v>2994</v>
      </c>
      <c r="D1491" s="325" t="s">
        <v>1115</v>
      </c>
      <c r="E1491" s="326">
        <v>4.5999999999999999E-2</v>
      </c>
      <c r="F1491" s="327">
        <v>1377.31</v>
      </c>
      <c r="G1491" s="328"/>
      <c r="H1491" s="328" t="s">
        <v>1162</v>
      </c>
      <c r="I1491" s="324" t="s">
        <v>1087</v>
      </c>
    </row>
    <row r="1492" spans="1:9" ht="11.1" customHeight="1" outlineLevel="1">
      <c r="A1492" s="325" t="s">
        <v>1067</v>
      </c>
      <c r="B1492" s="325" t="s">
        <v>2995</v>
      </c>
      <c r="C1492" s="325" t="s">
        <v>2996</v>
      </c>
      <c r="D1492" s="325" t="s">
        <v>1115</v>
      </c>
      <c r="E1492" s="326">
        <v>0.41899999999999998</v>
      </c>
      <c r="F1492" s="327">
        <v>11697.08</v>
      </c>
      <c r="G1492" s="328"/>
      <c r="H1492" s="328" t="s">
        <v>1162</v>
      </c>
      <c r="I1492" s="324" t="s">
        <v>1087</v>
      </c>
    </row>
    <row r="1493" spans="1:9" ht="11.1" customHeight="1" outlineLevel="1">
      <c r="A1493" s="325" t="s">
        <v>1067</v>
      </c>
      <c r="B1493" s="325" t="s">
        <v>2731</v>
      </c>
      <c r="C1493" s="325" t="s">
        <v>2732</v>
      </c>
      <c r="D1493" s="325" t="s">
        <v>1115</v>
      </c>
      <c r="E1493" s="326">
        <v>1.395</v>
      </c>
      <c r="F1493" s="327">
        <v>39642.839999999997</v>
      </c>
      <c r="G1493" s="328"/>
      <c r="H1493" s="328" t="s">
        <v>1162</v>
      </c>
      <c r="I1493" s="324" t="s">
        <v>1087</v>
      </c>
    </row>
    <row r="1494" spans="1:9" ht="11.1" customHeight="1" outlineLevel="1">
      <c r="A1494" s="325" t="s">
        <v>1302</v>
      </c>
      <c r="B1494" s="325" t="s">
        <v>2733</v>
      </c>
      <c r="C1494" s="325" t="s">
        <v>2734</v>
      </c>
      <c r="D1494" s="325" t="s">
        <v>1115</v>
      </c>
      <c r="E1494" s="326">
        <v>5.0000000000000001E-3</v>
      </c>
      <c r="F1494" s="331">
        <v>147.03</v>
      </c>
      <c r="G1494" s="328"/>
      <c r="H1494" s="328" t="s">
        <v>1162</v>
      </c>
      <c r="I1494" s="324" t="s">
        <v>1087</v>
      </c>
    </row>
    <row r="1495" spans="1:9" ht="11.1" customHeight="1" outlineLevel="1">
      <c r="A1495" s="325" t="s">
        <v>1067</v>
      </c>
      <c r="B1495" s="325" t="s">
        <v>2733</v>
      </c>
      <c r="C1495" s="325" t="s">
        <v>2734</v>
      </c>
      <c r="D1495" s="325" t="s">
        <v>1115</v>
      </c>
      <c r="E1495" s="326">
        <v>0.24</v>
      </c>
      <c r="F1495" s="327">
        <v>6782.17</v>
      </c>
      <c r="G1495" s="328"/>
      <c r="H1495" s="328" t="s">
        <v>1162</v>
      </c>
      <c r="I1495" s="324" t="s">
        <v>1087</v>
      </c>
    </row>
    <row r="1496" spans="1:9" ht="11.1" customHeight="1" outlineLevel="1">
      <c r="A1496" s="325" t="s">
        <v>1067</v>
      </c>
      <c r="B1496" s="325" t="s">
        <v>2997</v>
      </c>
      <c r="C1496" s="325" t="s">
        <v>2998</v>
      </c>
      <c r="D1496" s="325" t="s">
        <v>1115</v>
      </c>
      <c r="E1496" s="326">
        <v>0.41699999999999998</v>
      </c>
      <c r="F1496" s="327">
        <v>11092.2</v>
      </c>
      <c r="G1496" s="328"/>
      <c r="H1496" s="328" t="s">
        <v>1162</v>
      </c>
      <c r="I1496" s="324" t="s">
        <v>1087</v>
      </c>
    </row>
    <row r="1497" spans="1:9" ht="11.1" customHeight="1" outlineLevel="1">
      <c r="A1497" s="325" t="s">
        <v>1067</v>
      </c>
      <c r="B1497" s="325" t="s">
        <v>2999</v>
      </c>
      <c r="C1497" s="325" t="s">
        <v>3000</v>
      </c>
      <c r="D1497" s="325" t="s">
        <v>1115</v>
      </c>
      <c r="E1497" s="326">
        <v>1.222</v>
      </c>
      <c r="F1497" s="327">
        <v>32705.41</v>
      </c>
      <c r="G1497" s="328"/>
      <c r="H1497" s="328" t="s">
        <v>1162</v>
      </c>
      <c r="I1497" s="324" t="s">
        <v>1087</v>
      </c>
    </row>
    <row r="1498" spans="1:9" ht="11.1" customHeight="1" outlineLevel="1">
      <c r="A1498" s="325" t="s">
        <v>1067</v>
      </c>
      <c r="B1498" s="325" t="s">
        <v>3001</v>
      </c>
      <c r="C1498" s="325" t="s">
        <v>3002</v>
      </c>
      <c r="D1498" s="325" t="s">
        <v>1115</v>
      </c>
      <c r="E1498" s="326">
        <v>6.0659999999999998</v>
      </c>
      <c r="F1498" s="327">
        <v>163708.79999999999</v>
      </c>
      <c r="G1498" s="328"/>
      <c r="H1498" s="328" t="s">
        <v>1162</v>
      </c>
      <c r="I1498" s="324" t="s">
        <v>1087</v>
      </c>
    </row>
    <row r="1499" spans="1:9" ht="11.1" customHeight="1" outlineLevel="1">
      <c r="A1499" s="325" t="s">
        <v>1302</v>
      </c>
      <c r="B1499" s="325" t="s">
        <v>3003</v>
      </c>
      <c r="C1499" s="325" t="s">
        <v>3004</v>
      </c>
      <c r="D1499" s="325" t="s">
        <v>1115</v>
      </c>
      <c r="E1499" s="326">
        <v>0.35199999999999998</v>
      </c>
      <c r="F1499" s="327">
        <v>9240</v>
      </c>
      <c r="G1499" s="328"/>
      <c r="H1499" s="328" t="s">
        <v>1162</v>
      </c>
      <c r="I1499" s="324" t="s">
        <v>1087</v>
      </c>
    </row>
    <row r="1500" spans="1:9" ht="11.1" customHeight="1" outlineLevel="1">
      <c r="A1500" s="325" t="s">
        <v>1302</v>
      </c>
      <c r="B1500" s="325" t="s">
        <v>3005</v>
      </c>
      <c r="C1500" s="325" t="s">
        <v>3006</v>
      </c>
      <c r="D1500" s="325" t="s">
        <v>1115</v>
      </c>
      <c r="E1500" s="326">
        <v>4.4999999999999998E-2</v>
      </c>
      <c r="F1500" s="327">
        <v>1214.97</v>
      </c>
      <c r="G1500" s="328"/>
      <c r="H1500" s="328" t="s">
        <v>1162</v>
      </c>
      <c r="I1500" s="324" t="s">
        <v>1087</v>
      </c>
    </row>
    <row r="1501" spans="1:9" ht="11.1" customHeight="1" outlineLevel="1">
      <c r="A1501" s="325" t="s">
        <v>1067</v>
      </c>
      <c r="B1501" s="325" t="s">
        <v>3007</v>
      </c>
      <c r="C1501" s="325" t="s">
        <v>3008</v>
      </c>
      <c r="D1501" s="325" t="s">
        <v>1115</v>
      </c>
      <c r="E1501" s="326">
        <v>3.6579999999999999</v>
      </c>
      <c r="F1501" s="327">
        <v>102555.6</v>
      </c>
      <c r="G1501" s="328"/>
      <c r="H1501" s="328" t="s">
        <v>1162</v>
      </c>
      <c r="I1501" s="324" t="s">
        <v>1087</v>
      </c>
    </row>
    <row r="1502" spans="1:9" ht="11.1" customHeight="1" outlineLevel="1">
      <c r="A1502" s="325" t="s">
        <v>1302</v>
      </c>
      <c r="B1502" s="325" t="s">
        <v>3007</v>
      </c>
      <c r="C1502" s="325" t="s">
        <v>3008</v>
      </c>
      <c r="D1502" s="325" t="s">
        <v>1115</v>
      </c>
      <c r="E1502" s="326">
        <v>6.6</v>
      </c>
      <c r="F1502" s="327">
        <v>190059.61</v>
      </c>
      <c r="G1502" s="328"/>
      <c r="H1502" s="328" t="s">
        <v>1162</v>
      </c>
      <c r="I1502" s="324" t="s">
        <v>1087</v>
      </c>
    </row>
    <row r="1503" spans="1:9" ht="11.1" customHeight="1" outlineLevel="1">
      <c r="A1503" s="325" t="s">
        <v>1302</v>
      </c>
      <c r="B1503" s="325" t="s">
        <v>3009</v>
      </c>
      <c r="C1503" s="325" t="s">
        <v>3010</v>
      </c>
      <c r="D1503" s="325" t="s">
        <v>1115</v>
      </c>
      <c r="E1503" s="326">
        <v>0.12</v>
      </c>
      <c r="F1503" s="327">
        <v>3678.2</v>
      </c>
      <c r="G1503" s="328"/>
      <c r="H1503" s="328" t="s">
        <v>1162</v>
      </c>
      <c r="I1503" s="324" t="s">
        <v>1087</v>
      </c>
    </row>
    <row r="1504" spans="1:9" ht="11.1" customHeight="1" outlineLevel="1">
      <c r="A1504" s="325" t="s">
        <v>1302</v>
      </c>
      <c r="B1504" s="325" t="s">
        <v>3011</v>
      </c>
      <c r="C1504" s="325" t="s">
        <v>3012</v>
      </c>
      <c r="D1504" s="325" t="s">
        <v>1115</v>
      </c>
      <c r="E1504" s="326">
        <v>0.14000000000000001</v>
      </c>
      <c r="F1504" s="327">
        <v>4629.92</v>
      </c>
      <c r="G1504" s="328"/>
      <c r="H1504" s="328" t="s">
        <v>1162</v>
      </c>
      <c r="I1504" s="324" t="s">
        <v>1087</v>
      </c>
    </row>
    <row r="1505" spans="1:9" ht="11.1" customHeight="1" outlineLevel="1">
      <c r="A1505" s="325" t="s">
        <v>1067</v>
      </c>
      <c r="B1505" s="325" t="s">
        <v>3013</v>
      </c>
      <c r="C1505" s="325" t="s">
        <v>3014</v>
      </c>
      <c r="D1505" s="325" t="s">
        <v>1115</v>
      </c>
      <c r="E1505" s="326">
        <v>0.42799999999999999</v>
      </c>
      <c r="F1505" s="327">
        <v>15029.01</v>
      </c>
      <c r="G1505" s="328"/>
      <c r="H1505" s="328" t="s">
        <v>1162</v>
      </c>
      <c r="I1505" s="324" t="s">
        <v>1087</v>
      </c>
    </row>
    <row r="1506" spans="1:9" ht="11.1" customHeight="1" outlineLevel="1">
      <c r="A1506" s="325" t="s">
        <v>1302</v>
      </c>
      <c r="B1506" s="325" t="s">
        <v>3015</v>
      </c>
      <c r="C1506" s="325" t="s">
        <v>3016</v>
      </c>
      <c r="D1506" s="325" t="s">
        <v>1115</v>
      </c>
      <c r="E1506" s="326">
        <v>7.6999999999999999E-2</v>
      </c>
      <c r="F1506" s="327">
        <v>2027.02</v>
      </c>
      <c r="G1506" s="328"/>
      <c r="H1506" s="328" t="s">
        <v>1162</v>
      </c>
      <c r="I1506" s="324" t="s">
        <v>1087</v>
      </c>
    </row>
    <row r="1507" spans="1:9" ht="11.1" customHeight="1" outlineLevel="1">
      <c r="A1507" s="325" t="s">
        <v>1302</v>
      </c>
      <c r="B1507" s="325" t="s">
        <v>3017</v>
      </c>
      <c r="C1507" s="325" t="s">
        <v>3018</v>
      </c>
      <c r="D1507" s="325" t="s">
        <v>517</v>
      </c>
      <c r="E1507" s="326">
        <v>1.2999999999999999E-2</v>
      </c>
      <c r="F1507" s="331">
        <v>534.1</v>
      </c>
      <c r="G1507" s="328"/>
      <c r="H1507" s="328" t="s">
        <v>663</v>
      </c>
      <c r="I1507" s="324" t="s">
        <v>1087</v>
      </c>
    </row>
    <row r="1508" spans="1:9" ht="11.1" customHeight="1" outlineLevel="1">
      <c r="A1508" s="325" t="s">
        <v>1067</v>
      </c>
      <c r="B1508" s="325" t="s">
        <v>3019</v>
      </c>
      <c r="C1508" s="325" t="s">
        <v>3020</v>
      </c>
      <c r="D1508" s="325" t="s">
        <v>1115</v>
      </c>
      <c r="E1508" s="326">
        <v>1.8069999999999999</v>
      </c>
      <c r="F1508" s="327">
        <v>52463.27</v>
      </c>
      <c r="G1508" s="328"/>
      <c r="H1508" s="160" t="s">
        <v>535</v>
      </c>
      <c r="I1508" s="324" t="s">
        <v>1087</v>
      </c>
    </row>
    <row r="1509" spans="1:9" ht="11.1" customHeight="1" outlineLevel="1">
      <c r="A1509" s="325" t="s">
        <v>1302</v>
      </c>
      <c r="B1509" s="325" t="s">
        <v>3021</v>
      </c>
      <c r="C1509" s="325" t="s">
        <v>3022</v>
      </c>
      <c r="D1509" s="325" t="s">
        <v>1115</v>
      </c>
      <c r="E1509" s="326">
        <v>7.6999999999999999E-2</v>
      </c>
      <c r="F1509" s="327">
        <v>2419.0700000000002</v>
      </c>
      <c r="G1509" s="328"/>
      <c r="H1509" s="160" t="s">
        <v>535</v>
      </c>
      <c r="I1509" s="324" t="s">
        <v>1087</v>
      </c>
    </row>
    <row r="1510" spans="1:9" ht="11.1" customHeight="1" outlineLevel="1">
      <c r="A1510" s="325" t="s">
        <v>1067</v>
      </c>
      <c r="B1510" s="325" t="s">
        <v>3023</v>
      </c>
      <c r="C1510" s="325" t="s">
        <v>3024</v>
      </c>
      <c r="D1510" s="325" t="s">
        <v>517</v>
      </c>
      <c r="E1510" s="326">
        <v>8.3000000000000004E-2</v>
      </c>
      <c r="F1510" s="327">
        <v>2555.71</v>
      </c>
      <c r="G1510" s="328"/>
      <c r="H1510" s="328" t="s">
        <v>663</v>
      </c>
      <c r="I1510" s="324" t="s">
        <v>1087</v>
      </c>
    </row>
    <row r="1511" spans="1:9" ht="11.1" customHeight="1" outlineLevel="1">
      <c r="A1511" s="325" t="s">
        <v>1067</v>
      </c>
      <c r="B1511" s="325" t="s">
        <v>3025</v>
      </c>
      <c r="C1511" s="325" t="s">
        <v>3026</v>
      </c>
      <c r="D1511" s="325" t="s">
        <v>1115</v>
      </c>
      <c r="E1511" s="326">
        <v>0.59499999999999997</v>
      </c>
      <c r="F1511" s="327">
        <v>22719.08</v>
      </c>
      <c r="G1511" s="328"/>
      <c r="H1511" s="328" t="s">
        <v>663</v>
      </c>
      <c r="I1511" s="324" t="s">
        <v>1087</v>
      </c>
    </row>
    <row r="1512" spans="1:9" ht="11.1" customHeight="1" outlineLevel="1">
      <c r="A1512" s="325" t="s">
        <v>1067</v>
      </c>
      <c r="B1512" s="325" t="s">
        <v>3027</v>
      </c>
      <c r="C1512" s="325" t="s">
        <v>3028</v>
      </c>
      <c r="D1512" s="325" t="s">
        <v>517</v>
      </c>
      <c r="E1512" s="326">
        <v>5.7969999999999997</v>
      </c>
      <c r="F1512" s="327">
        <v>171463.69</v>
      </c>
      <c r="G1512" s="328"/>
      <c r="H1512" s="160" t="s">
        <v>535</v>
      </c>
      <c r="I1512" s="324" t="s">
        <v>1087</v>
      </c>
    </row>
    <row r="1513" spans="1:9" ht="11.1" customHeight="1" outlineLevel="1">
      <c r="A1513" s="325" t="s">
        <v>1067</v>
      </c>
      <c r="B1513" s="325" t="s">
        <v>2571</v>
      </c>
      <c r="C1513" s="325" t="s">
        <v>859</v>
      </c>
      <c r="D1513" s="325" t="s">
        <v>517</v>
      </c>
      <c r="E1513" s="326">
        <v>1.1339999999999999</v>
      </c>
      <c r="F1513" s="327">
        <v>33594.65</v>
      </c>
      <c r="G1513" s="328"/>
      <c r="H1513" s="160" t="s">
        <v>535</v>
      </c>
      <c r="I1513" s="324" t="s">
        <v>1087</v>
      </c>
    </row>
    <row r="1514" spans="1:9" ht="11.1" customHeight="1" outlineLevel="1">
      <c r="A1514" s="325" t="s">
        <v>1067</v>
      </c>
      <c r="B1514" s="325" t="s">
        <v>3029</v>
      </c>
      <c r="C1514" s="325" t="s">
        <v>3030</v>
      </c>
      <c r="D1514" s="325" t="s">
        <v>517</v>
      </c>
      <c r="E1514" s="326">
        <v>2.4E-2</v>
      </c>
      <c r="F1514" s="331">
        <v>677.35</v>
      </c>
      <c r="G1514" s="328"/>
      <c r="H1514" s="160" t="s">
        <v>535</v>
      </c>
      <c r="I1514" s="324" t="s">
        <v>1087</v>
      </c>
    </row>
    <row r="1515" spans="1:9" ht="11.1" customHeight="1" outlineLevel="1">
      <c r="A1515" s="325" t="s">
        <v>1302</v>
      </c>
      <c r="B1515" s="325" t="s">
        <v>3029</v>
      </c>
      <c r="C1515" s="325" t="s">
        <v>3030</v>
      </c>
      <c r="D1515" s="325" t="s">
        <v>517</v>
      </c>
      <c r="E1515" s="326">
        <v>1.7000000000000001E-2</v>
      </c>
      <c r="F1515" s="331">
        <v>480.31</v>
      </c>
      <c r="G1515" s="328"/>
      <c r="H1515" s="160" t="s">
        <v>535</v>
      </c>
      <c r="I1515" s="324" t="s">
        <v>1087</v>
      </c>
    </row>
    <row r="1516" spans="1:9" ht="11.1" customHeight="1" outlineLevel="1">
      <c r="A1516" s="325" t="s">
        <v>1067</v>
      </c>
      <c r="B1516" s="325" t="s">
        <v>3031</v>
      </c>
      <c r="C1516" s="325" t="s">
        <v>3032</v>
      </c>
      <c r="D1516" s="325" t="s">
        <v>517</v>
      </c>
      <c r="E1516" s="326">
        <v>0.71699999999999997</v>
      </c>
      <c r="F1516" s="327">
        <v>20680.48</v>
      </c>
      <c r="G1516" s="328"/>
      <c r="H1516" s="160" t="s">
        <v>535</v>
      </c>
      <c r="I1516" s="324" t="s">
        <v>1087</v>
      </c>
    </row>
    <row r="1517" spans="1:9" ht="11.1" customHeight="1" outlineLevel="1">
      <c r="A1517" s="325" t="s">
        <v>1302</v>
      </c>
      <c r="B1517" s="325" t="s">
        <v>3031</v>
      </c>
      <c r="C1517" s="325" t="s">
        <v>3032</v>
      </c>
      <c r="D1517" s="325" t="s">
        <v>517</v>
      </c>
      <c r="E1517" s="326">
        <v>0.45500000000000002</v>
      </c>
      <c r="F1517" s="327">
        <v>12910.18</v>
      </c>
      <c r="G1517" s="328"/>
      <c r="H1517" s="160" t="s">
        <v>535</v>
      </c>
      <c r="I1517" s="324" t="s">
        <v>1087</v>
      </c>
    </row>
    <row r="1518" spans="1:9" ht="11.1" customHeight="1" outlineLevel="1">
      <c r="A1518" s="325" t="s">
        <v>1067</v>
      </c>
      <c r="B1518" s="325" t="s">
        <v>3033</v>
      </c>
      <c r="C1518" s="325" t="s">
        <v>3034</v>
      </c>
      <c r="D1518" s="325" t="s">
        <v>517</v>
      </c>
      <c r="E1518" s="326">
        <v>1.3919999999999999</v>
      </c>
      <c r="F1518" s="327">
        <v>42914.28</v>
      </c>
      <c r="G1518" s="328"/>
      <c r="H1518" s="160" t="s">
        <v>535</v>
      </c>
      <c r="I1518" s="324" t="s">
        <v>1087</v>
      </c>
    </row>
    <row r="1519" spans="1:9" ht="11.1" customHeight="1" outlineLevel="1">
      <c r="A1519" s="325" t="s">
        <v>1302</v>
      </c>
      <c r="B1519" s="325" t="s">
        <v>3035</v>
      </c>
      <c r="C1519" s="325" t="s">
        <v>3036</v>
      </c>
      <c r="D1519" s="325" t="s">
        <v>517</v>
      </c>
      <c r="E1519" s="326">
        <v>0.52500000000000002</v>
      </c>
      <c r="F1519" s="327">
        <v>15793.75</v>
      </c>
      <c r="G1519" s="328"/>
      <c r="H1519" s="160" t="s">
        <v>535</v>
      </c>
      <c r="I1519" s="324" t="s">
        <v>1087</v>
      </c>
    </row>
    <row r="1520" spans="1:9" ht="11.1" customHeight="1" outlineLevel="1">
      <c r="A1520" s="325" t="s">
        <v>1302</v>
      </c>
      <c r="B1520" s="325" t="s">
        <v>3037</v>
      </c>
      <c r="C1520" s="325" t="s">
        <v>3038</v>
      </c>
      <c r="D1520" s="325" t="s">
        <v>517</v>
      </c>
      <c r="E1520" s="326">
        <v>0.11</v>
      </c>
      <c r="F1520" s="327">
        <v>3309.17</v>
      </c>
      <c r="G1520" s="328"/>
      <c r="H1520" s="160" t="s">
        <v>535</v>
      </c>
      <c r="I1520" s="324" t="s">
        <v>1087</v>
      </c>
    </row>
    <row r="1521" spans="1:9" ht="11.1" customHeight="1" outlineLevel="1">
      <c r="A1521" s="325" t="s">
        <v>1067</v>
      </c>
      <c r="B1521" s="325" t="s">
        <v>3039</v>
      </c>
      <c r="C1521" s="325" t="s">
        <v>3040</v>
      </c>
      <c r="D1521" s="325" t="s">
        <v>517</v>
      </c>
      <c r="E1521" s="326">
        <v>0.04</v>
      </c>
      <c r="F1521" s="327">
        <v>2736.64</v>
      </c>
      <c r="G1521" s="328"/>
      <c r="H1521" s="328" t="s">
        <v>663</v>
      </c>
      <c r="I1521" s="324" t="s">
        <v>1087</v>
      </c>
    </row>
    <row r="1522" spans="1:9" ht="11.1" customHeight="1" outlineLevel="1">
      <c r="A1522" s="325" t="s">
        <v>1067</v>
      </c>
      <c r="B1522" s="325" t="s">
        <v>3041</v>
      </c>
      <c r="C1522" s="325" t="s">
        <v>3042</v>
      </c>
      <c r="D1522" s="325" t="s">
        <v>1115</v>
      </c>
      <c r="E1522" s="326">
        <v>2.6070000000000002</v>
      </c>
      <c r="F1522" s="327">
        <v>81025.22</v>
      </c>
      <c r="G1522" s="328"/>
      <c r="H1522" s="328" t="s">
        <v>1126</v>
      </c>
      <c r="I1522" s="324" t="s">
        <v>1087</v>
      </c>
    </row>
    <row r="1523" spans="1:9" ht="11.1" customHeight="1" outlineLevel="1">
      <c r="A1523" s="325" t="s">
        <v>1302</v>
      </c>
      <c r="B1523" s="325" t="s">
        <v>3043</v>
      </c>
      <c r="C1523" s="325" t="s">
        <v>3044</v>
      </c>
      <c r="D1523" s="325" t="s">
        <v>1115</v>
      </c>
      <c r="E1523" s="326">
        <v>4.2000000000000003E-2</v>
      </c>
      <c r="F1523" s="327">
        <v>1317.99</v>
      </c>
      <c r="G1523" s="328"/>
      <c r="H1523" s="328" t="s">
        <v>1126</v>
      </c>
      <c r="I1523" s="324" t="s">
        <v>1087</v>
      </c>
    </row>
    <row r="1524" spans="1:9" ht="11.1" customHeight="1" outlineLevel="1">
      <c r="A1524" s="325" t="s">
        <v>1067</v>
      </c>
      <c r="B1524" s="325" t="s">
        <v>3043</v>
      </c>
      <c r="C1524" s="325" t="s">
        <v>3044</v>
      </c>
      <c r="D1524" s="325" t="s">
        <v>1115</v>
      </c>
      <c r="E1524" s="326">
        <v>1.0999999999999999E-2</v>
      </c>
      <c r="F1524" s="331">
        <v>346.5</v>
      </c>
      <c r="G1524" s="328"/>
      <c r="H1524" s="328" t="s">
        <v>1126</v>
      </c>
      <c r="I1524" s="324" t="s">
        <v>1087</v>
      </c>
    </row>
    <row r="1525" spans="1:9" ht="11.1" customHeight="1" outlineLevel="1">
      <c r="A1525" s="325" t="s">
        <v>1067</v>
      </c>
      <c r="B1525" s="325" t="s">
        <v>3045</v>
      </c>
      <c r="C1525" s="325" t="s">
        <v>3046</v>
      </c>
      <c r="D1525" s="325" t="s">
        <v>1115</v>
      </c>
      <c r="E1525" s="326">
        <v>2.2850000000000001</v>
      </c>
      <c r="F1525" s="327">
        <v>93828.2</v>
      </c>
      <c r="G1525" s="328"/>
      <c r="H1525" s="328" t="s">
        <v>1126</v>
      </c>
      <c r="I1525" s="324" t="s">
        <v>1087</v>
      </c>
    </row>
    <row r="1526" spans="1:9" ht="11.1" customHeight="1" outlineLevel="1">
      <c r="A1526" s="325" t="s">
        <v>1302</v>
      </c>
      <c r="B1526" s="325" t="s">
        <v>3047</v>
      </c>
      <c r="C1526" s="325" t="s">
        <v>3048</v>
      </c>
      <c r="D1526" s="325" t="s">
        <v>1115</v>
      </c>
      <c r="E1526" s="326">
        <v>0.46400000000000002</v>
      </c>
      <c r="F1526" s="327">
        <v>21499.33</v>
      </c>
      <c r="G1526" s="328"/>
      <c r="H1526" s="328" t="s">
        <v>1126</v>
      </c>
      <c r="I1526" s="324" t="s">
        <v>1087</v>
      </c>
    </row>
    <row r="1527" spans="1:9" ht="11.1" customHeight="1" outlineLevel="1">
      <c r="A1527" s="325" t="s">
        <v>1302</v>
      </c>
      <c r="B1527" s="325" t="s">
        <v>3049</v>
      </c>
      <c r="C1527" s="325" t="s">
        <v>3050</v>
      </c>
      <c r="D1527" s="325" t="s">
        <v>1115</v>
      </c>
      <c r="E1527" s="326">
        <v>0.25600000000000001</v>
      </c>
      <c r="F1527" s="327">
        <v>12572.09</v>
      </c>
      <c r="G1527" s="328"/>
      <c r="H1527" s="328" t="s">
        <v>1126</v>
      </c>
      <c r="I1527" s="324" t="s">
        <v>1087</v>
      </c>
    </row>
    <row r="1528" spans="1:9" ht="11.1" customHeight="1" outlineLevel="1">
      <c r="A1528" s="325" t="s">
        <v>1067</v>
      </c>
      <c r="B1528" s="325" t="s">
        <v>3049</v>
      </c>
      <c r="C1528" s="325" t="s">
        <v>3050</v>
      </c>
      <c r="D1528" s="325" t="s">
        <v>1115</v>
      </c>
      <c r="E1528" s="326">
        <v>0.56999999999999995</v>
      </c>
      <c r="F1528" s="327">
        <v>28184.32</v>
      </c>
      <c r="G1528" s="328"/>
      <c r="H1528" s="328" t="s">
        <v>1126</v>
      </c>
      <c r="I1528" s="324" t="s">
        <v>1087</v>
      </c>
    </row>
    <row r="1529" spans="1:9" ht="11.1" customHeight="1" outlineLevel="1">
      <c r="A1529" s="325" t="s">
        <v>1302</v>
      </c>
      <c r="B1529" s="325" t="s">
        <v>3051</v>
      </c>
      <c r="C1529" s="325" t="s">
        <v>3052</v>
      </c>
      <c r="D1529" s="325" t="s">
        <v>1115</v>
      </c>
      <c r="E1529" s="326">
        <v>0.38800000000000001</v>
      </c>
      <c r="F1529" s="327">
        <v>19021.13</v>
      </c>
      <c r="G1529" s="328"/>
      <c r="H1529" s="328" t="s">
        <v>1126</v>
      </c>
      <c r="I1529" s="324" t="s">
        <v>1087</v>
      </c>
    </row>
    <row r="1530" spans="1:9" ht="11.1" customHeight="1" outlineLevel="1">
      <c r="A1530" s="325" t="s">
        <v>1067</v>
      </c>
      <c r="B1530" s="325" t="s">
        <v>3051</v>
      </c>
      <c r="C1530" s="325" t="s">
        <v>3052</v>
      </c>
      <c r="D1530" s="325" t="s">
        <v>1115</v>
      </c>
      <c r="E1530" s="326">
        <v>0.66800000000000004</v>
      </c>
      <c r="F1530" s="327">
        <v>32314.5</v>
      </c>
      <c r="G1530" s="328"/>
      <c r="H1530" s="328" t="s">
        <v>1126</v>
      </c>
      <c r="I1530" s="324" t="s">
        <v>1087</v>
      </c>
    </row>
    <row r="1531" spans="1:9" ht="11.1" customHeight="1" outlineLevel="1">
      <c r="A1531" s="325" t="s">
        <v>1067</v>
      </c>
      <c r="B1531" s="325" t="s">
        <v>3053</v>
      </c>
      <c r="C1531" s="325" t="s">
        <v>3054</v>
      </c>
      <c r="D1531" s="325" t="s">
        <v>517</v>
      </c>
      <c r="E1531" s="326">
        <v>6.0000000000000001E-3</v>
      </c>
      <c r="F1531" s="331">
        <v>252.5</v>
      </c>
      <c r="G1531" s="328"/>
      <c r="H1531" s="328" t="s">
        <v>1126</v>
      </c>
      <c r="I1531" s="324" t="s">
        <v>1087</v>
      </c>
    </row>
    <row r="1532" spans="1:9" ht="11.1" customHeight="1">
      <c r="A1532" s="320" t="s">
        <v>3055</v>
      </c>
      <c r="B1532" s="320"/>
      <c r="C1532" s="320"/>
      <c r="D1532" s="320"/>
      <c r="E1532" s="321">
        <v>13.798999999999999</v>
      </c>
      <c r="F1532" s="322">
        <v>544473.85</v>
      </c>
      <c r="G1532" s="323"/>
      <c r="H1532" s="323"/>
    </row>
    <row r="1533" spans="1:9" ht="11.1" customHeight="1" outlineLevel="1">
      <c r="A1533" s="325" t="s">
        <v>1302</v>
      </c>
      <c r="B1533" s="325" t="s">
        <v>3056</v>
      </c>
      <c r="C1533" s="325" t="s">
        <v>3057</v>
      </c>
      <c r="D1533" s="325" t="s">
        <v>1115</v>
      </c>
      <c r="E1533" s="326">
        <v>0.184</v>
      </c>
      <c r="F1533" s="327">
        <v>55412.66</v>
      </c>
      <c r="G1533" s="328"/>
      <c r="H1533" s="328" t="s">
        <v>2959</v>
      </c>
      <c r="I1533" s="324" t="s">
        <v>1087</v>
      </c>
    </row>
    <row r="1534" spans="1:9" ht="11.1" customHeight="1" outlineLevel="1">
      <c r="A1534" s="325" t="s">
        <v>1302</v>
      </c>
      <c r="B1534" s="325" t="s">
        <v>2967</v>
      </c>
      <c r="C1534" s="325" t="s">
        <v>2968</v>
      </c>
      <c r="D1534" s="325" t="s">
        <v>1115</v>
      </c>
      <c r="E1534" s="326">
        <v>4.2999999999999997E-2</v>
      </c>
      <c r="F1534" s="327">
        <v>1639.18</v>
      </c>
      <c r="G1534" s="328"/>
      <c r="H1534" s="328" t="s">
        <v>2959</v>
      </c>
      <c r="I1534" s="324" t="s">
        <v>1087</v>
      </c>
    </row>
    <row r="1535" spans="1:9" ht="11.1" customHeight="1" outlineLevel="1">
      <c r="A1535" s="325" t="s">
        <v>1302</v>
      </c>
      <c r="B1535" s="325" t="s">
        <v>2969</v>
      </c>
      <c r="C1535" s="325" t="s">
        <v>2970</v>
      </c>
      <c r="D1535" s="325" t="s">
        <v>1115</v>
      </c>
      <c r="E1535" s="326">
        <v>0.495</v>
      </c>
      <c r="F1535" s="327">
        <v>17366.96</v>
      </c>
      <c r="G1535" s="328"/>
      <c r="H1535" s="328" t="s">
        <v>2959</v>
      </c>
      <c r="I1535" s="324" t="s">
        <v>1087</v>
      </c>
    </row>
    <row r="1536" spans="1:9" ht="11.1" customHeight="1" outlineLevel="1">
      <c r="A1536" s="325" t="s">
        <v>1302</v>
      </c>
      <c r="B1536" s="325" t="s">
        <v>2971</v>
      </c>
      <c r="C1536" s="325" t="s">
        <v>2972</v>
      </c>
      <c r="D1536" s="325" t="s">
        <v>1115</v>
      </c>
      <c r="E1536" s="326">
        <v>0.55700000000000005</v>
      </c>
      <c r="F1536" s="327">
        <v>23080.69</v>
      </c>
      <c r="G1536" s="328"/>
      <c r="H1536" s="328" t="s">
        <v>2959</v>
      </c>
      <c r="I1536" s="324" t="s">
        <v>1087</v>
      </c>
    </row>
    <row r="1537" spans="1:9" ht="11.1" customHeight="1" outlineLevel="1">
      <c r="A1537" s="325" t="s">
        <v>1302</v>
      </c>
      <c r="B1537" s="325" t="s">
        <v>3058</v>
      </c>
      <c r="C1537" s="325" t="s">
        <v>3059</v>
      </c>
      <c r="D1537" s="325" t="s">
        <v>1115</v>
      </c>
      <c r="E1537" s="326">
        <v>1E-3</v>
      </c>
      <c r="F1537" s="331">
        <v>30.15</v>
      </c>
      <c r="G1537" s="328"/>
      <c r="H1537" s="328" t="s">
        <v>2959</v>
      </c>
      <c r="I1537" s="324" t="s">
        <v>1087</v>
      </c>
    </row>
    <row r="1538" spans="1:9" ht="11.1" customHeight="1" outlineLevel="1">
      <c r="A1538" s="325" t="s">
        <v>1302</v>
      </c>
      <c r="B1538" s="325" t="s">
        <v>2979</v>
      </c>
      <c r="C1538" s="325" t="s">
        <v>2980</v>
      </c>
      <c r="D1538" s="325" t="s">
        <v>517</v>
      </c>
      <c r="E1538" s="326">
        <v>1.02</v>
      </c>
      <c r="F1538" s="327">
        <v>44739.07</v>
      </c>
      <c r="G1538" s="328"/>
      <c r="H1538" s="328" t="s">
        <v>2959</v>
      </c>
      <c r="I1538" s="324" t="s">
        <v>1087</v>
      </c>
    </row>
    <row r="1539" spans="1:9" ht="11.1" customHeight="1" outlineLevel="1">
      <c r="A1539" s="325" t="s">
        <v>1302</v>
      </c>
      <c r="B1539" s="325" t="s">
        <v>2705</v>
      </c>
      <c r="C1539" s="325" t="s">
        <v>2706</v>
      </c>
      <c r="D1539" s="325" t="s">
        <v>517</v>
      </c>
      <c r="E1539" s="326">
        <v>0.113</v>
      </c>
      <c r="F1539" s="327">
        <v>3318.37</v>
      </c>
      <c r="G1539" s="328"/>
      <c r="H1539" s="328" t="s">
        <v>1602</v>
      </c>
      <c r="I1539" s="324" t="s">
        <v>1087</v>
      </c>
    </row>
    <row r="1540" spans="1:9" ht="11.1" customHeight="1" outlineLevel="1">
      <c r="A1540" s="325" t="s">
        <v>1302</v>
      </c>
      <c r="B1540" s="325" t="s">
        <v>2983</v>
      </c>
      <c r="C1540" s="325" t="s">
        <v>2984</v>
      </c>
      <c r="D1540" s="325" t="s">
        <v>517</v>
      </c>
      <c r="E1540" s="326">
        <v>1.4999999999999999E-2</v>
      </c>
      <c r="F1540" s="331">
        <v>430.44</v>
      </c>
      <c r="G1540" s="328"/>
      <c r="H1540" s="328" t="s">
        <v>1602</v>
      </c>
      <c r="I1540" s="324" t="s">
        <v>1087</v>
      </c>
    </row>
    <row r="1541" spans="1:9" ht="11.1" customHeight="1" outlineLevel="1">
      <c r="A1541" s="325" t="s">
        <v>1302</v>
      </c>
      <c r="B1541" s="325" t="s">
        <v>3060</v>
      </c>
      <c r="C1541" s="325" t="s">
        <v>3061</v>
      </c>
      <c r="D1541" s="325" t="s">
        <v>517</v>
      </c>
      <c r="E1541" s="326">
        <v>4.0000000000000001E-3</v>
      </c>
      <c r="F1541" s="331">
        <v>161.44</v>
      </c>
      <c r="G1541" s="328"/>
      <c r="H1541" s="160" t="s">
        <v>1029</v>
      </c>
      <c r="I1541" s="324" t="s">
        <v>1087</v>
      </c>
    </row>
    <row r="1542" spans="1:9" ht="11.1" customHeight="1" outlineLevel="1">
      <c r="A1542" s="325" t="s">
        <v>1302</v>
      </c>
      <c r="B1542" s="325" t="s">
        <v>3062</v>
      </c>
      <c r="C1542" s="325" t="s">
        <v>3063</v>
      </c>
      <c r="D1542" s="325" t="s">
        <v>517</v>
      </c>
      <c r="E1542" s="326">
        <v>0.71199999999999997</v>
      </c>
      <c r="F1542" s="327">
        <v>19900.7</v>
      </c>
      <c r="G1542" s="328"/>
      <c r="H1542" s="160" t="s">
        <v>1029</v>
      </c>
      <c r="I1542" s="324" t="s">
        <v>1087</v>
      </c>
    </row>
    <row r="1543" spans="1:9" ht="11.1" customHeight="1" outlineLevel="1">
      <c r="A1543" s="325" t="s">
        <v>1302</v>
      </c>
      <c r="B1543" s="325" t="s">
        <v>3064</v>
      </c>
      <c r="C1543" s="325" t="s">
        <v>3065</v>
      </c>
      <c r="D1543" s="325" t="s">
        <v>517</v>
      </c>
      <c r="E1543" s="326">
        <v>0.41499999999999998</v>
      </c>
      <c r="F1543" s="327">
        <v>11606.19</v>
      </c>
      <c r="G1543" s="328"/>
      <c r="H1543" s="160" t="s">
        <v>1029</v>
      </c>
      <c r="I1543" s="324" t="s">
        <v>1087</v>
      </c>
    </row>
    <row r="1544" spans="1:9" ht="11.1" customHeight="1" outlineLevel="1">
      <c r="A1544" s="325" t="s">
        <v>1302</v>
      </c>
      <c r="B1544" s="325" t="s">
        <v>3066</v>
      </c>
      <c r="C1544" s="325" t="s">
        <v>3067</v>
      </c>
      <c r="D1544" s="325" t="s">
        <v>20</v>
      </c>
      <c r="E1544" s="326">
        <v>0.41</v>
      </c>
      <c r="F1544" s="327">
        <v>12721.48</v>
      </c>
      <c r="G1544" s="328"/>
      <c r="H1544" s="328" t="s">
        <v>1028</v>
      </c>
      <c r="I1544" s="324" t="s">
        <v>1087</v>
      </c>
    </row>
    <row r="1545" spans="1:9" ht="11.1" customHeight="1" outlineLevel="1">
      <c r="A1545" s="325" t="s">
        <v>1302</v>
      </c>
      <c r="B1545" s="325" t="s">
        <v>3068</v>
      </c>
      <c r="C1545" s="325" t="s">
        <v>3069</v>
      </c>
      <c r="D1545" s="325" t="s">
        <v>1115</v>
      </c>
      <c r="E1545" s="326">
        <v>0.95399999999999996</v>
      </c>
      <c r="F1545" s="327">
        <v>27904.81</v>
      </c>
      <c r="G1545" s="328"/>
      <c r="H1545" s="328" t="s">
        <v>1028</v>
      </c>
      <c r="I1545" s="324" t="s">
        <v>1087</v>
      </c>
    </row>
    <row r="1546" spans="1:9" ht="11.1" customHeight="1" outlineLevel="1">
      <c r="A1546" s="325" t="s">
        <v>1302</v>
      </c>
      <c r="B1546" s="325" t="s">
        <v>2569</v>
      </c>
      <c r="C1546" s="325" t="s">
        <v>2570</v>
      </c>
      <c r="D1546" s="325" t="s">
        <v>1115</v>
      </c>
      <c r="E1546" s="326">
        <v>0.59799999999999998</v>
      </c>
      <c r="F1546" s="327">
        <v>17940</v>
      </c>
      <c r="G1546" s="328"/>
      <c r="H1546" s="328" t="s">
        <v>1028</v>
      </c>
      <c r="I1546" s="324" t="s">
        <v>1087</v>
      </c>
    </row>
    <row r="1547" spans="1:9" ht="11.1" customHeight="1" outlineLevel="1">
      <c r="A1547" s="325" t="s">
        <v>1302</v>
      </c>
      <c r="B1547" s="325" t="s">
        <v>2013</v>
      </c>
      <c r="C1547" s="325" t="s">
        <v>2014</v>
      </c>
      <c r="D1547" s="325" t="s">
        <v>1115</v>
      </c>
      <c r="E1547" s="326">
        <v>0.34899999999999998</v>
      </c>
      <c r="F1547" s="327">
        <v>11614.47</v>
      </c>
      <c r="G1547" s="328"/>
      <c r="H1547" s="328" t="s">
        <v>1028</v>
      </c>
      <c r="I1547" s="324" t="s">
        <v>1087</v>
      </c>
    </row>
    <row r="1548" spans="1:9" ht="11.1" customHeight="1" outlineLevel="1">
      <c r="A1548" s="325" t="s">
        <v>1302</v>
      </c>
      <c r="B1548" s="325" t="s">
        <v>3070</v>
      </c>
      <c r="C1548" s="325" t="s">
        <v>3071</v>
      </c>
      <c r="D1548" s="325" t="s">
        <v>1115</v>
      </c>
      <c r="E1548" s="326">
        <v>0.86</v>
      </c>
      <c r="F1548" s="327">
        <v>26350.94</v>
      </c>
      <c r="G1548" s="328"/>
      <c r="H1548" s="328" t="s">
        <v>1028</v>
      </c>
      <c r="I1548" s="324" t="s">
        <v>1087</v>
      </c>
    </row>
    <row r="1549" spans="1:9" ht="11.1" customHeight="1" outlineLevel="1">
      <c r="A1549" s="325" t="s">
        <v>1302</v>
      </c>
      <c r="B1549" s="325" t="s">
        <v>2731</v>
      </c>
      <c r="C1549" s="325" t="s">
        <v>2732</v>
      </c>
      <c r="D1549" s="325" t="s">
        <v>1115</v>
      </c>
      <c r="E1549" s="326">
        <v>0.9</v>
      </c>
      <c r="F1549" s="327">
        <v>27891.38</v>
      </c>
      <c r="G1549" s="328"/>
      <c r="H1549" s="328" t="s">
        <v>1028</v>
      </c>
      <c r="I1549" s="324" t="s">
        <v>1087</v>
      </c>
    </row>
    <row r="1550" spans="1:9" ht="11.1" customHeight="1" outlineLevel="1">
      <c r="A1550" s="325" t="s">
        <v>1302</v>
      </c>
      <c r="B1550" s="325" t="s">
        <v>3072</v>
      </c>
      <c r="C1550" s="325" t="s">
        <v>3073</v>
      </c>
      <c r="D1550" s="325" t="s">
        <v>1115</v>
      </c>
      <c r="E1550" s="326">
        <v>0.38100000000000001</v>
      </c>
      <c r="F1550" s="327">
        <v>11490.96</v>
      </c>
      <c r="G1550" s="328"/>
      <c r="H1550" s="328" t="s">
        <v>1028</v>
      </c>
      <c r="I1550" s="324" t="s">
        <v>1087</v>
      </c>
    </row>
    <row r="1551" spans="1:9" ht="11.1" customHeight="1" outlineLevel="1">
      <c r="A1551" s="325" t="s">
        <v>1302</v>
      </c>
      <c r="B1551" s="325" t="s">
        <v>3074</v>
      </c>
      <c r="C1551" s="325" t="s">
        <v>3075</v>
      </c>
      <c r="D1551" s="325" t="s">
        <v>1115</v>
      </c>
      <c r="E1551" s="326">
        <v>1.883</v>
      </c>
      <c r="F1551" s="327">
        <v>65707.289999999994</v>
      </c>
      <c r="G1551" s="328"/>
      <c r="H1551" s="328" t="s">
        <v>1028</v>
      </c>
      <c r="I1551" s="324" t="s">
        <v>1087</v>
      </c>
    </row>
    <row r="1552" spans="1:9" ht="11.1" customHeight="1" outlineLevel="1">
      <c r="A1552" s="325" t="s">
        <v>1302</v>
      </c>
      <c r="B1552" s="325" t="s">
        <v>3005</v>
      </c>
      <c r="C1552" s="325" t="s">
        <v>3006</v>
      </c>
      <c r="D1552" s="325" t="s">
        <v>1115</v>
      </c>
      <c r="E1552" s="326">
        <v>0.01</v>
      </c>
      <c r="F1552" s="331">
        <v>348.95</v>
      </c>
      <c r="G1552" s="328"/>
      <c r="H1552" s="328" t="s">
        <v>1028</v>
      </c>
      <c r="I1552" s="324" t="s">
        <v>1087</v>
      </c>
    </row>
    <row r="1553" spans="1:9" ht="11.1" customHeight="1" outlineLevel="1">
      <c r="A1553" s="325" t="s">
        <v>1302</v>
      </c>
      <c r="B1553" s="325" t="s">
        <v>3076</v>
      </c>
      <c r="C1553" s="325" t="s">
        <v>3077</v>
      </c>
      <c r="D1553" s="325" t="s">
        <v>517</v>
      </c>
      <c r="E1553" s="326">
        <v>0.253</v>
      </c>
      <c r="F1553" s="327">
        <v>7971.52</v>
      </c>
      <c r="G1553" s="328"/>
      <c r="H1553" s="160" t="s">
        <v>535</v>
      </c>
      <c r="I1553" s="324" t="s">
        <v>1087</v>
      </c>
    </row>
    <row r="1554" spans="1:9" ht="11.1" customHeight="1" outlineLevel="1">
      <c r="A1554" s="325" t="s">
        <v>1302</v>
      </c>
      <c r="B1554" s="325" t="s">
        <v>3025</v>
      </c>
      <c r="C1554" s="325" t="s">
        <v>3026</v>
      </c>
      <c r="D1554" s="325" t="s">
        <v>1115</v>
      </c>
      <c r="E1554" s="326">
        <v>0.11600000000000001</v>
      </c>
      <c r="F1554" s="327">
        <v>4456.88</v>
      </c>
      <c r="G1554" s="328"/>
      <c r="H1554" s="328" t="s">
        <v>663</v>
      </c>
      <c r="I1554" s="324" t="s">
        <v>1087</v>
      </c>
    </row>
    <row r="1555" spans="1:9" ht="11.1" customHeight="1" outlineLevel="1">
      <c r="A1555" s="325" t="s">
        <v>1302</v>
      </c>
      <c r="B1555" s="325" t="s">
        <v>2548</v>
      </c>
      <c r="C1555" s="325" t="s">
        <v>2549</v>
      </c>
      <c r="D1555" s="325" t="s">
        <v>517</v>
      </c>
      <c r="E1555" s="326">
        <v>0.85899999999999999</v>
      </c>
      <c r="F1555" s="327">
        <v>25926.87</v>
      </c>
      <c r="G1555" s="328"/>
      <c r="H1555" s="160" t="s">
        <v>535</v>
      </c>
      <c r="I1555" s="324" t="s">
        <v>1087</v>
      </c>
    </row>
    <row r="1556" spans="1:9" ht="11.1" customHeight="1" outlineLevel="1">
      <c r="A1556" s="325" t="s">
        <v>1302</v>
      </c>
      <c r="B1556" s="325" t="s">
        <v>3078</v>
      </c>
      <c r="C1556" s="325" t="s">
        <v>3079</v>
      </c>
      <c r="D1556" s="325" t="s">
        <v>517</v>
      </c>
      <c r="E1556" s="326">
        <v>0.153</v>
      </c>
      <c r="F1556" s="327">
        <v>4707.8999999999996</v>
      </c>
      <c r="G1556" s="328"/>
      <c r="H1556" s="160" t="s">
        <v>535</v>
      </c>
      <c r="I1556" s="324" t="s">
        <v>1087</v>
      </c>
    </row>
    <row r="1557" spans="1:9" ht="11.1" customHeight="1" outlineLevel="1">
      <c r="A1557" s="325" t="s">
        <v>1302</v>
      </c>
      <c r="B1557" s="325" t="s">
        <v>3041</v>
      </c>
      <c r="C1557" s="325" t="s">
        <v>3042</v>
      </c>
      <c r="D1557" s="325" t="s">
        <v>1115</v>
      </c>
      <c r="E1557" s="326">
        <v>0.39200000000000002</v>
      </c>
      <c r="F1557" s="327">
        <v>12540.97</v>
      </c>
      <c r="G1557" s="328"/>
      <c r="H1557" s="328" t="s">
        <v>1126</v>
      </c>
      <c r="I1557" s="324" t="s">
        <v>1087</v>
      </c>
    </row>
    <row r="1558" spans="1:9" ht="11.1" customHeight="1" outlineLevel="1">
      <c r="A1558" s="325" t="s">
        <v>1302</v>
      </c>
      <c r="B1558" s="325" t="s">
        <v>3080</v>
      </c>
      <c r="C1558" s="325" t="s">
        <v>3081</v>
      </c>
      <c r="D1558" s="325" t="s">
        <v>1115</v>
      </c>
      <c r="E1558" s="326">
        <v>0.157</v>
      </c>
      <c r="F1558" s="327">
        <v>5075.22</v>
      </c>
      <c r="G1558" s="328"/>
      <c r="H1558" s="328" t="s">
        <v>1126</v>
      </c>
      <c r="I1558" s="324" t="s">
        <v>1087</v>
      </c>
    </row>
    <row r="1559" spans="1:9" ht="11.1" customHeight="1" outlineLevel="1">
      <c r="A1559" s="325" t="s">
        <v>1302</v>
      </c>
      <c r="B1559" s="325" t="s">
        <v>2564</v>
      </c>
      <c r="C1559" s="325" t="s">
        <v>2565</v>
      </c>
      <c r="D1559" s="325" t="s">
        <v>1115</v>
      </c>
      <c r="E1559" s="326">
        <v>0.30599999999999999</v>
      </c>
      <c r="F1559" s="327">
        <v>15326.93</v>
      </c>
      <c r="G1559" s="328"/>
      <c r="H1559" s="328" t="s">
        <v>1126</v>
      </c>
      <c r="I1559" s="324" t="s">
        <v>1087</v>
      </c>
    </row>
    <row r="1560" spans="1:9" ht="11.1" customHeight="1" outlineLevel="1">
      <c r="A1560" s="325" t="s">
        <v>1302</v>
      </c>
      <c r="B1560" s="325" t="s">
        <v>3082</v>
      </c>
      <c r="C1560" s="325" t="s">
        <v>3083</v>
      </c>
      <c r="D1560" s="325" t="s">
        <v>1115</v>
      </c>
      <c r="E1560" s="326">
        <v>1.2999999999999999E-2</v>
      </c>
      <c r="F1560" s="331">
        <v>653.71</v>
      </c>
      <c r="G1560" s="328"/>
      <c r="H1560" s="328" t="s">
        <v>1126</v>
      </c>
      <c r="I1560" s="324" t="s">
        <v>1087</v>
      </c>
    </row>
    <row r="1561" spans="1:9" ht="11.1" customHeight="1" outlineLevel="1">
      <c r="A1561" s="325" t="s">
        <v>1302</v>
      </c>
      <c r="B1561" s="325" t="s">
        <v>3084</v>
      </c>
      <c r="C1561" s="325" t="s">
        <v>3085</v>
      </c>
      <c r="D1561" s="325" t="s">
        <v>1115</v>
      </c>
      <c r="E1561" s="326">
        <v>0.09</v>
      </c>
      <c r="F1561" s="327">
        <v>2544</v>
      </c>
      <c r="G1561" s="328"/>
      <c r="H1561" s="328" t="s">
        <v>1126</v>
      </c>
      <c r="I1561" s="324" t="s">
        <v>1087</v>
      </c>
    </row>
    <row r="1562" spans="1:9" ht="11.1" customHeight="1" outlineLevel="1">
      <c r="A1562" s="325" t="s">
        <v>1302</v>
      </c>
      <c r="B1562" s="325" t="s">
        <v>3086</v>
      </c>
      <c r="C1562" s="325" t="s">
        <v>3087</v>
      </c>
      <c r="D1562" s="325" t="s">
        <v>1115</v>
      </c>
      <c r="E1562" s="326">
        <v>1.556</v>
      </c>
      <c r="F1562" s="327">
        <v>85613.72</v>
      </c>
      <c r="G1562" s="328"/>
      <c r="H1562" s="328" t="s">
        <v>1126</v>
      </c>
      <c r="I1562" s="324" t="s">
        <v>1087</v>
      </c>
    </row>
    <row r="1563" spans="1:9" ht="11.1" customHeight="1">
      <c r="A1563" s="320" t="s">
        <v>3088</v>
      </c>
      <c r="B1563" s="320"/>
      <c r="C1563" s="320"/>
      <c r="D1563" s="320"/>
      <c r="E1563" s="334">
        <v>87337.247000000003</v>
      </c>
      <c r="F1563" s="322">
        <v>5843764.0999999996</v>
      </c>
      <c r="G1563" s="323"/>
      <c r="H1563" s="323"/>
    </row>
    <row r="1564" spans="1:9" ht="11.1" customHeight="1" outlineLevel="1">
      <c r="A1564" s="325" t="s">
        <v>1302</v>
      </c>
      <c r="B1564" s="325" t="s">
        <v>3089</v>
      </c>
      <c r="C1564" s="325" t="s">
        <v>3090</v>
      </c>
      <c r="D1564" s="325" t="s">
        <v>12</v>
      </c>
      <c r="E1564" s="326">
        <v>150</v>
      </c>
      <c r="F1564" s="327">
        <v>1308483</v>
      </c>
      <c r="G1564" s="328"/>
      <c r="H1564" s="336" t="s">
        <v>3091</v>
      </c>
      <c r="I1564" s="330" t="s">
        <v>2119</v>
      </c>
    </row>
    <row r="1565" spans="1:9" ht="11.1" customHeight="1" outlineLevel="1">
      <c r="A1565" s="325" t="s">
        <v>1067</v>
      </c>
      <c r="B1565" s="325" t="s">
        <v>3092</v>
      </c>
      <c r="C1565" s="325" t="s">
        <v>3093</v>
      </c>
      <c r="D1565" s="325" t="s">
        <v>20</v>
      </c>
      <c r="E1565" s="326">
        <v>2</v>
      </c>
      <c r="F1565" s="331">
        <v>100</v>
      </c>
      <c r="G1565" s="328"/>
      <c r="H1565" s="160" t="s">
        <v>560</v>
      </c>
      <c r="I1565" s="324" t="s">
        <v>1070</v>
      </c>
    </row>
    <row r="1566" spans="1:9" ht="11.1" customHeight="1" outlineLevel="1">
      <c r="A1566" s="325" t="s">
        <v>1067</v>
      </c>
      <c r="B1566" s="325" t="s">
        <v>3094</v>
      </c>
      <c r="C1566" s="325" t="s">
        <v>3095</v>
      </c>
      <c r="D1566" s="325" t="s">
        <v>20</v>
      </c>
      <c r="E1566" s="326">
        <v>8</v>
      </c>
      <c r="F1566" s="327">
        <v>1208</v>
      </c>
      <c r="G1566" s="328"/>
      <c r="H1566" s="160" t="s">
        <v>1322</v>
      </c>
      <c r="I1566" s="324" t="s">
        <v>1070</v>
      </c>
    </row>
    <row r="1567" spans="1:9" ht="11.1" customHeight="1" outlineLevel="1">
      <c r="A1567" s="325" t="s">
        <v>1302</v>
      </c>
      <c r="B1567" s="325" t="s">
        <v>3096</v>
      </c>
      <c r="C1567" s="325" t="s">
        <v>3097</v>
      </c>
      <c r="D1567" s="325" t="s">
        <v>20</v>
      </c>
      <c r="E1567" s="326">
        <v>10</v>
      </c>
      <c r="F1567" s="327">
        <v>11890</v>
      </c>
      <c r="G1567" s="328"/>
      <c r="H1567" s="160" t="s">
        <v>3098</v>
      </c>
      <c r="I1567" s="324" t="s">
        <v>1307</v>
      </c>
    </row>
    <row r="1568" spans="1:9" ht="11.1" customHeight="1" outlineLevel="1">
      <c r="A1568" s="325" t="s">
        <v>1067</v>
      </c>
      <c r="B1568" s="325" t="s">
        <v>3096</v>
      </c>
      <c r="C1568" s="325" t="s">
        <v>3097</v>
      </c>
      <c r="D1568" s="325" t="s">
        <v>20</v>
      </c>
      <c r="E1568" s="326">
        <v>1</v>
      </c>
      <c r="F1568" s="327">
        <v>1127</v>
      </c>
      <c r="G1568" s="328"/>
      <c r="H1568" s="160" t="s">
        <v>3098</v>
      </c>
      <c r="I1568" s="324" t="s">
        <v>1307</v>
      </c>
    </row>
    <row r="1569" spans="1:9" ht="11.1" customHeight="1" outlineLevel="1">
      <c r="A1569" s="325" t="s">
        <v>1302</v>
      </c>
      <c r="B1569" s="325" t="s">
        <v>3099</v>
      </c>
      <c r="C1569" s="325" t="s">
        <v>3100</v>
      </c>
      <c r="D1569" s="325" t="s">
        <v>20</v>
      </c>
      <c r="E1569" s="326">
        <v>1</v>
      </c>
      <c r="F1569" s="327">
        <v>1343</v>
      </c>
      <c r="G1569" s="328"/>
      <c r="H1569" s="160" t="s">
        <v>3098</v>
      </c>
      <c r="I1569" s="324" t="s">
        <v>1307</v>
      </c>
    </row>
    <row r="1570" spans="1:9" ht="11.1" customHeight="1" outlineLevel="1">
      <c r="A1570" s="325" t="s">
        <v>1302</v>
      </c>
      <c r="B1570" s="325" t="s">
        <v>3101</v>
      </c>
      <c r="C1570" s="325" t="s">
        <v>3102</v>
      </c>
      <c r="D1570" s="325" t="s">
        <v>20</v>
      </c>
      <c r="E1570" s="326">
        <v>4</v>
      </c>
      <c r="F1570" s="327">
        <v>2352</v>
      </c>
      <c r="G1570" s="328"/>
      <c r="H1570" s="160" t="s">
        <v>3098</v>
      </c>
      <c r="I1570" s="324" t="s">
        <v>1307</v>
      </c>
    </row>
    <row r="1571" spans="1:9" ht="11.1" customHeight="1" outlineLevel="1">
      <c r="A1571" s="325" t="s">
        <v>1302</v>
      </c>
      <c r="B1571" s="325" t="s">
        <v>3103</v>
      </c>
      <c r="C1571" s="325" t="s">
        <v>3104</v>
      </c>
      <c r="D1571" s="325" t="s">
        <v>1101</v>
      </c>
      <c r="E1571" s="326">
        <v>17</v>
      </c>
      <c r="F1571" s="331">
        <v>165.58</v>
      </c>
      <c r="G1571" s="328"/>
      <c r="H1571" s="328" t="s">
        <v>536</v>
      </c>
      <c r="I1571" s="324" t="s">
        <v>1087</v>
      </c>
    </row>
    <row r="1572" spans="1:9" ht="11.1" customHeight="1" outlineLevel="1">
      <c r="A1572" s="325" t="s">
        <v>1302</v>
      </c>
      <c r="B1572" s="325" t="s">
        <v>3105</v>
      </c>
      <c r="C1572" s="325" t="s">
        <v>3106</v>
      </c>
      <c r="D1572" s="325" t="s">
        <v>20</v>
      </c>
      <c r="E1572" s="326">
        <v>760</v>
      </c>
      <c r="F1572" s="327">
        <v>8436</v>
      </c>
      <c r="G1572" s="328"/>
      <c r="H1572" s="328" t="s">
        <v>536</v>
      </c>
      <c r="I1572" s="324" t="s">
        <v>1087</v>
      </c>
    </row>
    <row r="1573" spans="1:9" ht="11.1" customHeight="1" outlineLevel="1">
      <c r="A1573" s="325" t="s">
        <v>1302</v>
      </c>
      <c r="B1573" s="325" t="s">
        <v>3107</v>
      </c>
      <c r="C1573" s="325" t="s">
        <v>3108</v>
      </c>
      <c r="D1573" s="325" t="s">
        <v>20</v>
      </c>
      <c r="E1573" s="326">
        <v>202</v>
      </c>
      <c r="F1573" s="327">
        <v>1628.12</v>
      </c>
      <c r="G1573" s="328"/>
      <c r="H1573" s="328" t="s">
        <v>536</v>
      </c>
      <c r="I1573" s="324" t="s">
        <v>1087</v>
      </c>
    </row>
    <row r="1574" spans="1:9" ht="11.1" customHeight="1" outlineLevel="1">
      <c r="A1574" s="325" t="s">
        <v>1302</v>
      </c>
      <c r="B1574" s="325" t="s">
        <v>3109</v>
      </c>
      <c r="C1574" s="325" t="s">
        <v>3110</v>
      </c>
      <c r="D1574" s="325" t="s">
        <v>20</v>
      </c>
      <c r="E1574" s="326">
        <v>130</v>
      </c>
      <c r="F1574" s="327">
        <v>6848.4</v>
      </c>
      <c r="G1574" s="328"/>
      <c r="H1574" s="328" t="s">
        <v>536</v>
      </c>
      <c r="I1574" s="324" t="s">
        <v>1087</v>
      </c>
    </row>
    <row r="1575" spans="1:9" ht="11.1" customHeight="1" outlineLevel="1">
      <c r="A1575" s="325" t="s">
        <v>1302</v>
      </c>
      <c r="B1575" s="325" t="s">
        <v>3111</v>
      </c>
      <c r="C1575" s="325" t="s">
        <v>3112</v>
      </c>
      <c r="D1575" s="325" t="s">
        <v>1101</v>
      </c>
      <c r="E1575" s="326">
        <v>36</v>
      </c>
      <c r="F1575" s="331">
        <v>482.76</v>
      </c>
      <c r="G1575" s="328"/>
      <c r="H1575" s="328" t="s">
        <v>536</v>
      </c>
      <c r="I1575" s="324" t="s">
        <v>1087</v>
      </c>
    </row>
    <row r="1576" spans="1:9" ht="11.1" customHeight="1" outlineLevel="1">
      <c r="A1576" s="325" t="s">
        <v>1302</v>
      </c>
      <c r="B1576" s="325" t="s">
        <v>3113</v>
      </c>
      <c r="C1576" s="325" t="s">
        <v>3114</v>
      </c>
      <c r="D1576" s="325" t="s">
        <v>1101</v>
      </c>
      <c r="E1576" s="326">
        <v>852</v>
      </c>
      <c r="F1576" s="327">
        <v>12728.88</v>
      </c>
      <c r="G1576" s="328"/>
      <c r="H1576" s="328" t="s">
        <v>536</v>
      </c>
      <c r="I1576" s="324" t="s">
        <v>1087</v>
      </c>
    </row>
    <row r="1577" spans="1:9" ht="11.1" customHeight="1" outlineLevel="1">
      <c r="A1577" s="325" t="s">
        <v>1302</v>
      </c>
      <c r="B1577" s="325" t="s">
        <v>3115</v>
      </c>
      <c r="C1577" s="325" t="s">
        <v>3116</v>
      </c>
      <c r="D1577" s="325" t="s">
        <v>20</v>
      </c>
      <c r="E1577" s="326">
        <v>8</v>
      </c>
      <c r="F1577" s="331">
        <v>456.48</v>
      </c>
      <c r="G1577" s="328"/>
      <c r="H1577" s="328" t="s">
        <v>536</v>
      </c>
      <c r="I1577" s="324" t="s">
        <v>1087</v>
      </c>
    </row>
    <row r="1578" spans="1:9" ht="11.1" customHeight="1" outlineLevel="1">
      <c r="A1578" s="325" t="s">
        <v>1302</v>
      </c>
      <c r="B1578" s="325" t="s">
        <v>3117</v>
      </c>
      <c r="C1578" s="325" t="s">
        <v>3118</v>
      </c>
      <c r="D1578" s="325" t="s">
        <v>20</v>
      </c>
      <c r="E1578" s="326">
        <v>50</v>
      </c>
      <c r="F1578" s="327">
        <v>4777</v>
      </c>
      <c r="G1578" s="328"/>
      <c r="H1578" s="328" t="s">
        <v>536</v>
      </c>
      <c r="I1578" s="324" t="s">
        <v>1087</v>
      </c>
    </row>
    <row r="1579" spans="1:9" ht="11.1" customHeight="1" outlineLevel="1">
      <c r="A1579" s="325" t="s">
        <v>1302</v>
      </c>
      <c r="B1579" s="325" t="s">
        <v>3119</v>
      </c>
      <c r="C1579" s="325" t="s">
        <v>3120</v>
      </c>
      <c r="D1579" s="325" t="s">
        <v>20</v>
      </c>
      <c r="E1579" s="326">
        <v>56</v>
      </c>
      <c r="F1579" s="327">
        <v>1432.48</v>
      </c>
      <c r="G1579" s="328"/>
      <c r="H1579" s="328" t="s">
        <v>536</v>
      </c>
      <c r="I1579" s="324" t="s">
        <v>1087</v>
      </c>
    </row>
    <row r="1580" spans="1:9" ht="11.1" customHeight="1" outlineLevel="1">
      <c r="A1580" s="325" t="s">
        <v>1302</v>
      </c>
      <c r="B1580" s="325" t="s">
        <v>3121</v>
      </c>
      <c r="C1580" s="325" t="s">
        <v>3122</v>
      </c>
      <c r="D1580" s="325" t="s">
        <v>1220</v>
      </c>
      <c r="E1580" s="326">
        <v>2.64</v>
      </c>
      <c r="F1580" s="327">
        <v>26244.25</v>
      </c>
      <c r="G1580" s="328"/>
      <c r="H1580" s="328" t="s">
        <v>1337</v>
      </c>
      <c r="I1580" s="324" t="s">
        <v>1087</v>
      </c>
    </row>
    <row r="1581" spans="1:9" ht="11.1" customHeight="1" outlineLevel="1">
      <c r="A1581" s="325" t="s">
        <v>1067</v>
      </c>
      <c r="B1581" s="325" t="s">
        <v>1363</v>
      </c>
      <c r="C1581" s="325" t="s">
        <v>1364</v>
      </c>
      <c r="D1581" s="325" t="s">
        <v>886</v>
      </c>
      <c r="E1581" s="326">
        <v>0.26</v>
      </c>
      <c r="F1581" s="327">
        <v>7406.41</v>
      </c>
      <c r="G1581" s="328"/>
      <c r="H1581" s="328" t="s">
        <v>549</v>
      </c>
      <c r="I1581" s="324" t="s">
        <v>289</v>
      </c>
    </row>
    <row r="1582" spans="1:9" ht="11.1" customHeight="1" outlineLevel="1">
      <c r="A1582" s="325" t="s">
        <v>1067</v>
      </c>
      <c r="B1582" s="325" t="s">
        <v>1365</v>
      </c>
      <c r="C1582" s="325" t="s">
        <v>1366</v>
      </c>
      <c r="D1582" s="325" t="s">
        <v>886</v>
      </c>
      <c r="E1582" s="326">
        <v>0.31</v>
      </c>
      <c r="F1582" s="327">
        <v>14151.33</v>
      </c>
      <c r="G1582" s="328"/>
      <c r="H1582" s="328" t="s">
        <v>549</v>
      </c>
      <c r="I1582" s="324" t="s">
        <v>289</v>
      </c>
    </row>
    <row r="1583" spans="1:9" ht="11.1" customHeight="1" outlineLevel="1">
      <c r="A1583" s="325" t="s">
        <v>1067</v>
      </c>
      <c r="B1583" s="325" t="s">
        <v>3123</v>
      </c>
      <c r="C1583" s="325" t="s">
        <v>3124</v>
      </c>
      <c r="D1583" s="325" t="s">
        <v>886</v>
      </c>
      <c r="E1583" s="326">
        <v>4.8000000000000001E-2</v>
      </c>
      <c r="F1583" s="327">
        <v>4932.51</v>
      </c>
      <c r="G1583" s="328"/>
      <c r="H1583" s="328" t="s">
        <v>549</v>
      </c>
      <c r="I1583" s="324" t="s">
        <v>289</v>
      </c>
    </row>
    <row r="1584" spans="1:9" ht="11.1" customHeight="1" outlineLevel="1">
      <c r="A1584" s="325" t="s">
        <v>1067</v>
      </c>
      <c r="B1584" s="325" t="s">
        <v>3125</v>
      </c>
      <c r="C1584" s="325" t="s">
        <v>3126</v>
      </c>
      <c r="D1584" s="325" t="s">
        <v>886</v>
      </c>
      <c r="E1584" s="326">
        <v>3.3000000000000002E-2</v>
      </c>
      <c r="F1584" s="327">
        <v>22861.279999999999</v>
      </c>
      <c r="G1584" s="328"/>
      <c r="H1584" s="328" t="s">
        <v>549</v>
      </c>
      <c r="I1584" s="324" t="s">
        <v>289</v>
      </c>
    </row>
    <row r="1585" spans="1:9" ht="11.1" customHeight="1" outlineLevel="1">
      <c r="A1585" s="325" t="s">
        <v>1067</v>
      </c>
      <c r="B1585" s="325" t="s">
        <v>3127</v>
      </c>
      <c r="C1585" s="325" t="s">
        <v>3128</v>
      </c>
      <c r="D1585" s="325" t="s">
        <v>886</v>
      </c>
      <c r="E1585" s="326">
        <v>7.6999999999999999E-2</v>
      </c>
      <c r="F1585" s="327">
        <v>21080.14</v>
      </c>
      <c r="G1585" s="328"/>
      <c r="H1585" s="328" t="s">
        <v>549</v>
      </c>
      <c r="I1585" s="324" t="s">
        <v>289</v>
      </c>
    </row>
    <row r="1586" spans="1:9" ht="11.1" customHeight="1" outlineLevel="1">
      <c r="A1586" s="325" t="s">
        <v>1067</v>
      </c>
      <c r="B1586" s="325" t="s">
        <v>3129</v>
      </c>
      <c r="C1586" s="325" t="s">
        <v>3130</v>
      </c>
      <c r="D1586" s="325" t="s">
        <v>886</v>
      </c>
      <c r="E1586" s="326">
        <v>6.5000000000000002E-2</v>
      </c>
      <c r="F1586" s="327">
        <v>4939.0600000000004</v>
      </c>
      <c r="G1586" s="328"/>
      <c r="H1586" s="328" t="s">
        <v>549</v>
      </c>
      <c r="I1586" s="324" t="s">
        <v>289</v>
      </c>
    </row>
    <row r="1587" spans="1:9" ht="11.1" customHeight="1" outlineLevel="1">
      <c r="A1587" s="325" t="s">
        <v>1067</v>
      </c>
      <c r="B1587" s="325" t="s">
        <v>3131</v>
      </c>
      <c r="C1587" s="325" t="s">
        <v>3132</v>
      </c>
      <c r="D1587" s="325" t="s">
        <v>886</v>
      </c>
      <c r="E1587" s="326">
        <v>2.9000000000000001E-2</v>
      </c>
      <c r="F1587" s="327">
        <v>38987.1</v>
      </c>
      <c r="G1587" s="328"/>
      <c r="H1587" s="328" t="s">
        <v>549</v>
      </c>
      <c r="I1587" s="324" t="s">
        <v>289</v>
      </c>
    </row>
    <row r="1588" spans="1:9" ht="11.1" customHeight="1" outlineLevel="1">
      <c r="A1588" s="325" t="s">
        <v>1067</v>
      </c>
      <c r="B1588" s="325" t="s">
        <v>3133</v>
      </c>
      <c r="C1588" s="325" t="s">
        <v>2451</v>
      </c>
      <c r="D1588" s="325" t="s">
        <v>886</v>
      </c>
      <c r="E1588" s="326">
        <v>0.06</v>
      </c>
      <c r="F1588" s="327">
        <v>10154.950000000001</v>
      </c>
      <c r="G1588" s="328"/>
      <c r="H1588" s="328" t="s">
        <v>549</v>
      </c>
      <c r="I1588" s="324" t="s">
        <v>289</v>
      </c>
    </row>
    <row r="1589" spans="1:9" ht="11.1" customHeight="1" outlineLevel="1">
      <c r="A1589" s="325" t="s">
        <v>1067</v>
      </c>
      <c r="B1589" s="325" t="s">
        <v>3134</v>
      </c>
      <c r="C1589" s="325" t="s">
        <v>3135</v>
      </c>
      <c r="D1589" s="325" t="s">
        <v>20</v>
      </c>
      <c r="E1589" s="326">
        <v>1</v>
      </c>
      <c r="F1589" s="331">
        <v>105</v>
      </c>
      <c r="G1589" s="328"/>
      <c r="H1589" s="160" t="s">
        <v>577</v>
      </c>
      <c r="I1589" s="324" t="s">
        <v>289</v>
      </c>
    </row>
    <row r="1590" spans="1:9" ht="11.1" customHeight="1" outlineLevel="1">
      <c r="A1590" s="325" t="s">
        <v>1067</v>
      </c>
      <c r="B1590" s="325" t="s">
        <v>2456</v>
      </c>
      <c r="C1590" s="325" t="s">
        <v>2457</v>
      </c>
      <c r="D1590" s="325" t="s">
        <v>20</v>
      </c>
      <c r="E1590" s="326">
        <v>11</v>
      </c>
      <c r="F1590" s="327">
        <v>1078</v>
      </c>
      <c r="G1590" s="328"/>
      <c r="H1590" s="160" t="s">
        <v>577</v>
      </c>
      <c r="I1590" s="324" t="s">
        <v>289</v>
      </c>
    </row>
    <row r="1591" spans="1:9" ht="11.1" customHeight="1" outlineLevel="1">
      <c r="A1591" s="325" t="s">
        <v>1067</v>
      </c>
      <c r="B1591" s="325" t="s">
        <v>2458</v>
      </c>
      <c r="C1591" s="325" t="s">
        <v>2459</v>
      </c>
      <c r="D1591" s="325" t="s">
        <v>20</v>
      </c>
      <c r="E1591" s="326">
        <v>7</v>
      </c>
      <c r="F1591" s="331">
        <v>837.31</v>
      </c>
      <c r="G1591" s="328"/>
      <c r="H1591" s="160" t="s">
        <v>577</v>
      </c>
      <c r="I1591" s="324" t="s">
        <v>289</v>
      </c>
    </row>
    <row r="1592" spans="1:9" ht="11.1" customHeight="1" outlineLevel="1">
      <c r="A1592" s="325" t="s">
        <v>1302</v>
      </c>
      <c r="B1592" s="325" t="s">
        <v>3136</v>
      </c>
      <c r="C1592" s="325" t="s">
        <v>3137</v>
      </c>
      <c r="D1592" s="325" t="s">
        <v>20</v>
      </c>
      <c r="E1592" s="326">
        <v>1</v>
      </c>
      <c r="F1592" s="327">
        <v>4928.33</v>
      </c>
      <c r="G1592" s="328"/>
      <c r="H1592" s="174" t="s">
        <v>3138</v>
      </c>
      <c r="I1592" s="324" t="s">
        <v>425</v>
      </c>
    </row>
    <row r="1593" spans="1:9" ht="11.1" customHeight="1" outlineLevel="1">
      <c r="A1593" s="325" t="s">
        <v>1302</v>
      </c>
      <c r="B1593" s="325" t="s">
        <v>3139</v>
      </c>
      <c r="C1593" s="325" t="s">
        <v>3140</v>
      </c>
      <c r="D1593" s="325" t="s">
        <v>20</v>
      </c>
      <c r="E1593" s="326">
        <v>1</v>
      </c>
      <c r="F1593" s="327">
        <v>6328.33</v>
      </c>
      <c r="G1593" s="328"/>
      <c r="H1593" s="174" t="s">
        <v>3138</v>
      </c>
      <c r="I1593" s="324" t="s">
        <v>425</v>
      </c>
    </row>
    <row r="1594" spans="1:9" ht="11.1" customHeight="1" outlineLevel="1">
      <c r="A1594" s="325" t="s">
        <v>1302</v>
      </c>
      <c r="B1594" s="325" t="s">
        <v>3141</v>
      </c>
      <c r="C1594" s="325" t="s">
        <v>3142</v>
      </c>
      <c r="D1594" s="325" t="s">
        <v>20</v>
      </c>
      <c r="E1594" s="326">
        <v>1</v>
      </c>
      <c r="F1594" s="327">
        <v>7755.83</v>
      </c>
      <c r="G1594" s="328"/>
      <c r="H1594" s="174" t="s">
        <v>3138</v>
      </c>
      <c r="I1594" s="324" t="s">
        <v>425</v>
      </c>
    </row>
    <row r="1595" spans="1:9" ht="11.1" customHeight="1" outlineLevel="1">
      <c r="A1595" s="325" t="s">
        <v>1302</v>
      </c>
      <c r="B1595" s="325" t="s">
        <v>3143</v>
      </c>
      <c r="C1595" s="325" t="s">
        <v>3144</v>
      </c>
      <c r="D1595" s="325" t="s">
        <v>20</v>
      </c>
      <c r="E1595" s="326">
        <v>1</v>
      </c>
      <c r="F1595" s="327">
        <v>5124.17</v>
      </c>
      <c r="G1595" s="328"/>
      <c r="H1595" s="174" t="s">
        <v>3138</v>
      </c>
      <c r="I1595" s="324" t="s">
        <v>425</v>
      </c>
    </row>
    <row r="1596" spans="1:9" ht="11.1" customHeight="1" outlineLevel="1">
      <c r="A1596" s="325" t="s">
        <v>1302</v>
      </c>
      <c r="B1596" s="325" t="s">
        <v>3145</v>
      </c>
      <c r="C1596" s="325" t="s">
        <v>3146</v>
      </c>
      <c r="D1596" s="325" t="s">
        <v>20</v>
      </c>
      <c r="E1596" s="326">
        <v>1</v>
      </c>
      <c r="F1596" s="327">
        <v>5124.17</v>
      </c>
      <c r="G1596" s="328"/>
      <c r="H1596" s="174" t="s">
        <v>3138</v>
      </c>
      <c r="I1596" s="324" t="s">
        <v>425</v>
      </c>
    </row>
    <row r="1597" spans="1:9" ht="11.1" customHeight="1" outlineLevel="1">
      <c r="A1597" s="325" t="s">
        <v>1067</v>
      </c>
      <c r="B1597" s="325" t="s">
        <v>3147</v>
      </c>
      <c r="C1597" s="325" t="s">
        <v>3148</v>
      </c>
      <c r="D1597" s="325" t="s">
        <v>20</v>
      </c>
      <c r="E1597" s="326">
        <v>6</v>
      </c>
      <c r="F1597" s="331">
        <v>302.39999999999998</v>
      </c>
      <c r="G1597" s="328"/>
      <c r="H1597" s="328" t="s">
        <v>1386</v>
      </c>
      <c r="I1597" s="324" t="s">
        <v>1070</v>
      </c>
    </row>
    <row r="1598" spans="1:9" ht="11.1" customHeight="1" outlineLevel="1">
      <c r="A1598" s="325" t="s">
        <v>1067</v>
      </c>
      <c r="B1598" s="325" t="s">
        <v>3149</v>
      </c>
      <c r="C1598" s="325" t="s">
        <v>3150</v>
      </c>
      <c r="D1598" s="325" t="s">
        <v>20</v>
      </c>
      <c r="E1598" s="326">
        <v>2</v>
      </c>
      <c r="F1598" s="331">
        <v>31</v>
      </c>
      <c r="G1598" s="328"/>
      <c r="H1598" s="328" t="s">
        <v>1386</v>
      </c>
      <c r="I1598" s="324" t="s">
        <v>1070</v>
      </c>
    </row>
    <row r="1599" spans="1:9" ht="11.1" customHeight="1" outlineLevel="1">
      <c r="A1599" s="325" t="s">
        <v>1067</v>
      </c>
      <c r="B1599" s="325" t="s">
        <v>1387</v>
      </c>
      <c r="C1599" s="325" t="s">
        <v>1388</v>
      </c>
      <c r="D1599" s="325" t="s">
        <v>20</v>
      </c>
      <c r="E1599" s="326">
        <v>10</v>
      </c>
      <c r="F1599" s="331">
        <v>155</v>
      </c>
      <c r="G1599" s="328"/>
      <c r="H1599" s="328" t="s">
        <v>1386</v>
      </c>
      <c r="I1599" s="324" t="s">
        <v>1070</v>
      </c>
    </row>
    <row r="1600" spans="1:9" ht="11.1" customHeight="1" outlineLevel="1">
      <c r="A1600" s="325" t="s">
        <v>1067</v>
      </c>
      <c r="B1600" s="325" t="s">
        <v>3151</v>
      </c>
      <c r="C1600" s="325" t="s">
        <v>3152</v>
      </c>
      <c r="D1600" s="325" t="s">
        <v>20</v>
      </c>
      <c r="E1600" s="326">
        <v>1</v>
      </c>
      <c r="F1600" s="331">
        <v>641.5</v>
      </c>
      <c r="G1600" s="328"/>
      <c r="H1600" s="328" t="s">
        <v>1386</v>
      </c>
      <c r="I1600" s="324" t="s">
        <v>1070</v>
      </c>
    </row>
    <row r="1601" spans="1:9" ht="11.1" customHeight="1" outlineLevel="1">
      <c r="A1601" s="325" t="s">
        <v>1067</v>
      </c>
      <c r="B1601" s="325" t="s">
        <v>3153</v>
      </c>
      <c r="C1601" s="325" t="s">
        <v>3154</v>
      </c>
      <c r="D1601" s="325" t="s">
        <v>20</v>
      </c>
      <c r="E1601" s="326">
        <v>1</v>
      </c>
      <c r="F1601" s="331">
        <v>627.29999999999995</v>
      </c>
      <c r="G1601" s="328"/>
      <c r="H1601" s="328" t="s">
        <v>3155</v>
      </c>
      <c r="I1601" s="324" t="s">
        <v>289</v>
      </c>
    </row>
    <row r="1602" spans="1:9" ht="11.1" customHeight="1" outlineLevel="1">
      <c r="A1602" s="325" t="s">
        <v>1302</v>
      </c>
      <c r="B1602" s="325" t="s">
        <v>3156</v>
      </c>
      <c r="C1602" s="325" t="s">
        <v>3157</v>
      </c>
      <c r="D1602" s="325" t="s">
        <v>20</v>
      </c>
      <c r="E1602" s="326">
        <v>60</v>
      </c>
      <c r="F1602" s="327">
        <v>6799.8</v>
      </c>
      <c r="G1602" s="328"/>
      <c r="H1602" s="174" t="s">
        <v>670</v>
      </c>
      <c r="I1602" s="324" t="s">
        <v>1087</v>
      </c>
    </row>
    <row r="1603" spans="1:9" ht="11.1" customHeight="1" outlineLevel="1">
      <c r="A1603" s="325" t="s">
        <v>1067</v>
      </c>
      <c r="B1603" s="325" t="s">
        <v>3158</v>
      </c>
      <c r="C1603" s="325" t="s">
        <v>3159</v>
      </c>
      <c r="D1603" s="325" t="s">
        <v>20</v>
      </c>
      <c r="E1603" s="326">
        <v>1</v>
      </c>
      <c r="F1603" s="327">
        <v>5605.6</v>
      </c>
      <c r="G1603" s="328"/>
      <c r="H1603" s="174" t="s">
        <v>1054</v>
      </c>
      <c r="I1603" s="324" t="s">
        <v>1070</v>
      </c>
    </row>
    <row r="1604" spans="1:9" ht="11.1" customHeight="1" outlineLevel="1">
      <c r="A1604" s="325" t="s">
        <v>1067</v>
      </c>
      <c r="B1604" s="325" t="s">
        <v>1392</v>
      </c>
      <c r="C1604" s="325" t="s">
        <v>1393</v>
      </c>
      <c r="D1604" s="325" t="s">
        <v>20</v>
      </c>
      <c r="E1604" s="326">
        <v>4</v>
      </c>
      <c r="F1604" s="327">
        <v>28336</v>
      </c>
      <c r="G1604" s="328"/>
      <c r="H1604" s="174" t="s">
        <v>1054</v>
      </c>
      <c r="I1604" s="324" t="s">
        <v>1070</v>
      </c>
    </row>
    <row r="1605" spans="1:9" ht="11.1" customHeight="1" outlineLevel="1">
      <c r="A1605" s="325" t="s">
        <v>1067</v>
      </c>
      <c r="B1605" s="325" t="s">
        <v>3160</v>
      </c>
      <c r="C1605" s="325" t="s">
        <v>3161</v>
      </c>
      <c r="D1605" s="325" t="s">
        <v>20</v>
      </c>
      <c r="E1605" s="326">
        <v>1</v>
      </c>
      <c r="F1605" s="327">
        <v>49968.75</v>
      </c>
      <c r="G1605" s="328"/>
      <c r="H1605" s="328" t="s">
        <v>2075</v>
      </c>
      <c r="I1605" s="324" t="s">
        <v>289</v>
      </c>
    </row>
    <row r="1606" spans="1:9" ht="11.1" customHeight="1" outlineLevel="1">
      <c r="A1606" s="325" t="s">
        <v>1067</v>
      </c>
      <c r="B1606" s="325" t="s">
        <v>3162</v>
      </c>
      <c r="C1606" s="325" t="s">
        <v>3163</v>
      </c>
      <c r="D1606" s="325" t="s">
        <v>20</v>
      </c>
      <c r="E1606" s="326">
        <v>150</v>
      </c>
      <c r="F1606" s="331">
        <v>33</v>
      </c>
      <c r="G1606" s="328"/>
      <c r="H1606" s="160" t="s">
        <v>537</v>
      </c>
      <c r="I1606" s="324" t="s">
        <v>1087</v>
      </c>
    </row>
    <row r="1607" spans="1:9" ht="11.1" customHeight="1" outlineLevel="1">
      <c r="A1607" s="325" t="s">
        <v>1302</v>
      </c>
      <c r="B1607" s="325" t="s">
        <v>3164</v>
      </c>
      <c r="C1607" s="325" t="s">
        <v>3165</v>
      </c>
      <c r="D1607" s="325" t="s">
        <v>20</v>
      </c>
      <c r="E1607" s="335">
        <v>4980</v>
      </c>
      <c r="F1607" s="327">
        <v>10059.6</v>
      </c>
      <c r="G1607" s="328"/>
      <c r="H1607" s="160" t="s">
        <v>537</v>
      </c>
      <c r="I1607" s="324" t="s">
        <v>1087</v>
      </c>
    </row>
    <row r="1608" spans="1:9" ht="11.1" customHeight="1" outlineLevel="1">
      <c r="A1608" s="325" t="s">
        <v>1302</v>
      </c>
      <c r="B1608" s="325" t="s">
        <v>3166</v>
      </c>
      <c r="C1608" s="325" t="s">
        <v>3167</v>
      </c>
      <c r="D1608" s="325" t="s">
        <v>20</v>
      </c>
      <c r="E1608" s="335">
        <v>2036</v>
      </c>
      <c r="F1608" s="327">
        <v>6986.96</v>
      </c>
      <c r="G1608" s="328"/>
      <c r="H1608" s="160" t="s">
        <v>537</v>
      </c>
      <c r="I1608" s="324" t="s">
        <v>1087</v>
      </c>
    </row>
    <row r="1609" spans="1:9" ht="11.1" customHeight="1" outlineLevel="1">
      <c r="A1609" s="325" t="s">
        <v>1302</v>
      </c>
      <c r="B1609" s="325" t="s">
        <v>3168</v>
      </c>
      <c r="C1609" s="325" t="s">
        <v>3169</v>
      </c>
      <c r="D1609" s="325" t="s">
        <v>1101</v>
      </c>
      <c r="E1609" s="326">
        <v>228</v>
      </c>
      <c r="F1609" s="327">
        <v>1988.16</v>
      </c>
      <c r="G1609" s="328"/>
      <c r="H1609" s="160" t="s">
        <v>537</v>
      </c>
      <c r="I1609" s="324" t="s">
        <v>1087</v>
      </c>
    </row>
    <row r="1610" spans="1:9" ht="11.1" customHeight="1" outlineLevel="1">
      <c r="A1610" s="325" t="s">
        <v>1067</v>
      </c>
      <c r="B1610" s="325" t="s">
        <v>3170</v>
      </c>
      <c r="C1610" s="325" t="s">
        <v>3171</v>
      </c>
      <c r="D1610" s="325" t="s">
        <v>20</v>
      </c>
      <c r="E1610" s="326">
        <v>8</v>
      </c>
      <c r="F1610" s="327">
        <v>5160</v>
      </c>
      <c r="G1610" s="328"/>
      <c r="H1610" s="174" t="s">
        <v>2606</v>
      </c>
      <c r="I1610" s="324" t="s">
        <v>425</v>
      </c>
    </row>
    <row r="1611" spans="1:9" ht="11.1" customHeight="1" outlineLevel="1">
      <c r="A1611" s="325" t="s">
        <v>1067</v>
      </c>
      <c r="B1611" s="325" t="s">
        <v>3172</v>
      </c>
      <c r="C1611" s="325" t="s">
        <v>3173</v>
      </c>
      <c r="D1611" s="325" t="s">
        <v>20</v>
      </c>
      <c r="E1611" s="326">
        <v>4</v>
      </c>
      <c r="F1611" s="327">
        <v>1148</v>
      </c>
      <c r="G1611" s="328"/>
      <c r="H1611" s="174" t="s">
        <v>2606</v>
      </c>
      <c r="I1611" s="324" t="s">
        <v>425</v>
      </c>
    </row>
    <row r="1612" spans="1:9" ht="11.1" customHeight="1" outlineLevel="1">
      <c r="A1612" s="325" t="s">
        <v>1067</v>
      </c>
      <c r="B1612" s="325" t="s">
        <v>3174</v>
      </c>
      <c r="C1612" s="325" t="s">
        <v>3175</v>
      </c>
      <c r="D1612" s="325" t="s">
        <v>20</v>
      </c>
      <c r="E1612" s="326">
        <v>10</v>
      </c>
      <c r="F1612" s="327">
        <v>3280</v>
      </c>
      <c r="G1612" s="328"/>
      <c r="H1612" s="174" t="s">
        <v>2606</v>
      </c>
      <c r="I1612" s="324" t="s">
        <v>425</v>
      </c>
    </row>
    <row r="1613" spans="1:9" ht="11.1" customHeight="1" outlineLevel="1">
      <c r="A1613" s="325" t="s">
        <v>1302</v>
      </c>
      <c r="B1613" s="325" t="s">
        <v>3176</v>
      </c>
      <c r="C1613" s="325" t="s">
        <v>3177</v>
      </c>
      <c r="D1613" s="325" t="s">
        <v>20</v>
      </c>
      <c r="E1613" s="335">
        <v>3500</v>
      </c>
      <c r="F1613" s="327">
        <v>2304.96</v>
      </c>
      <c r="G1613" s="328"/>
      <c r="H1613" s="328" t="s">
        <v>612</v>
      </c>
      <c r="I1613" s="324" t="s">
        <v>1105</v>
      </c>
    </row>
    <row r="1614" spans="1:9" ht="11.1" customHeight="1" outlineLevel="1">
      <c r="A1614" s="325" t="s">
        <v>1067</v>
      </c>
      <c r="B1614" s="325" t="s">
        <v>3178</v>
      </c>
      <c r="C1614" s="325" t="s">
        <v>3179</v>
      </c>
      <c r="D1614" s="325" t="s">
        <v>20</v>
      </c>
      <c r="E1614" s="326">
        <v>150</v>
      </c>
      <c r="F1614" s="331">
        <v>96.47</v>
      </c>
      <c r="G1614" s="328"/>
      <c r="H1614" s="328" t="s">
        <v>612</v>
      </c>
      <c r="I1614" s="324" t="s">
        <v>1105</v>
      </c>
    </row>
    <row r="1615" spans="1:9" ht="11.1" customHeight="1" outlineLevel="1">
      <c r="A1615" s="325" t="s">
        <v>1302</v>
      </c>
      <c r="B1615" s="325" t="s">
        <v>3180</v>
      </c>
      <c r="C1615" s="325" t="s">
        <v>3181</v>
      </c>
      <c r="D1615" s="325" t="s">
        <v>12</v>
      </c>
      <c r="E1615" s="326">
        <v>726</v>
      </c>
      <c r="F1615" s="327">
        <v>8349</v>
      </c>
      <c r="G1615" s="328"/>
      <c r="H1615" s="328" t="s">
        <v>1748</v>
      </c>
      <c r="I1615" s="324" t="s">
        <v>1105</v>
      </c>
    </row>
    <row r="1616" spans="1:9" ht="11.1" customHeight="1" outlineLevel="1">
      <c r="A1616" s="325" t="s">
        <v>1067</v>
      </c>
      <c r="B1616" s="325" t="s">
        <v>1406</v>
      </c>
      <c r="C1616" s="325" t="s">
        <v>1407</v>
      </c>
      <c r="D1616" s="325" t="s">
        <v>20</v>
      </c>
      <c r="E1616" s="326">
        <v>2</v>
      </c>
      <c r="F1616" s="331">
        <v>512</v>
      </c>
      <c r="G1616" s="328"/>
      <c r="H1616" s="160" t="s">
        <v>561</v>
      </c>
      <c r="I1616" s="324" t="s">
        <v>1070</v>
      </c>
    </row>
    <row r="1617" spans="1:9" ht="11.1" customHeight="1" outlineLevel="1">
      <c r="A1617" s="325" t="s">
        <v>1067</v>
      </c>
      <c r="B1617" s="325" t="s">
        <v>1410</v>
      </c>
      <c r="C1617" s="325" t="s">
        <v>1411</v>
      </c>
      <c r="D1617" s="325" t="s">
        <v>20</v>
      </c>
      <c r="E1617" s="326">
        <v>1</v>
      </c>
      <c r="F1617" s="331">
        <v>116.4</v>
      </c>
      <c r="G1617" s="328"/>
      <c r="H1617" s="160" t="s">
        <v>561</v>
      </c>
      <c r="I1617" s="324" t="s">
        <v>1070</v>
      </c>
    </row>
    <row r="1618" spans="1:9" ht="11.1" customHeight="1" outlineLevel="1">
      <c r="A1618" s="325" t="s">
        <v>1302</v>
      </c>
      <c r="B1618" s="325" t="s">
        <v>3182</v>
      </c>
      <c r="C1618" s="325" t="s">
        <v>3183</v>
      </c>
      <c r="D1618" s="325" t="s">
        <v>14</v>
      </c>
      <c r="E1618" s="326">
        <v>157.5</v>
      </c>
      <c r="F1618" s="327">
        <v>15972</v>
      </c>
      <c r="G1618" s="328"/>
      <c r="H1618" s="160" t="s">
        <v>1034</v>
      </c>
      <c r="I1618" s="324" t="s">
        <v>1087</v>
      </c>
    </row>
    <row r="1619" spans="1:9" ht="11.1" customHeight="1" outlineLevel="1">
      <c r="A1619" s="325" t="s">
        <v>1302</v>
      </c>
      <c r="B1619" s="325" t="s">
        <v>1201</v>
      </c>
      <c r="C1619" s="325" t="s">
        <v>1202</v>
      </c>
      <c r="D1619" s="325" t="s">
        <v>14</v>
      </c>
      <c r="E1619" s="326">
        <v>100</v>
      </c>
      <c r="F1619" s="327">
        <v>6334</v>
      </c>
      <c r="G1619" s="328"/>
      <c r="H1619" s="160" t="s">
        <v>1034</v>
      </c>
      <c r="I1619" s="324" t="s">
        <v>1087</v>
      </c>
    </row>
    <row r="1620" spans="1:9" ht="11.1" customHeight="1" outlineLevel="1">
      <c r="A1620" s="325" t="s">
        <v>1302</v>
      </c>
      <c r="B1620" s="325" t="s">
        <v>1422</v>
      </c>
      <c r="C1620" s="325" t="s">
        <v>1423</v>
      </c>
      <c r="D1620" s="325" t="s">
        <v>20</v>
      </c>
      <c r="E1620" s="326">
        <v>3</v>
      </c>
      <c r="F1620" s="327">
        <v>1569</v>
      </c>
      <c r="G1620" s="328"/>
      <c r="H1620" s="160" t="s">
        <v>605</v>
      </c>
      <c r="I1620" s="324" t="s">
        <v>1087</v>
      </c>
    </row>
    <row r="1621" spans="1:9" ht="11.1" customHeight="1" outlineLevel="1">
      <c r="A1621" s="325" t="s">
        <v>1067</v>
      </c>
      <c r="B1621" s="325" t="s">
        <v>3184</v>
      </c>
      <c r="C1621" s="325" t="s">
        <v>3185</v>
      </c>
      <c r="D1621" s="325" t="s">
        <v>20</v>
      </c>
      <c r="E1621" s="326">
        <v>1</v>
      </c>
      <c r="F1621" s="331">
        <v>167</v>
      </c>
      <c r="G1621" s="328"/>
      <c r="H1621" s="160" t="s">
        <v>605</v>
      </c>
      <c r="I1621" s="324" t="s">
        <v>1087</v>
      </c>
    </row>
    <row r="1622" spans="1:9" ht="11.1" customHeight="1" outlineLevel="1">
      <c r="A1622" s="325" t="s">
        <v>1302</v>
      </c>
      <c r="B1622" s="325" t="s">
        <v>3186</v>
      </c>
      <c r="C1622" s="325" t="s">
        <v>3187</v>
      </c>
      <c r="D1622" s="325" t="s">
        <v>14</v>
      </c>
      <c r="E1622" s="326">
        <v>100</v>
      </c>
      <c r="F1622" s="327">
        <v>9752</v>
      </c>
      <c r="G1622" s="328"/>
      <c r="H1622" s="160" t="s">
        <v>605</v>
      </c>
      <c r="I1622" s="324" t="s">
        <v>1087</v>
      </c>
    </row>
    <row r="1623" spans="1:9" ht="11.1" customHeight="1" outlineLevel="1">
      <c r="A1623" s="325" t="s">
        <v>1302</v>
      </c>
      <c r="B1623" s="325" t="s">
        <v>3188</v>
      </c>
      <c r="C1623" s="325" t="s">
        <v>3189</v>
      </c>
      <c r="D1623" s="325" t="s">
        <v>12</v>
      </c>
      <c r="E1623" s="326">
        <v>1.845</v>
      </c>
      <c r="F1623" s="327">
        <v>14399.17</v>
      </c>
      <c r="G1623" s="328"/>
      <c r="H1623" s="336" t="s">
        <v>3091</v>
      </c>
      <c r="I1623" s="330" t="s">
        <v>2119</v>
      </c>
    </row>
    <row r="1624" spans="1:9" ht="11.1" customHeight="1" outlineLevel="1">
      <c r="A1624" s="325" t="s">
        <v>1067</v>
      </c>
      <c r="B1624" s="325" t="s">
        <v>3190</v>
      </c>
      <c r="C1624" s="325" t="s">
        <v>3191</v>
      </c>
      <c r="D1624" s="325" t="s">
        <v>20</v>
      </c>
      <c r="E1624" s="326">
        <v>90</v>
      </c>
      <c r="F1624" s="327">
        <v>9416.33</v>
      </c>
      <c r="G1624" s="328"/>
      <c r="H1624" s="160" t="s">
        <v>1440</v>
      </c>
      <c r="I1624" s="324" t="s">
        <v>1105</v>
      </c>
    </row>
    <row r="1625" spans="1:9" ht="11.1" customHeight="1" outlineLevel="1">
      <c r="A1625" s="325" t="s">
        <v>1067</v>
      </c>
      <c r="B1625" s="325" t="s">
        <v>3192</v>
      </c>
      <c r="C1625" s="325" t="s">
        <v>3193</v>
      </c>
      <c r="D1625" s="325" t="s">
        <v>20</v>
      </c>
      <c r="E1625" s="326">
        <v>12</v>
      </c>
      <c r="F1625" s="327">
        <v>1881.5</v>
      </c>
      <c r="G1625" s="328"/>
      <c r="H1625" s="160" t="s">
        <v>1443</v>
      </c>
      <c r="I1625" s="324" t="s">
        <v>1105</v>
      </c>
    </row>
    <row r="1626" spans="1:9" ht="11.1" customHeight="1" outlineLevel="1">
      <c r="A1626" s="325" t="s">
        <v>1067</v>
      </c>
      <c r="B1626" s="325" t="s">
        <v>1137</v>
      </c>
      <c r="C1626" s="325" t="s">
        <v>1138</v>
      </c>
      <c r="D1626" s="325" t="s">
        <v>20</v>
      </c>
      <c r="E1626" s="326">
        <v>1</v>
      </c>
      <c r="F1626" s="331">
        <v>64</v>
      </c>
      <c r="G1626" s="328"/>
      <c r="H1626" s="328" t="s">
        <v>1086</v>
      </c>
      <c r="I1626" s="324" t="s">
        <v>1307</v>
      </c>
    </row>
    <row r="1627" spans="1:9" ht="11.1" customHeight="1" outlineLevel="1">
      <c r="A1627" s="325" t="s">
        <v>1302</v>
      </c>
      <c r="B1627" s="325" t="s">
        <v>1137</v>
      </c>
      <c r="C1627" s="325" t="s">
        <v>1138</v>
      </c>
      <c r="D1627" s="325" t="s">
        <v>20</v>
      </c>
      <c r="E1627" s="326">
        <v>3</v>
      </c>
      <c r="F1627" s="331">
        <v>192</v>
      </c>
      <c r="G1627" s="328"/>
      <c r="H1627" s="328" t="s">
        <v>1086</v>
      </c>
      <c r="I1627" s="324" t="s">
        <v>1307</v>
      </c>
    </row>
    <row r="1628" spans="1:9" ht="11.1" customHeight="1" outlineLevel="1">
      <c r="A1628" s="325" t="s">
        <v>1302</v>
      </c>
      <c r="B1628" s="325" t="s">
        <v>3194</v>
      </c>
      <c r="C1628" s="325" t="s">
        <v>3195</v>
      </c>
      <c r="D1628" s="325" t="s">
        <v>912</v>
      </c>
      <c r="E1628" s="326">
        <v>2.44</v>
      </c>
      <c r="F1628" s="327">
        <v>22072.38</v>
      </c>
      <c r="G1628" s="328"/>
      <c r="H1628" s="160" t="s">
        <v>542</v>
      </c>
      <c r="I1628" s="324" t="s">
        <v>1307</v>
      </c>
    </row>
    <row r="1629" spans="1:9" ht="11.1" customHeight="1" outlineLevel="1">
      <c r="A1629" s="325" t="s">
        <v>1302</v>
      </c>
      <c r="B1629" s="325" t="s">
        <v>3196</v>
      </c>
      <c r="C1629" s="325" t="s">
        <v>3197</v>
      </c>
      <c r="D1629" s="325" t="s">
        <v>1220</v>
      </c>
      <c r="E1629" s="326">
        <v>2.5499999999999998</v>
      </c>
      <c r="F1629" s="327">
        <v>25723.13</v>
      </c>
      <c r="G1629" s="328"/>
      <c r="H1629" s="160" t="s">
        <v>542</v>
      </c>
      <c r="I1629" s="324" t="s">
        <v>1307</v>
      </c>
    </row>
    <row r="1630" spans="1:9" ht="11.1" customHeight="1" outlineLevel="1">
      <c r="A1630" s="325" t="s">
        <v>1302</v>
      </c>
      <c r="B1630" s="325" t="s">
        <v>1237</v>
      </c>
      <c r="C1630" s="325" t="s">
        <v>1235</v>
      </c>
      <c r="D1630" s="325" t="s">
        <v>14</v>
      </c>
      <c r="E1630" s="326">
        <v>60</v>
      </c>
      <c r="F1630" s="327">
        <v>4000</v>
      </c>
      <c r="G1630" s="328"/>
      <c r="H1630" s="160" t="s">
        <v>1236</v>
      </c>
      <c r="I1630" s="324" t="s">
        <v>21</v>
      </c>
    </row>
    <row r="1631" spans="1:9" ht="11.1" customHeight="1" outlineLevel="1">
      <c r="A1631" s="325" t="s">
        <v>1302</v>
      </c>
      <c r="B1631" s="325" t="s">
        <v>3198</v>
      </c>
      <c r="C1631" s="325" t="s">
        <v>3199</v>
      </c>
      <c r="D1631" s="325" t="s">
        <v>20</v>
      </c>
      <c r="E1631" s="326">
        <v>5</v>
      </c>
      <c r="F1631" s="327">
        <v>4875</v>
      </c>
      <c r="G1631" s="328"/>
      <c r="H1631" s="160" t="s">
        <v>1236</v>
      </c>
      <c r="I1631" s="324" t="s">
        <v>21</v>
      </c>
    </row>
    <row r="1632" spans="1:9" ht="11.1" customHeight="1" outlineLevel="1">
      <c r="A1632" s="325" t="s">
        <v>1302</v>
      </c>
      <c r="B1632" s="325" t="s">
        <v>3200</v>
      </c>
      <c r="C1632" s="325" t="s">
        <v>3201</v>
      </c>
      <c r="D1632" s="325" t="s">
        <v>20</v>
      </c>
      <c r="E1632" s="326">
        <v>12</v>
      </c>
      <c r="F1632" s="327">
        <v>14487.78</v>
      </c>
      <c r="G1632" s="328"/>
      <c r="H1632" s="160" t="s">
        <v>2469</v>
      </c>
      <c r="I1632" s="324" t="s">
        <v>1307</v>
      </c>
    </row>
    <row r="1633" spans="1:9" ht="11.1" customHeight="1" outlineLevel="1">
      <c r="A1633" s="325" t="s">
        <v>1067</v>
      </c>
      <c r="B1633" s="325" t="s">
        <v>2467</v>
      </c>
      <c r="C1633" s="325" t="s">
        <v>2468</v>
      </c>
      <c r="D1633" s="325" t="s">
        <v>20</v>
      </c>
      <c r="E1633" s="326">
        <v>14</v>
      </c>
      <c r="F1633" s="327">
        <v>17839.64</v>
      </c>
      <c r="G1633" s="328"/>
      <c r="H1633" s="160" t="s">
        <v>2469</v>
      </c>
      <c r="I1633" s="324" t="s">
        <v>1307</v>
      </c>
    </row>
    <row r="1634" spans="1:9" ht="11.1" customHeight="1" outlineLevel="1">
      <c r="A1634" s="325" t="s">
        <v>1302</v>
      </c>
      <c r="B1634" s="325" t="s">
        <v>2467</v>
      </c>
      <c r="C1634" s="325" t="s">
        <v>2468</v>
      </c>
      <c r="D1634" s="325" t="s">
        <v>20</v>
      </c>
      <c r="E1634" s="326">
        <v>11</v>
      </c>
      <c r="F1634" s="327">
        <v>14487.77</v>
      </c>
      <c r="G1634" s="328"/>
      <c r="H1634" s="160" t="s">
        <v>2469</v>
      </c>
      <c r="I1634" s="324" t="s">
        <v>1307</v>
      </c>
    </row>
    <row r="1635" spans="1:9" ht="11.1" customHeight="1" outlineLevel="1">
      <c r="A1635" s="325" t="s">
        <v>1302</v>
      </c>
      <c r="B1635" s="325" t="s">
        <v>3202</v>
      </c>
      <c r="C1635" s="325" t="s">
        <v>3203</v>
      </c>
      <c r="D1635" s="325" t="s">
        <v>20</v>
      </c>
      <c r="E1635" s="326">
        <v>190</v>
      </c>
      <c r="F1635" s="331">
        <v>570</v>
      </c>
      <c r="G1635" s="328"/>
      <c r="H1635" s="328" t="s">
        <v>3204</v>
      </c>
      <c r="I1635" s="324" t="s">
        <v>1307</v>
      </c>
    </row>
    <row r="1636" spans="1:9" ht="11.1" customHeight="1" outlineLevel="1">
      <c r="A1636" s="325" t="s">
        <v>1067</v>
      </c>
      <c r="B1636" s="325" t="s">
        <v>3205</v>
      </c>
      <c r="C1636" s="325" t="s">
        <v>3206</v>
      </c>
      <c r="D1636" s="325" t="s">
        <v>20</v>
      </c>
      <c r="E1636" s="326">
        <v>26</v>
      </c>
      <c r="F1636" s="331">
        <v>182</v>
      </c>
      <c r="G1636" s="328"/>
      <c r="H1636" s="328" t="s">
        <v>3204</v>
      </c>
      <c r="I1636" s="324" t="s">
        <v>1307</v>
      </c>
    </row>
    <row r="1637" spans="1:9" ht="11.1" customHeight="1" outlineLevel="1">
      <c r="A1637" s="325" t="s">
        <v>1067</v>
      </c>
      <c r="B1637" s="325" t="s">
        <v>3207</v>
      </c>
      <c r="C1637" s="325" t="s">
        <v>3208</v>
      </c>
      <c r="D1637" s="325" t="s">
        <v>20</v>
      </c>
      <c r="E1637" s="326">
        <v>2</v>
      </c>
      <c r="F1637" s="331">
        <v>40</v>
      </c>
      <c r="G1637" s="328"/>
      <c r="H1637" s="328" t="s">
        <v>1147</v>
      </c>
      <c r="I1637" s="324" t="s">
        <v>21</v>
      </c>
    </row>
    <row r="1638" spans="1:9" ht="11.1" customHeight="1" outlineLevel="1">
      <c r="A1638" s="325" t="s">
        <v>1302</v>
      </c>
      <c r="B1638" s="325" t="s">
        <v>2473</v>
      </c>
      <c r="C1638" s="325" t="s">
        <v>2474</v>
      </c>
      <c r="D1638" s="325" t="s">
        <v>20</v>
      </c>
      <c r="E1638" s="326">
        <v>3</v>
      </c>
      <c r="F1638" s="327">
        <v>47355</v>
      </c>
      <c r="G1638" s="328"/>
      <c r="H1638" s="174" t="s">
        <v>2475</v>
      </c>
      <c r="I1638" s="324" t="s">
        <v>425</v>
      </c>
    </row>
    <row r="1639" spans="1:9" ht="11.1" customHeight="1" outlineLevel="1">
      <c r="A1639" s="325" t="s">
        <v>1067</v>
      </c>
      <c r="B1639" s="325" t="s">
        <v>1143</v>
      </c>
      <c r="C1639" s="325" t="s">
        <v>1144</v>
      </c>
      <c r="D1639" s="325" t="s">
        <v>20</v>
      </c>
      <c r="E1639" s="326">
        <v>8</v>
      </c>
      <c r="F1639" s="331">
        <v>523.20000000000005</v>
      </c>
      <c r="G1639" s="328"/>
      <c r="H1639" s="160" t="s">
        <v>1145</v>
      </c>
      <c r="I1639" s="324" t="s">
        <v>1070</v>
      </c>
    </row>
    <row r="1640" spans="1:9" ht="11.1" customHeight="1" outlineLevel="1">
      <c r="A1640" s="325" t="s">
        <v>1067</v>
      </c>
      <c r="B1640" s="325" t="s">
        <v>3209</v>
      </c>
      <c r="C1640" s="325" t="s">
        <v>3210</v>
      </c>
      <c r="D1640" s="325" t="s">
        <v>20</v>
      </c>
      <c r="E1640" s="326">
        <v>19</v>
      </c>
      <c r="F1640" s="327">
        <v>1263.5</v>
      </c>
      <c r="G1640" s="328"/>
      <c r="H1640" s="160" t="s">
        <v>1145</v>
      </c>
      <c r="I1640" s="324" t="s">
        <v>1070</v>
      </c>
    </row>
    <row r="1641" spans="1:9" ht="11.1" customHeight="1" outlineLevel="1">
      <c r="A1641" s="325" t="s">
        <v>1067</v>
      </c>
      <c r="B1641" s="325" t="s">
        <v>3211</v>
      </c>
      <c r="C1641" s="325" t="s">
        <v>3212</v>
      </c>
      <c r="D1641" s="325" t="s">
        <v>20</v>
      </c>
      <c r="E1641" s="326">
        <v>12</v>
      </c>
      <c r="F1641" s="327">
        <v>4183.82</v>
      </c>
      <c r="G1641" s="328"/>
      <c r="H1641" s="160" t="s">
        <v>1039</v>
      </c>
      <c r="I1641" s="324" t="s">
        <v>1105</v>
      </c>
    </row>
    <row r="1642" spans="1:9" ht="11.1" customHeight="1" outlineLevel="1">
      <c r="A1642" s="325" t="s">
        <v>1067</v>
      </c>
      <c r="B1642" s="325" t="s">
        <v>3213</v>
      </c>
      <c r="C1642" s="325" t="s">
        <v>3214</v>
      </c>
      <c r="D1642" s="325" t="s">
        <v>20</v>
      </c>
      <c r="E1642" s="326">
        <v>6</v>
      </c>
      <c r="F1642" s="331">
        <v>676.25</v>
      </c>
      <c r="G1642" s="328"/>
      <c r="H1642" s="160" t="s">
        <v>1496</v>
      </c>
      <c r="I1642" s="324" t="s">
        <v>1105</v>
      </c>
    </row>
    <row r="1643" spans="1:9" ht="11.1" customHeight="1" outlineLevel="1">
      <c r="A1643" s="325" t="s">
        <v>1067</v>
      </c>
      <c r="B1643" s="325" t="s">
        <v>1500</v>
      </c>
      <c r="C1643" s="325" t="s">
        <v>1501</v>
      </c>
      <c r="D1643" s="325" t="s">
        <v>20</v>
      </c>
      <c r="E1643" s="326">
        <v>1</v>
      </c>
      <c r="F1643" s="331">
        <v>22.2</v>
      </c>
      <c r="G1643" s="328"/>
      <c r="H1643" s="160" t="s">
        <v>807</v>
      </c>
      <c r="I1643" s="324" t="s">
        <v>1105</v>
      </c>
    </row>
    <row r="1644" spans="1:9" ht="11.1" customHeight="1" outlineLevel="1">
      <c r="A1644" s="325" t="s">
        <v>1067</v>
      </c>
      <c r="B1644" s="325" t="s">
        <v>3215</v>
      </c>
      <c r="C1644" s="325" t="s">
        <v>3216</v>
      </c>
      <c r="D1644" s="325" t="s">
        <v>20</v>
      </c>
      <c r="E1644" s="326">
        <v>2</v>
      </c>
      <c r="F1644" s="331">
        <v>258.32</v>
      </c>
      <c r="G1644" s="328"/>
      <c r="H1644" s="160" t="s">
        <v>807</v>
      </c>
      <c r="I1644" s="324" t="s">
        <v>1105</v>
      </c>
    </row>
    <row r="1645" spans="1:9" ht="11.1" customHeight="1" outlineLevel="1">
      <c r="A1645" s="325" t="s">
        <v>1067</v>
      </c>
      <c r="B1645" s="325" t="s">
        <v>3217</v>
      </c>
      <c r="C1645" s="325" t="s">
        <v>3218</v>
      </c>
      <c r="D1645" s="325" t="s">
        <v>20</v>
      </c>
      <c r="E1645" s="326">
        <v>2</v>
      </c>
      <c r="F1645" s="331">
        <v>258.32</v>
      </c>
      <c r="G1645" s="328"/>
      <c r="H1645" s="160" t="s">
        <v>807</v>
      </c>
      <c r="I1645" s="324" t="s">
        <v>1105</v>
      </c>
    </row>
    <row r="1646" spans="1:9" ht="11.1" customHeight="1" outlineLevel="1">
      <c r="A1646" s="325" t="s">
        <v>1067</v>
      </c>
      <c r="B1646" s="325" t="s">
        <v>3219</v>
      </c>
      <c r="C1646" s="325" t="s">
        <v>3220</v>
      </c>
      <c r="D1646" s="325" t="s">
        <v>20</v>
      </c>
      <c r="E1646" s="326">
        <v>1</v>
      </c>
      <c r="F1646" s="331">
        <v>312.89</v>
      </c>
      <c r="G1646" s="328"/>
      <c r="H1646" s="160" t="s">
        <v>921</v>
      </c>
      <c r="I1646" s="324" t="s">
        <v>1105</v>
      </c>
    </row>
    <row r="1647" spans="1:9" ht="11.1" customHeight="1" outlineLevel="1">
      <c r="A1647" s="325" t="s">
        <v>1302</v>
      </c>
      <c r="B1647" s="325" t="s">
        <v>3221</v>
      </c>
      <c r="C1647" s="325" t="s">
        <v>3222</v>
      </c>
      <c r="D1647" s="325" t="s">
        <v>20</v>
      </c>
      <c r="E1647" s="326">
        <v>36</v>
      </c>
      <c r="F1647" s="327">
        <v>9612</v>
      </c>
      <c r="G1647" s="328"/>
      <c r="H1647" s="328" t="s">
        <v>3223</v>
      </c>
      <c r="I1647" s="324" t="s">
        <v>1307</v>
      </c>
    </row>
    <row r="1648" spans="1:9" ht="11.1" customHeight="1" outlineLevel="1">
      <c r="A1648" s="325" t="s">
        <v>1067</v>
      </c>
      <c r="B1648" s="325" t="s">
        <v>3221</v>
      </c>
      <c r="C1648" s="325" t="s">
        <v>3222</v>
      </c>
      <c r="D1648" s="325" t="s">
        <v>20</v>
      </c>
      <c r="E1648" s="326">
        <v>28</v>
      </c>
      <c r="F1648" s="327">
        <v>7476</v>
      </c>
      <c r="G1648" s="328"/>
      <c r="H1648" s="328" t="s">
        <v>3223</v>
      </c>
      <c r="I1648" s="324" t="s">
        <v>1307</v>
      </c>
    </row>
    <row r="1649" spans="1:9" ht="11.1" customHeight="1" outlineLevel="1">
      <c r="A1649" s="325" t="s">
        <v>1067</v>
      </c>
      <c r="B1649" s="325" t="s">
        <v>2659</v>
      </c>
      <c r="C1649" s="325" t="s">
        <v>2660</v>
      </c>
      <c r="D1649" s="325" t="s">
        <v>20</v>
      </c>
      <c r="E1649" s="326">
        <v>1</v>
      </c>
      <c r="F1649" s="331">
        <v>118.8</v>
      </c>
      <c r="G1649" s="328"/>
      <c r="H1649" s="328" t="s">
        <v>1147</v>
      </c>
      <c r="I1649" s="324" t="s">
        <v>21</v>
      </c>
    </row>
    <row r="1650" spans="1:9" ht="11.1" customHeight="1" outlineLevel="1">
      <c r="A1650" s="325" t="s">
        <v>1067</v>
      </c>
      <c r="B1650" s="325" t="s">
        <v>3224</v>
      </c>
      <c r="C1650" s="325" t="s">
        <v>3225</v>
      </c>
      <c r="D1650" s="325" t="s">
        <v>20</v>
      </c>
      <c r="E1650" s="326">
        <v>1</v>
      </c>
      <c r="F1650" s="331">
        <v>690</v>
      </c>
      <c r="G1650" s="328"/>
      <c r="H1650" s="328" t="s">
        <v>1147</v>
      </c>
      <c r="I1650" s="324" t="s">
        <v>21</v>
      </c>
    </row>
    <row r="1651" spans="1:9" ht="11.1" customHeight="1" outlineLevel="1">
      <c r="A1651" s="325" t="s">
        <v>1067</v>
      </c>
      <c r="B1651" s="325" t="s">
        <v>3226</v>
      </c>
      <c r="C1651" s="325" t="s">
        <v>3227</v>
      </c>
      <c r="D1651" s="325" t="s">
        <v>1519</v>
      </c>
      <c r="E1651" s="326">
        <v>119</v>
      </c>
      <c r="F1651" s="327">
        <v>7021</v>
      </c>
      <c r="G1651" s="328"/>
      <c r="H1651" s="328" t="s">
        <v>549</v>
      </c>
      <c r="I1651" s="324" t="s">
        <v>289</v>
      </c>
    </row>
    <row r="1652" spans="1:9" ht="11.1" customHeight="1" outlineLevel="1">
      <c r="A1652" s="325" t="s">
        <v>1067</v>
      </c>
      <c r="B1652" s="325" t="s">
        <v>3228</v>
      </c>
      <c r="C1652" s="325" t="s">
        <v>3229</v>
      </c>
      <c r="D1652" s="325" t="s">
        <v>295</v>
      </c>
      <c r="E1652" s="326">
        <v>108</v>
      </c>
      <c r="F1652" s="327">
        <v>1296</v>
      </c>
      <c r="G1652" s="328"/>
      <c r="H1652" s="328" t="s">
        <v>1147</v>
      </c>
      <c r="I1652" s="324" t="s">
        <v>21</v>
      </c>
    </row>
    <row r="1653" spans="1:9" ht="11.1" customHeight="1" outlineLevel="1">
      <c r="A1653" s="325" t="s">
        <v>1302</v>
      </c>
      <c r="B1653" s="325" t="s">
        <v>3230</v>
      </c>
      <c r="C1653" s="325" t="s">
        <v>3231</v>
      </c>
      <c r="D1653" s="325" t="s">
        <v>20</v>
      </c>
      <c r="E1653" s="326">
        <v>60</v>
      </c>
      <c r="F1653" s="327">
        <v>17100</v>
      </c>
      <c r="G1653" s="328"/>
      <c r="H1653" s="328" t="s">
        <v>2681</v>
      </c>
      <c r="I1653" s="324" t="s">
        <v>1307</v>
      </c>
    </row>
    <row r="1654" spans="1:9" ht="11.1" customHeight="1" outlineLevel="1">
      <c r="A1654" s="325" t="s">
        <v>1067</v>
      </c>
      <c r="B1654" s="325" t="s">
        <v>1542</v>
      </c>
      <c r="C1654" s="325" t="s">
        <v>492</v>
      </c>
      <c r="D1654" s="325" t="s">
        <v>20</v>
      </c>
      <c r="E1654" s="326">
        <v>90</v>
      </c>
      <c r="F1654" s="331">
        <v>749.7</v>
      </c>
      <c r="G1654" s="328"/>
      <c r="H1654" s="160" t="s">
        <v>1540</v>
      </c>
      <c r="I1654" s="324" t="s">
        <v>289</v>
      </c>
    </row>
    <row r="1655" spans="1:9" ht="11.1" customHeight="1" outlineLevel="1">
      <c r="A1655" s="325" t="s">
        <v>1067</v>
      </c>
      <c r="B1655" s="325" t="s">
        <v>3232</v>
      </c>
      <c r="C1655" s="325" t="s">
        <v>3233</v>
      </c>
      <c r="D1655" s="325" t="s">
        <v>1305</v>
      </c>
      <c r="E1655" s="326">
        <v>3</v>
      </c>
      <c r="F1655" s="331">
        <v>504</v>
      </c>
      <c r="G1655" s="328"/>
      <c r="H1655" s="328" t="s">
        <v>1147</v>
      </c>
      <c r="I1655" s="324" t="s">
        <v>21</v>
      </c>
    </row>
    <row r="1656" spans="1:9" ht="11.1" customHeight="1" outlineLevel="1">
      <c r="A1656" s="325" t="s">
        <v>1302</v>
      </c>
      <c r="B1656" s="325" t="s">
        <v>3232</v>
      </c>
      <c r="C1656" s="325" t="s">
        <v>3233</v>
      </c>
      <c r="D1656" s="325" t="s">
        <v>1305</v>
      </c>
      <c r="E1656" s="326">
        <v>10</v>
      </c>
      <c r="F1656" s="327">
        <v>1680</v>
      </c>
      <c r="G1656" s="328"/>
      <c r="H1656" s="328" t="s">
        <v>1147</v>
      </c>
      <c r="I1656" s="324" t="s">
        <v>21</v>
      </c>
    </row>
    <row r="1657" spans="1:9" ht="11.1" customHeight="1" outlineLevel="1">
      <c r="A1657" s="325" t="s">
        <v>1067</v>
      </c>
      <c r="B1657" s="325" t="s">
        <v>3234</v>
      </c>
      <c r="C1657" s="325" t="s">
        <v>3235</v>
      </c>
      <c r="D1657" s="325" t="s">
        <v>20</v>
      </c>
      <c r="E1657" s="326">
        <v>20</v>
      </c>
      <c r="F1657" s="331">
        <v>170</v>
      </c>
      <c r="G1657" s="328"/>
      <c r="H1657" s="328" t="s">
        <v>1147</v>
      </c>
      <c r="I1657" s="324" t="s">
        <v>21</v>
      </c>
    </row>
    <row r="1658" spans="1:9" ht="11.1" customHeight="1" outlineLevel="1">
      <c r="A1658" s="325" t="s">
        <v>1067</v>
      </c>
      <c r="B1658" s="325" t="s">
        <v>3236</v>
      </c>
      <c r="C1658" s="325" t="s">
        <v>3237</v>
      </c>
      <c r="D1658" s="325" t="s">
        <v>20</v>
      </c>
      <c r="E1658" s="326">
        <v>12</v>
      </c>
      <c r="F1658" s="327">
        <v>2852</v>
      </c>
      <c r="G1658" s="328"/>
      <c r="H1658" s="328" t="s">
        <v>565</v>
      </c>
      <c r="I1658" s="324" t="s">
        <v>1105</v>
      </c>
    </row>
    <row r="1659" spans="1:9" ht="11.1" customHeight="1" outlineLevel="1">
      <c r="A1659" s="325" t="s">
        <v>1067</v>
      </c>
      <c r="B1659" s="325" t="s">
        <v>3238</v>
      </c>
      <c r="C1659" s="325" t="s">
        <v>3239</v>
      </c>
      <c r="D1659" s="325" t="s">
        <v>20</v>
      </c>
      <c r="E1659" s="326">
        <v>5</v>
      </c>
      <c r="F1659" s="331">
        <v>40</v>
      </c>
      <c r="G1659" s="328"/>
      <c r="H1659" s="328" t="s">
        <v>1555</v>
      </c>
      <c r="I1659" s="324" t="s">
        <v>1070</v>
      </c>
    </row>
    <row r="1660" spans="1:9" ht="11.1" customHeight="1" outlineLevel="1">
      <c r="A1660" s="325" t="s">
        <v>1067</v>
      </c>
      <c r="B1660" s="325" t="s">
        <v>3240</v>
      </c>
      <c r="C1660" s="325" t="s">
        <v>3241</v>
      </c>
      <c r="D1660" s="325" t="s">
        <v>20</v>
      </c>
      <c r="E1660" s="326">
        <v>3</v>
      </c>
      <c r="F1660" s="331">
        <v>60</v>
      </c>
      <c r="G1660" s="328"/>
      <c r="H1660" s="328" t="s">
        <v>1555</v>
      </c>
      <c r="I1660" s="324" t="s">
        <v>1070</v>
      </c>
    </row>
    <row r="1661" spans="1:9" ht="11.1" customHeight="1" outlineLevel="1">
      <c r="A1661" s="325" t="s">
        <v>1067</v>
      </c>
      <c r="B1661" s="325" t="s">
        <v>3242</v>
      </c>
      <c r="C1661" s="325" t="s">
        <v>3243</v>
      </c>
      <c r="D1661" s="325" t="s">
        <v>20</v>
      </c>
      <c r="E1661" s="326">
        <v>2</v>
      </c>
      <c r="F1661" s="331">
        <v>52</v>
      </c>
      <c r="G1661" s="328"/>
      <c r="H1661" s="328" t="s">
        <v>1555</v>
      </c>
      <c r="I1661" s="324" t="s">
        <v>1070</v>
      </c>
    </row>
    <row r="1662" spans="1:9" ht="11.1" customHeight="1" outlineLevel="1">
      <c r="A1662" s="325" t="s">
        <v>1067</v>
      </c>
      <c r="B1662" s="325" t="s">
        <v>3244</v>
      </c>
      <c r="C1662" s="325" t="s">
        <v>3245</v>
      </c>
      <c r="D1662" s="325" t="s">
        <v>20</v>
      </c>
      <c r="E1662" s="326">
        <v>4</v>
      </c>
      <c r="F1662" s="331">
        <v>512.4</v>
      </c>
      <c r="G1662" s="328"/>
      <c r="H1662" s="328" t="s">
        <v>3246</v>
      </c>
      <c r="I1662" s="324" t="s">
        <v>1070</v>
      </c>
    </row>
    <row r="1663" spans="1:9" ht="11.1" customHeight="1" outlineLevel="1">
      <c r="A1663" s="325" t="s">
        <v>1067</v>
      </c>
      <c r="B1663" s="325" t="s">
        <v>3247</v>
      </c>
      <c r="C1663" s="325" t="s">
        <v>3248</v>
      </c>
      <c r="D1663" s="325" t="s">
        <v>20</v>
      </c>
      <c r="E1663" s="326">
        <v>18</v>
      </c>
      <c r="F1663" s="327">
        <v>3374.46</v>
      </c>
      <c r="G1663" s="328"/>
      <c r="H1663" s="328" t="s">
        <v>3155</v>
      </c>
      <c r="I1663" s="324" t="s">
        <v>289</v>
      </c>
    </row>
    <row r="1664" spans="1:9" ht="11.1" customHeight="1" outlineLevel="1">
      <c r="A1664" s="325" t="s">
        <v>1067</v>
      </c>
      <c r="B1664" s="325" t="s">
        <v>3249</v>
      </c>
      <c r="C1664" s="325" t="s">
        <v>3250</v>
      </c>
      <c r="D1664" s="325" t="s">
        <v>20</v>
      </c>
      <c r="E1664" s="326">
        <v>5</v>
      </c>
      <c r="F1664" s="331">
        <v>75</v>
      </c>
      <c r="G1664" s="328"/>
      <c r="H1664" s="160" t="s">
        <v>1573</v>
      </c>
      <c r="I1664" s="324" t="s">
        <v>289</v>
      </c>
    </row>
    <row r="1665" spans="1:9" ht="11.1" customHeight="1" outlineLevel="1">
      <c r="A1665" s="325" t="s">
        <v>1067</v>
      </c>
      <c r="B1665" s="325" t="s">
        <v>1578</v>
      </c>
      <c r="C1665" s="325" t="s">
        <v>1579</v>
      </c>
      <c r="D1665" s="325" t="s">
        <v>20</v>
      </c>
      <c r="E1665" s="326">
        <v>40</v>
      </c>
      <c r="F1665" s="327">
        <v>3000</v>
      </c>
      <c r="G1665" s="328"/>
      <c r="H1665" s="160" t="s">
        <v>632</v>
      </c>
      <c r="I1665" s="324" t="s">
        <v>289</v>
      </c>
    </row>
    <row r="1666" spans="1:9" ht="11.1" customHeight="1" outlineLevel="1">
      <c r="A1666" s="325" t="s">
        <v>1067</v>
      </c>
      <c r="B1666" s="325" t="s">
        <v>1587</v>
      </c>
      <c r="C1666" s="325" t="s">
        <v>1588</v>
      </c>
      <c r="D1666" s="325" t="s">
        <v>20</v>
      </c>
      <c r="E1666" s="326">
        <v>21</v>
      </c>
      <c r="F1666" s="327">
        <v>3614.1</v>
      </c>
      <c r="G1666" s="328"/>
      <c r="H1666" s="160" t="s">
        <v>1589</v>
      </c>
      <c r="I1666" s="324" t="s">
        <v>1070</v>
      </c>
    </row>
    <row r="1667" spans="1:9" ht="11.1" customHeight="1" outlineLevel="1">
      <c r="A1667" s="325" t="s">
        <v>1067</v>
      </c>
      <c r="B1667" s="325" t="s">
        <v>3251</v>
      </c>
      <c r="C1667" s="325" t="s">
        <v>3252</v>
      </c>
      <c r="D1667" s="325" t="s">
        <v>20</v>
      </c>
      <c r="E1667" s="326">
        <v>8</v>
      </c>
      <c r="F1667" s="327">
        <v>1322.4</v>
      </c>
      <c r="G1667" s="328"/>
      <c r="H1667" s="160" t="s">
        <v>1589</v>
      </c>
      <c r="I1667" s="324" t="s">
        <v>1070</v>
      </c>
    </row>
    <row r="1668" spans="1:9" ht="11.1" customHeight="1" outlineLevel="1">
      <c r="A1668" s="325" t="s">
        <v>1067</v>
      </c>
      <c r="B1668" s="325" t="s">
        <v>3253</v>
      </c>
      <c r="C1668" s="325" t="s">
        <v>3254</v>
      </c>
      <c r="D1668" s="325" t="s">
        <v>20</v>
      </c>
      <c r="E1668" s="326">
        <v>1</v>
      </c>
      <c r="F1668" s="331">
        <v>401.4</v>
      </c>
      <c r="G1668" s="328"/>
      <c r="H1668" s="328" t="s">
        <v>3155</v>
      </c>
      <c r="I1668" s="324" t="s">
        <v>289</v>
      </c>
    </row>
    <row r="1669" spans="1:9" ht="11.1" customHeight="1" outlineLevel="1">
      <c r="A1669" s="325" t="s">
        <v>1067</v>
      </c>
      <c r="B1669" s="325" t="s">
        <v>3255</v>
      </c>
      <c r="C1669" s="325" t="s">
        <v>3256</v>
      </c>
      <c r="D1669" s="325" t="s">
        <v>295</v>
      </c>
      <c r="E1669" s="326">
        <v>3</v>
      </c>
      <c r="F1669" s="331">
        <v>661.5</v>
      </c>
      <c r="G1669" s="328"/>
      <c r="H1669" s="328" t="s">
        <v>3155</v>
      </c>
      <c r="I1669" s="324" t="s">
        <v>289</v>
      </c>
    </row>
    <row r="1670" spans="1:9" ht="11.1" customHeight="1" outlineLevel="1">
      <c r="A1670" s="325" t="s">
        <v>1067</v>
      </c>
      <c r="B1670" s="325" t="s">
        <v>3257</v>
      </c>
      <c r="C1670" s="325" t="s">
        <v>3258</v>
      </c>
      <c r="D1670" s="325" t="s">
        <v>20</v>
      </c>
      <c r="E1670" s="326">
        <v>2</v>
      </c>
      <c r="F1670" s="331">
        <v>597.24</v>
      </c>
      <c r="G1670" s="328"/>
      <c r="H1670" s="328" t="s">
        <v>3155</v>
      </c>
      <c r="I1670" s="324" t="s">
        <v>289</v>
      </c>
    </row>
    <row r="1671" spans="1:9" ht="11.1" customHeight="1" outlineLevel="1">
      <c r="A1671" s="325" t="s">
        <v>1067</v>
      </c>
      <c r="B1671" s="325" t="s">
        <v>3259</v>
      </c>
      <c r="C1671" s="325" t="s">
        <v>3260</v>
      </c>
      <c r="D1671" s="325" t="s">
        <v>20</v>
      </c>
      <c r="E1671" s="326">
        <v>2</v>
      </c>
      <c r="F1671" s="331">
        <v>84</v>
      </c>
      <c r="G1671" s="328"/>
      <c r="H1671" s="328" t="s">
        <v>1147</v>
      </c>
      <c r="I1671" s="324" t="s">
        <v>21</v>
      </c>
    </row>
    <row r="1672" spans="1:9" ht="11.1" customHeight="1" outlineLevel="1">
      <c r="A1672" s="325" t="s">
        <v>1067</v>
      </c>
      <c r="B1672" s="325" t="s">
        <v>3261</v>
      </c>
      <c r="C1672" s="325" t="s">
        <v>3262</v>
      </c>
      <c r="D1672" s="325" t="s">
        <v>20</v>
      </c>
      <c r="E1672" s="326">
        <v>1</v>
      </c>
      <c r="F1672" s="331">
        <v>39</v>
      </c>
      <c r="G1672" s="328"/>
      <c r="H1672" s="328" t="s">
        <v>1147</v>
      </c>
      <c r="I1672" s="324" t="s">
        <v>21</v>
      </c>
    </row>
    <row r="1673" spans="1:9" ht="11.1" customHeight="1" outlineLevel="1">
      <c r="A1673" s="325" t="s">
        <v>1067</v>
      </c>
      <c r="B1673" s="325" t="s">
        <v>3263</v>
      </c>
      <c r="C1673" s="325" t="s">
        <v>3264</v>
      </c>
      <c r="D1673" s="325" t="s">
        <v>20</v>
      </c>
      <c r="E1673" s="326">
        <v>2</v>
      </c>
      <c r="F1673" s="331">
        <v>950.4</v>
      </c>
      <c r="G1673" s="328"/>
      <c r="H1673" s="328" t="s">
        <v>3155</v>
      </c>
      <c r="I1673" s="324" t="s">
        <v>289</v>
      </c>
    </row>
    <row r="1674" spans="1:9" ht="11.1" customHeight="1" outlineLevel="1">
      <c r="A1674" s="325" t="s">
        <v>1067</v>
      </c>
      <c r="B1674" s="325" t="s">
        <v>3265</v>
      </c>
      <c r="C1674" s="325" t="s">
        <v>3266</v>
      </c>
      <c r="D1674" s="325" t="s">
        <v>20</v>
      </c>
      <c r="E1674" s="326">
        <v>1</v>
      </c>
      <c r="F1674" s="331">
        <v>169</v>
      </c>
      <c r="G1674" s="328"/>
      <c r="H1674" s="328" t="s">
        <v>3267</v>
      </c>
      <c r="I1674" s="324" t="s">
        <v>1307</v>
      </c>
    </row>
    <row r="1675" spans="1:9" ht="11.1" customHeight="1" outlineLevel="1">
      <c r="A1675" s="325" t="s">
        <v>1302</v>
      </c>
      <c r="B1675" s="325" t="s">
        <v>3268</v>
      </c>
      <c r="C1675" s="325" t="s">
        <v>3269</v>
      </c>
      <c r="D1675" s="325" t="s">
        <v>20</v>
      </c>
      <c r="E1675" s="326">
        <v>5</v>
      </c>
      <c r="F1675" s="327">
        <v>1135</v>
      </c>
      <c r="G1675" s="328"/>
      <c r="H1675" s="328" t="s">
        <v>3267</v>
      </c>
      <c r="I1675" s="324" t="s">
        <v>1307</v>
      </c>
    </row>
    <row r="1676" spans="1:9" ht="11.1" customHeight="1" outlineLevel="1">
      <c r="A1676" s="325" t="s">
        <v>1067</v>
      </c>
      <c r="B1676" s="325" t="s">
        <v>3270</v>
      </c>
      <c r="C1676" s="325" t="s">
        <v>3271</v>
      </c>
      <c r="D1676" s="325" t="s">
        <v>20</v>
      </c>
      <c r="E1676" s="326">
        <v>1</v>
      </c>
      <c r="F1676" s="331">
        <v>438</v>
      </c>
      <c r="G1676" s="328"/>
      <c r="H1676" s="328" t="s">
        <v>3267</v>
      </c>
      <c r="I1676" s="324" t="s">
        <v>1307</v>
      </c>
    </row>
    <row r="1677" spans="1:9" ht="11.1" customHeight="1" outlineLevel="1">
      <c r="A1677" s="325" t="s">
        <v>1067</v>
      </c>
      <c r="B1677" s="325" t="s">
        <v>3272</v>
      </c>
      <c r="C1677" s="325" t="s">
        <v>3273</v>
      </c>
      <c r="D1677" s="325" t="s">
        <v>20</v>
      </c>
      <c r="E1677" s="326">
        <v>3</v>
      </c>
      <c r="F1677" s="327">
        <v>2055</v>
      </c>
      <c r="G1677" s="328"/>
      <c r="H1677" s="328" t="s">
        <v>3267</v>
      </c>
      <c r="I1677" s="324" t="s">
        <v>1307</v>
      </c>
    </row>
    <row r="1678" spans="1:9" ht="11.1" customHeight="1" outlineLevel="1">
      <c r="A1678" s="325" t="s">
        <v>1302</v>
      </c>
      <c r="B1678" s="325" t="s">
        <v>3274</v>
      </c>
      <c r="C1678" s="325" t="s">
        <v>3275</v>
      </c>
      <c r="D1678" s="325" t="s">
        <v>517</v>
      </c>
      <c r="E1678" s="326">
        <v>0.19500000000000001</v>
      </c>
      <c r="F1678" s="327">
        <v>8190</v>
      </c>
      <c r="G1678" s="328"/>
      <c r="H1678" s="160" t="s">
        <v>1029</v>
      </c>
      <c r="I1678" s="324" t="s">
        <v>1087</v>
      </c>
    </row>
    <row r="1679" spans="1:9" ht="11.1" customHeight="1" outlineLevel="1">
      <c r="A1679" s="325" t="s">
        <v>1302</v>
      </c>
      <c r="B1679" s="325" t="s">
        <v>3276</v>
      </c>
      <c r="C1679" s="325" t="s">
        <v>3277</v>
      </c>
      <c r="D1679" s="325" t="s">
        <v>517</v>
      </c>
      <c r="E1679" s="326">
        <v>0.245</v>
      </c>
      <c r="F1679" s="327">
        <v>10412.5</v>
      </c>
      <c r="G1679" s="328"/>
      <c r="H1679" s="160" t="s">
        <v>1029</v>
      </c>
      <c r="I1679" s="324" t="s">
        <v>1087</v>
      </c>
    </row>
    <row r="1680" spans="1:9" ht="11.1" customHeight="1" outlineLevel="1">
      <c r="A1680" s="325" t="s">
        <v>1067</v>
      </c>
      <c r="B1680" s="325" t="s">
        <v>3278</v>
      </c>
      <c r="C1680" s="325" t="s">
        <v>3279</v>
      </c>
      <c r="D1680" s="325" t="s">
        <v>20</v>
      </c>
      <c r="E1680" s="326">
        <v>78</v>
      </c>
      <c r="F1680" s="327">
        <v>11216.71</v>
      </c>
      <c r="G1680" s="328"/>
      <c r="H1680" s="328" t="s">
        <v>1621</v>
      </c>
      <c r="I1680" s="324" t="s">
        <v>1307</v>
      </c>
    </row>
    <row r="1681" spans="1:9" ht="11.1" customHeight="1" outlineLevel="1">
      <c r="A1681" s="325" t="s">
        <v>1067</v>
      </c>
      <c r="B1681" s="325" t="s">
        <v>3280</v>
      </c>
      <c r="C1681" s="325" t="s">
        <v>3281</v>
      </c>
      <c r="D1681" s="325" t="s">
        <v>20</v>
      </c>
      <c r="E1681" s="326">
        <v>15</v>
      </c>
      <c r="F1681" s="327">
        <v>5050.09</v>
      </c>
      <c r="G1681" s="328"/>
      <c r="H1681" s="328" t="s">
        <v>1621</v>
      </c>
      <c r="I1681" s="324" t="s">
        <v>1307</v>
      </c>
    </row>
    <row r="1682" spans="1:9" ht="11.1" customHeight="1" outlineLevel="1">
      <c r="A1682" s="325" t="s">
        <v>1067</v>
      </c>
      <c r="B1682" s="325" t="s">
        <v>3282</v>
      </c>
      <c r="C1682" s="325" t="s">
        <v>3283</v>
      </c>
      <c r="D1682" s="325" t="s">
        <v>20</v>
      </c>
      <c r="E1682" s="326">
        <v>40</v>
      </c>
      <c r="F1682" s="327">
        <v>22833.200000000001</v>
      </c>
      <c r="G1682" s="328"/>
      <c r="H1682" s="328" t="s">
        <v>1621</v>
      </c>
      <c r="I1682" s="324" t="s">
        <v>1307</v>
      </c>
    </row>
    <row r="1683" spans="1:9" ht="11.1" customHeight="1" outlineLevel="1">
      <c r="A1683" s="325" t="s">
        <v>1302</v>
      </c>
      <c r="B1683" s="325" t="s">
        <v>3284</v>
      </c>
      <c r="C1683" s="325" t="s">
        <v>3285</v>
      </c>
      <c r="D1683" s="325" t="s">
        <v>20</v>
      </c>
      <c r="E1683" s="326">
        <v>415</v>
      </c>
      <c r="F1683" s="327">
        <v>2091.6</v>
      </c>
      <c r="G1683" s="328"/>
      <c r="H1683" s="328" t="s">
        <v>1621</v>
      </c>
      <c r="I1683" s="324" t="s">
        <v>1307</v>
      </c>
    </row>
    <row r="1684" spans="1:9" ht="11.1" customHeight="1" outlineLevel="1">
      <c r="A1684" s="325" t="s">
        <v>1302</v>
      </c>
      <c r="B1684" s="325" t="s">
        <v>3286</v>
      </c>
      <c r="C1684" s="325" t="s">
        <v>3287</v>
      </c>
      <c r="D1684" s="325" t="s">
        <v>20</v>
      </c>
      <c r="E1684" s="326">
        <v>155</v>
      </c>
      <c r="F1684" s="327">
        <v>1041.5999999999999</v>
      </c>
      <c r="G1684" s="328"/>
      <c r="H1684" s="328" t="s">
        <v>1621</v>
      </c>
      <c r="I1684" s="324" t="s">
        <v>1307</v>
      </c>
    </row>
    <row r="1685" spans="1:9" ht="11.1" customHeight="1" outlineLevel="1">
      <c r="A1685" s="325" t="s">
        <v>1302</v>
      </c>
      <c r="B1685" s="325" t="s">
        <v>3288</v>
      </c>
      <c r="C1685" s="325" t="s">
        <v>3289</v>
      </c>
      <c r="D1685" s="325" t="s">
        <v>20</v>
      </c>
      <c r="E1685" s="326">
        <v>320</v>
      </c>
      <c r="F1685" s="327">
        <v>3584</v>
      </c>
      <c r="G1685" s="328"/>
      <c r="H1685" s="328" t="s">
        <v>1621</v>
      </c>
      <c r="I1685" s="324" t="s">
        <v>1307</v>
      </c>
    </row>
    <row r="1686" spans="1:9" ht="11.1" customHeight="1" outlineLevel="1">
      <c r="A1686" s="325" t="s">
        <v>1302</v>
      </c>
      <c r="B1686" s="325" t="s">
        <v>1614</v>
      </c>
      <c r="C1686" s="325" t="s">
        <v>1615</v>
      </c>
      <c r="D1686" s="325" t="s">
        <v>20</v>
      </c>
      <c r="E1686" s="335">
        <v>1050</v>
      </c>
      <c r="F1686" s="327">
        <v>6762</v>
      </c>
      <c r="G1686" s="328"/>
      <c r="H1686" s="328" t="s">
        <v>1621</v>
      </c>
      <c r="I1686" s="324" t="s">
        <v>1307</v>
      </c>
    </row>
    <row r="1687" spans="1:9" ht="11.1" customHeight="1" outlineLevel="1">
      <c r="A1687" s="325" t="s">
        <v>1067</v>
      </c>
      <c r="B1687" s="325" t="s">
        <v>1616</v>
      </c>
      <c r="C1687" s="325" t="s">
        <v>1617</v>
      </c>
      <c r="D1687" s="325" t="s">
        <v>20</v>
      </c>
      <c r="E1687" s="326">
        <v>26</v>
      </c>
      <c r="F1687" s="331">
        <v>155.30000000000001</v>
      </c>
      <c r="G1687" s="328"/>
      <c r="H1687" s="160" t="s">
        <v>1618</v>
      </c>
      <c r="I1687" s="324" t="s">
        <v>1070</v>
      </c>
    </row>
    <row r="1688" spans="1:9" ht="11.1" customHeight="1" outlineLevel="1">
      <c r="A1688" s="325" t="s">
        <v>1067</v>
      </c>
      <c r="B1688" s="325" t="s">
        <v>2495</v>
      </c>
      <c r="C1688" s="325" t="s">
        <v>2496</v>
      </c>
      <c r="D1688" s="325" t="s">
        <v>20</v>
      </c>
      <c r="E1688" s="326">
        <v>36</v>
      </c>
      <c r="F1688" s="331">
        <v>270</v>
      </c>
      <c r="G1688" s="328"/>
      <c r="H1688" s="160" t="s">
        <v>1618</v>
      </c>
      <c r="I1688" s="324" t="s">
        <v>1070</v>
      </c>
    </row>
    <row r="1689" spans="1:9" ht="11.1" customHeight="1" outlineLevel="1">
      <c r="A1689" s="325" t="s">
        <v>1067</v>
      </c>
      <c r="B1689" s="325" t="s">
        <v>3290</v>
      </c>
      <c r="C1689" s="325" t="s">
        <v>3291</v>
      </c>
      <c r="D1689" s="325" t="s">
        <v>20</v>
      </c>
      <c r="E1689" s="326">
        <v>10</v>
      </c>
      <c r="F1689" s="331">
        <v>570</v>
      </c>
      <c r="G1689" s="328"/>
      <c r="H1689" s="160" t="s">
        <v>1618</v>
      </c>
      <c r="I1689" s="324" t="s">
        <v>1070</v>
      </c>
    </row>
    <row r="1690" spans="1:9" ht="11.1" customHeight="1" outlineLevel="1">
      <c r="A1690" s="325" t="s">
        <v>1302</v>
      </c>
      <c r="B1690" s="325" t="s">
        <v>2731</v>
      </c>
      <c r="C1690" s="325" t="s">
        <v>2732</v>
      </c>
      <c r="D1690" s="325" t="s">
        <v>1115</v>
      </c>
      <c r="E1690" s="326">
        <v>4.8000000000000001E-2</v>
      </c>
      <c r="F1690" s="327">
        <v>1360</v>
      </c>
      <c r="G1690" s="328"/>
      <c r="H1690" s="328" t="s">
        <v>1028</v>
      </c>
      <c r="I1690" s="324" t="s">
        <v>1087</v>
      </c>
    </row>
    <row r="1691" spans="1:9" ht="11.1" customHeight="1" outlineLevel="1">
      <c r="A1691" s="325" t="s">
        <v>1302</v>
      </c>
      <c r="B1691" s="325" t="s">
        <v>3292</v>
      </c>
      <c r="C1691" s="325" t="s">
        <v>3293</v>
      </c>
      <c r="D1691" s="325" t="s">
        <v>1115</v>
      </c>
      <c r="E1691" s="326">
        <v>0.98799999999999999</v>
      </c>
      <c r="F1691" s="327">
        <v>27993.33</v>
      </c>
      <c r="G1691" s="328"/>
      <c r="H1691" s="328" t="s">
        <v>1028</v>
      </c>
      <c r="I1691" s="324" t="s">
        <v>1087</v>
      </c>
    </row>
    <row r="1692" spans="1:9" ht="11.1" customHeight="1" outlineLevel="1">
      <c r="A1692" s="325" t="s">
        <v>1302</v>
      </c>
      <c r="B1692" s="325" t="s">
        <v>3294</v>
      </c>
      <c r="C1692" s="325" t="s">
        <v>3295</v>
      </c>
      <c r="D1692" s="325" t="s">
        <v>517</v>
      </c>
      <c r="E1692" s="326">
        <v>1.153</v>
      </c>
      <c r="F1692" s="327">
        <v>33180.36</v>
      </c>
      <c r="G1692" s="328"/>
      <c r="H1692" s="328" t="s">
        <v>1162</v>
      </c>
      <c r="I1692" s="324" t="s">
        <v>1087</v>
      </c>
    </row>
    <row r="1693" spans="1:9" ht="11.1" customHeight="1" outlineLevel="1">
      <c r="A1693" s="325" t="s">
        <v>1067</v>
      </c>
      <c r="B1693" s="325" t="s">
        <v>3296</v>
      </c>
      <c r="C1693" s="325" t="s">
        <v>3297</v>
      </c>
      <c r="D1693" s="325" t="s">
        <v>20</v>
      </c>
      <c r="E1693" s="326">
        <v>2</v>
      </c>
      <c r="F1693" s="331">
        <v>843.33</v>
      </c>
      <c r="G1693" s="328"/>
      <c r="H1693" s="328" t="s">
        <v>1165</v>
      </c>
      <c r="I1693" s="324" t="s">
        <v>1105</v>
      </c>
    </row>
    <row r="1694" spans="1:9" ht="11.1" customHeight="1" outlineLevel="1">
      <c r="A1694" s="325" t="s">
        <v>1067</v>
      </c>
      <c r="B1694" s="325" t="s">
        <v>3298</v>
      </c>
      <c r="C1694" s="325" t="s">
        <v>3299</v>
      </c>
      <c r="D1694" s="325" t="s">
        <v>20</v>
      </c>
      <c r="E1694" s="326">
        <v>2</v>
      </c>
      <c r="F1694" s="331">
        <v>843.33</v>
      </c>
      <c r="G1694" s="328"/>
      <c r="H1694" s="328" t="s">
        <v>1655</v>
      </c>
      <c r="I1694" s="324" t="s">
        <v>1105</v>
      </c>
    </row>
    <row r="1695" spans="1:9" ht="11.1" customHeight="1" outlineLevel="1">
      <c r="A1695" s="325" t="s">
        <v>1067</v>
      </c>
      <c r="B1695" s="325" t="s">
        <v>3300</v>
      </c>
      <c r="C1695" s="325" t="s">
        <v>3301</v>
      </c>
      <c r="D1695" s="325" t="s">
        <v>295</v>
      </c>
      <c r="E1695" s="326">
        <v>36</v>
      </c>
      <c r="F1695" s="327">
        <v>5848.2</v>
      </c>
      <c r="G1695" s="328"/>
      <c r="H1695" s="328" t="s">
        <v>3155</v>
      </c>
      <c r="I1695" s="324" t="s">
        <v>289</v>
      </c>
    </row>
    <row r="1696" spans="1:9" ht="11.1" customHeight="1" outlineLevel="1">
      <c r="A1696" s="325" t="s">
        <v>1067</v>
      </c>
      <c r="B1696" s="325" t="s">
        <v>3302</v>
      </c>
      <c r="C1696" s="325" t="s">
        <v>3303</v>
      </c>
      <c r="D1696" s="325" t="s">
        <v>295</v>
      </c>
      <c r="E1696" s="326">
        <v>36</v>
      </c>
      <c r="F1696" s="327">
        <v>11978.28</v>
      </c>
      <c r="G1696" s="328"/>
      <c r="H1696" s="328" t="s">
        <v>3155</v>
      </c>
      <c r="I1696" s="324" t="s">
        <v>289</v>
      </c>
    </row>
    <row r="1697" spans="1:9" ht="11.1" customHeight="1" outlineLevel="1">
      <c r="A1697" s="325" t="s">
        <v>1302</v>
      </c>
      <c r="B1697" s="325" t="s">
        <v>3304</v>
      </c>
      <c r="C1697" s="325" t="s">
        <v>3305</v>
      </c>
      <c r="D1697" s="325" t="s">
        <v>20</v>
      </c>
      <c r="E1697" s="326">
        <v>2</v>
      </c>
      <c r="F1697" s="327">
        <v>13200</v>
      </c>
      <c r="G1697" s="328"/>
      <c r="H1697" s="328" t="s">
        <v>1658</v>
      </c>
      <c r="I1697" s="324" t="s">
        <v>425</v>
      </c>
    </row>
    <row r="1698" spans="1:9" ht="11.1" customHeight="1" outlineLevel="1">
      <c r="A1698" s="325" t="s">
        <v>1067</v>
      </c>
      <c r="B1698" s="325" t="s">
        <v>3306</v>
      </c>
      <c r="C1698" s="325" t="s">
        <v>3307</v>
      </c>
      <c r="D1698" s="325" t="s">
        <v>20</v>
      </c>
      <c r="E1698" s="326">
        <v>2</v>
      </c>
      <c r="F1698" s="331">
        <v>130</v>
      </c>
      <c r="G1698" s="328"/>
      <c r="H1698" s="328" t="s">
        <v>1147</v>
      </c>
      <c r="I1698" s="324" t="s">
        <v>21</v>
      </c>
    </row>
    <row r="1699" spans="1:9" ht="11.1" customHeight="1" outlineLevel="1">
      <c r="A1699" s="325" t="s">
        <v>1067</v>
      </c>
      <c r="B1699" s="325" t="s">
        <v>3308</v>
      </c>
      <c r="C1699" s="325" t="s">
        <v>3309</v>
      </c>
      <c r="D1699" s="325" t="s">
        <v>20</v>
      </c>
      <c r="E1699" s="326">
        <v>2</v>
      </c>
      <c r="F1699" s="331">
        <v>30</v>
      </c>
      <c r="G1699" s="328"/>
      <c r="H1699" s="328" t="s">
        <v>1147</v>
      </c>
      <c r="I1699" s="324" t="s">
        <v>21</v>
      </c>
    </row>
    <row r="1700" spans="1:9" ht="11.1" customHeight="1" outlineLevel="1">
      <c r="A1700" s="325" t="s">
        <v>1067</v>
      </c>
      <c r="B1700" s="325" t="s">
        <v>3310</v>
      </c>
      <c r="C1700" s="325" t="s">
        <v>3311</v>
      </c>
      <c r="D1700" s="325" t="s">
        <v>20</v>
      </c>
      <c r="E1700" s="326">
        <v>1</v>
      </c>
      <c r="F1700" s="327">
        <v>23075</v>
      </c>
      <c r="G1700" s="328"/>
      <c r="H1700" s="174" t="s">
        <v>3312</v>
      </c>
      <c r="I1700" s="324" t="s">
        <v>425</v>
      </c>
    </row>
    <row r="1701" spans="1:9" ht="11.1" customHeight="1" outlineLevel="1">
      <c r="A1701" s="325" t="s">
        <v>1067</v>
      </c>
      <c r="B1701" s="325" t="s">
        <v>3313</v>
      </c>
      <c r="C1701" s="325" t="s">
        <v>3314</v>
      </c>
      <c r="D1701" s="325" t="s">
        <v>20</v>
      </c>
      <c r="E1701" s="326">
        <v>1</v>
      </c>
      <c r="F1701" s="327">
        <v>20925.830000000002</v>
      </c>
      <c r="G1701" s="328"/>
      <c r="H1701" s="174" t="s">
        <v>3312</v>
      </c>
      <c r="I1701" s="324" t="s">
        <v>425</v>
      </c>
    </row>
    <row r="1702" spans="1:9" ht="11.1" customHeight="1" outlineLevel="1">
      <c r="A1702" s="325" t="s">
        <v>1302</v>
      </c>
      <c r="B1702" s="325" t="s">
        <v>1672</v>
      </c>
      <c r="C1702" s="325" t="s">
        <v>1673</v>
      </c>
      <c r="D1702" s="325" t="s">
        <v>20</v>
      </c>
      <c r="E1702" s="326">
        <v>8</v>
      </c>
      <c r="F1702" s="327">
        <v>12500</v>
      </c>
      <c r="G1702" s="328"/>
      <c r="H1702" s="160" t="s">
        <v>567</v>
      </c>
      <c r="I1702" s="324" t="s">
        <v>1105</v>
      </c>
    </row>
    <row r="1703" spans="1:9" ht="11.1" customHeight="1" outlineLevel="1">
      <c r="A1703" s="325" t="s">
        <v>1302</v>
      </c>
      <c r="B1703" s="325" t="s">
        <v>3315</v>
      </c>
      <c r="C1703" s="325" t="s">
        <v>3316</v>
      </c>
      <c r="D1703" s="325" t="s">
        <v>12</v>
      </c>
      <c r="E1703" s="326">
        <v>75.239999999999995</v>
      </c>
      <c r="F1703" s="327">
        <v>21945.25</v>
      </c>
      <c r="G1703" s="328"/>
      <c r="H1703" s="160" t="s">
        <v>546</v>
      </c>
      <c r="I1703" s="324" t="s">
        <v>1105</v>
      </c>
    </row>
    <row r="1704" spans="1:9" ht="11.1" customHeight="1" outlineLevel="1">
      <c r="A1704" s="325" t="s">
        <v>1302</v>
      </c>
      <c r="B1704" s="325" t="s">
        <v>3317</v>
      </c>
      <c r="C1704" s="325" t="s">
        <v>3318</v>
      </c>
      <c r="D1704" s="325" t="s">
        <v>12</v>
      </c>
      <c r="E1704" s="326">
        <v>299.41000000000003</v>
      </c>
      <c r="F1704" s="327">
        <v>111835.62</v>
      </c>
      <c r="G1704" s="328"/>
      <c r="H1704" s="160" t="s">
        <v>546</v>
      </c>
      <c r="I1704" s="324" t="s">
        <v>1105</v>
      </c>
    </row>
    <row r="1705" spans="1:9" ht="11.1" customHeight="1" outlineLevel="1">
      <c r="A1705" s="325" t="s">
        <v>1302</v>
      </c>
      <c r="B1705" s="325" t="s">
        <v>3319</v>
      </c>
      <c r="C1705" s="325" t="s">
        <v>3320</v>
      </c>
      <c r="D1705" s="325" t="s">
        <v>20</v>
      </c>
      <c r="E1705" s="326">
        <v>2</v>
      </c>
      <c r="F1705" s="327">
        <v>26500</v>
      </c>
      <c r="G1705" s="328"/>
      <c r="H1705" s="174" t="s">
        <v>3321</v>
      </c>
      <c r="I1705" s="324" t="s">
        <v>425</v>
      </c>
    </row>
    <row r="1706" spans="1:9" ht="11.1" customHeight="1" outlineLevel="1">
      <c r="A1706" s="325" t="s">
        <v>1302</v>
      </c>
      <c r="B1706" s="325" t="s">
        <v>3322</v>
      </c>
      <c r="C1706" s="325" t="s">
        <v>3323</v>
      </c>
      <c r="D1706" s="325" t="s">
        <v>20</v>
      </c>
      <c r="E1706" s="326">
        <v>1</v>
      </c>
      <c r="F1706" s="327">
        <v>6665</v>
      </c>
      <c r="G1706" s="328"/>
      <c r="H1706" s="174" t="s">
        <v>3324</v>
      </c>
      <c r="I1706" s="324" t="s">
        <v>425</v>
      </c>
    </row>
    <row r="1707" spans="1:9" ht="11.1" customHeight="1" outlineLevel="1">
      <c r="A1707" s="325" t="s">
        <v>1302</v>
      </c>
      <c r="B1707" s="325" t="s">
        <v>3325</v>
      </c>
      <c r="C1707" s="325" t="s">
        <v>3326</v>
      </c>
      <c r="D1707" s="325" t="s">
        <v>20</v>
      </c>
      <c r="E1707" s="326">
        <v>1</v>
      </c>
      <c r="F1707" s="327">
        <v>8115</v>
      </c>
      <c r="G1707" s="328"/>
      <c r="H1707" s="174" t="s">
        <v>3324</v>
      </c>
      <c r="I1707" s="324" t="s">
        <v>425</v>
      </c>
    </row>
    <row r="1708" spans="1:9" ht="11.1" customHeight="1" outlineLevel="1">
      <c r="A1708" s="325" t="s">
        <v>1067</v>
      </c>
      <c r="B1708" s="325" t="s">
        <v>3327</v>
      </c>
      <c r="C1708" s="325" t="s">
        <v>3328</v>
      </c>
      <c r="D1708" s="325" t="s">
        <v>20</v>
      </c>
      <c r="E1708" s="326">
        <v>1</v>
      </c>
      <c r="F1708" s="327">
        <v>20832.5</v>
      </c>
      <c r="G1708" s="328"/>
      <c r="H1708" s="174" t="s">
        <v>3328</v>
      </c>
      <c r="I1708" s="324" t="s">
        <v>425</v>
      </c>
    </row>
    <row r="1709" spans="1:9" ht="11.1" customHeight="1" outlineLevel="1">
      <c r="A1709" s="325" t="s">
        <v>1067</v>
      </c>
      <c r="B1709" s="325" t="s">
        <v>3329</v>
      </c>
      <c r="C1709" s="325" t="s">
        <v>3330</v>
      </c>
      <c r="D1709" s="325" t="s">
        <v>20</v>
      </c>
      <c r="E1709" s="326">
        <v>1</v>
      </c>
      <c r="F1709" s="327">
        <v>21599</v>
      </c>
      <c r="G1709" s="328"/>
      <c r="H1709" s="174" t="s">
        <v>3328</v>
      </c>
      <c r="I1709" s="324" t="s">
        <v>425</v>
      </c>
    </row>
    <row r="1710" spans="1:9" ht="11.1" customHeight="1" outlineLevel="1">
      <c r="A1710" s="325" t="s">
        <v>1067</v>
      </c>
      <c r="B1710" s="325" t="s">
        <v>3331</v>
      </c>
      <c r="C1710" s="325" t="s">
        <v>3332</v>
      </c>
      <c r="D1710" s="325" t="s">
        <v>20</v>
      </c>
      <c r="E1710" s="326">
        <v>8</v>
      </c>
      <c r="F1710" s="331">
        <v>728.03</v>
      </c>
      <c r="G1710" s="328"/>
      <c r="H1710" s="160" t="s">
        <v>560</v>
      </c>
      <c r="I1710" s="324" t="s">
        <v>1070</v>
      </c>
    </row>
    <row r="1711" spans="1:9" ht="11.1" customHeight="1" outlineLevel="1">
      <c r="A1711" s="325" t="s">
        <v>1067</v>
      </c>
      <c r="B1711" s="325" t="s">
        <v>1682</v>
      </c>
      <c r="C1711" s="325" t="s">
        <v>1683</v>
      </c>
      <c r="D1711" s="325" t="s">
        <v>20</v>
      </c>
      <c r="E1711" s="326">
        <v>4</v>
      </c>
      <c r="F1711" s="331">
        <v>340</v>
      </c>
      <c r="G1711" s="328"/>
      <c r="H1711" s="160" t="s">
        <v>560</v>
      </c>
      <c r="I1711" s="324" t="s">
        <v>1070</v>
      </c>
    </row>
    <row r="1712" spans="1:9" ht="11.1" customHeight="1" outlineLevel="1">
      <c r="A1712" s="325" t="s">
        <v>1067</v>
      </c>
      <c r="B1712" s="325" t="s">
        <v>3333</v>
      </c>
      <c r="C1712" s="325" t="s">
        <v>3334</v>
      </c>
      <c r="D1712" s="325" t="s">
        <v>20</v>
      </c>
      <c r="E1712" s="326">
        <v>14</v>
      </c>
      <c r="F1712" s="331">
        <v>79.8</v>
      </c>
      <c r="G1712" s="328"/>
      <c r="H1712" s="160" t="s">
        <v>560</v>
      </c>
      <c r="I1712" s="324" t="s">
        <v>1070</v>
      </c>
    </row>
    <row r="1713" spans="1:9" ht="11.1" customHeight="1" outlineLevel="1">
      <c r="A1713" s="325" t="s">
        <v>1067</v>
      </c>
      <c r="B1713" s="325" t="s">
        <v>3335</v>
      </c>
      <c r="C1713" s="325" t="s">
        <v>3336</v>
      </c>
      <c r="D1713" s="325" t="s">
        <v>20</v>
      </c>
      <c r="E1713" s="326">
        <v>1</v>
      </c>
      <c r="F1713" s="327">
        <v>8778.4</v>
      </c>
      <c r="G1713" s="328"/>
      <c r="H1713" s="328" t="s">
        <v>3337</v>
      </c>
      <c r="I1713" s="324" t="s">
        <v>1070</v>
      </c>
    </row>
    <row r="1714" spans="1:9" ht="11.1" customHeight="1" outlineLevel="1">
      <c r="A1714" s="325" t="s">
        <v>1302</v>
      </c>
      <c r="B1714" s="325" t="s">
        <v>3338</v>
      </c>
      <c r="C1714" s="325" t="s">
        <v>3339</v>
      </c>
      <c r="D1714" s="325" t="s">
        <v>20</v>
      </c>
      <c r="E1714" s="326">
        <v>1</v>
      </c>
      <c r="F1714" s="327">
        <v>15863.33</v>
      </c>
      <c r="G1714" s="328"/>
      <c r="H1714" s="325" t="s">
        <v>3339</v>
      </c>
      <c r="I1714" s="324" t="s">
        <v>1070</v>
      </c>
    </row>
    <row r="1715" spans="1:9" ht="11.1" customHeight="1" outlineLevel="1">
      <c r="A1715" s="325" t="s">
        <v>1067</v>
      </c>
      <c r="B1715" s="325" t="s">
        <v>1696</v>
      </c>
      <c r="C1715" s="325" t="s">
        <v>1697</v>
      </c>
      <c r="D1715" s="325" t="s">
        <v>20</v>
      </c>
      <c r="E1715" s="326">
        <v>9</v>
      </c>
      <c r="F1715" s="331">
        <v>385</v>
      </c>
      <c r="G1715" s="328"/>
      <c r="H1715" s="328" t="s">
        <v>1698</v>
      </c>
      <c r="I1715" s="324" t="s">
        <v>1070</v>
      </c>
    </row>
    <row r="1716" spans="1:9" ht="11.1" customHeight="1" outlineLevel="1">
      <c r="A1716" s="325" t="s">
        <v>1302</v>
      </c>
      <c r="B1716" s="325" t="s">
        <v>3340</v>
      </c>
      <c r="C1716" s="325" t="s">
        <v>3341</v>
      </c>
      <c r="D1716" s="325" t="s">
        <v>1300</v>
      </c>
      <c r="E1716" s="326">
        <v>348</v>
      </c>
      <c r="F1716" s="327">
        <v>184147.66</v>
      </c>
      <c r="G1716" s="328"/>
      <c r="H1716" s="325" t="s">
        <v>3341</v>
      </c>
      <c r="I1716" s="324" t="s">
        <v>1070</v>
      </c>
    </row>
    <row r="1717" spans="1:9" ht="11.1" customHeight="1" outlineLevel="1">
      <c r="A1717" s="325" t="s">
        <v>1302</v>
      </c>
      <c r="B1717" s="325" t="s">
        <v>3342</v>
      </c>
      <c r="C1717" s="325" t="s">
        <v>3343</v>
      </c>
      <c r="D1717" s="325" t="s">
        <v>1300</v>
      </c>
      <c r="E1717" s="326">
        <v>31</v>
      </c>
      <c r="F1717" s="327">
        <v>16406.13</v>
      </c>
      <c r="G1717" s="328"/>
      <c r="H1717" s="325" t="s">
        <v>3343</v>
      </c>
      <c r="I1717" s="324" t="s">
        <v>1070</v>
      </c>
    </row>
    <row r="1718" spans="1:9" ht="11.1" customHeight="1" outlineLevel="1">
      <c r="A1718" s="325" t="s">
        <v>1067</v>
      </c>
      <c r="B1718" s="325" t="s">
        <v>2505</v>
      </c>
      <c r="C1718" s="325" t="s">
        <v>2506</v>
      </c>
      <c r="D1718" s="325" t="s">
        <v>20</v>
      </c>
      <c r="E1718" s="326">
        <v>11</v>
      </c>
      <c r="F1718" s="331">
        <v>373.7</v>
      </c>
      <c r="G1718" s="328"/>
      <c r="H1718" s="160" t="s">
        <v>1701</v>
      </c>
      <c r="I1718" s="324" t="s">
        <v>1070</v>
      </c>
    </row>
    <row r="1719" spans="1:9" ht="11.1" customHeight="1" outlineLevel="1">
      <c r="A1719" s="325" t="s">
        <v>1067</v>
      </c>
      <c r="B1719" s="325" t="s">
        <v>3344</v>
      </c>
      <c r="C1719" s="325" t="s">
        <v>3345</v>
      </c>
      <c r="D1719" s="325" t="s">
        <v>20</v>
      </c>
      <c r="E1719" s="326">
        <v>1</v>
      </c>
      <c r="F1719" s="331">
        <v>66.8</v>
      </c>
      <c r="G1719" s="328"/>
      <c r="H1719" s="160" t="s">
        <v>1701</v>
      </c>
      <c r="I1719" s="324" t="s">
        <v>1070</v>
      </c>
    </row>
    <row r="1720" spans="1:9" ht="11.1" customHeight="1" outlineLevel="1">
      <c r="A1720" s="325" t="s">
        <v>1302</v>
      </c>
      <c r="B1720" s="325" t="s">
        <v>3346</v>
      </c>
      <c r="C1720" s="325" t="s">
        <v>3347</v>
      </c>
      <c r="D1720" s="325" t="s">
        <v>20</v>
      </c>
      <c r="E1720" s="326">
        <v>68</v>
      </c>
      <c r="F1720" s="327">
        <v>19210</v>
      </c>
      <c r="G1720" s="328"/>
      <c r="H1720" s="328" t="s">
        <v>3348</v>
      </c>
      <c r="I1720" s="324" t="s">
        <v>1307</v>
      </c>
    </row>
    <row r="1721" spans="1:9" ht="11.1" customHeight="1" outlineLevel="1">
      <c r="A1721" s="325" t="s">
        <v>1067</v>
      </c>
      <c r="B1721" s="325" t="s">
        <v>2236</v>
      </c>
      <c r="C1721" s="325" t="s">
        <v>2237</v>
      </c>
      <c r="D1721" s="325" t="s">
        <v>20</v>
      </c>
      <c r="E1721" s="326">
        <v>1</v>
      </c>
      <c r="F1721" s="331">
        <v>48.7</v>
      </c>
      <c r="G1721" s="328"/>
      <c r="H1721" s="328" t="s">
        <v>1147</v>
      </c>
      <c r="I1721" s="324" t="s">
        <v>21</v>
      </c>
    </row>
    <row r="1722" spans="1:9" ht="11.1" customHeight="1" outlineLevel="1">
      <c r="A1722" s="325" t="s">
        <v>1302</v>
      </c>
      <c r="B1722" s="325" t="s">
        <v>3349</v>
      </c>
      <c r="C1722" s="325" t="s">
        <v>3350</v>
      </c>
      <c r="D1722" s="325" t="s">
        <v>12</v>
      </c>
      <c r="E1722" s="326">
        <v>143.19999999999999</v>
      </c>
      <c r="F1722" s="327">
        <v>238667.14</v>
      </c>
      <c r="G1722" s="328"/>
      <c r="H1722" s="325" t="s">
        <v>3350</v>
      </c>
      <c r="I1722" s="324" t="s">
        <v>1105</v>
      </c>
    </row>
    <row r="1723" spans="1:9" ht="11.1" customHeight="1" outlineLevel="1">
      <c r="A1723" s="325" t="s">
        <v>1067</v>
      </c>
      <c r="B1723" s="325" t="s">
        <v>3351</v>
      </c>
      <c r="C1723" s="325" t="s">
        <v>3352</v>
      </c>
      <c r="D1723" s="325" t="s">
        <v>20</v>
      </c>
      <c r="E1723" s="326">
        <v>16</v>
      </c>
      <c r="F1723" s="327">
        <v>15552</v>
      </c>
      <c r="G1723" s="328"/>
      <c r="H1723" s="160" t="s">
        <v>551</v>
      </c>
      <c r="I1723" s="324" t="s">
        <v>289</v>
      </c>
    </row>
    <row r="1724" spans="1:9" ht="11.1" customHeight="1" outlineLevel="1">
      <c r="A1724" s="325" t="s">
        <v>1302</v>
      </c>
      <c r="B1724" s="325" t="s">
        <v>3353</v>
      </c>
      <c r="C1724" s="325" t="s">
        <v>3354</v>
      </c>
      <c r="D1724" s="325" t="s">
        <v>12</v>
      </c>
      <c r="E1724" s="326">
        <v>198</v>
      </c>
      <c r="F1724" s="327">
        <v>2277</v>
      </c>
      <c r="G1724" s="328"/>
      <c r="H1724" s="160" t="s">
        <v>1031</v>
      </c>
      <c r="I1724" s="324" t="s">
        <v>1105</v>
      </c>
    </row>
    <row r="1725" spans="1:9" ht="11.1" customHeight="1" outlineLevel="1">
      <c r="A1725" s="325" t="s">
        <v>1302</v>
      </c>
      <c r="B1725" s="325" t="s">
        <v>3355</v>
      </c>
      <c r="C1725" s="325" t="s">
        <v>3356</v>
      </c>
      <c r="D1725" s="325" t="s">
        <v>20</v>
      </c>
      <c r="E1725" s="326">
        <v>1</v>
      </c>
      <c r="F1725" s="327">
        <v>164170.82999999999</v>
      </c>
      <c r="G1725" s="328"/>
      <c r="H1725" s="325" t="s">
        <v>3356</v>
      </c>
      <c r="I1725" s="324" t="s">
        <v>425</v>
      </c>
    </row>
    <row r="1726" spans="1:9" ht="11.1" customHeight="1" outlineLevel="1">
      <c r="A1726" s="325" t="s">
        <v>1067</v>
      </c>
      <c r="B1726" s="325" t="s">
        <v>3357</v>
      </c>
      <c r="C1726" s="325" t="s">
        <v>3358</v>
      </c>
      <c r="D1726" s="325" t="s">
        <v>20</v>
      </c>
      <c r="E1726" s="326">
        <v>2</v>
      </c>
      <c r="F1726" s="331">
        <v>110</v>
      </c>
      <c r="G1726" s="328"/>
      <c r="H1726" s="328" t="s">
        <v>1718</v>
      </c>
      <c r="I1726" s="324" t="s">
        <v>1070</v>
      </c>
    </row>
    <row r="1727" spans="1:9" ht="11.1" customHeight="1" outlineLevel="1">
      <c r="A1727" s="325" t="s">
        <v>1067</v>
      </c>
      <c r="B1727" s="325" t="s">
        <v>3359</v>
      </c>
      <c r="C1727" s="325" t="s">
        <v>3360</v>
      </c>
      <c r="D1727" s="325" t="s">
        <v>20</v>
      </c>
      <c r="E1727" s="326">
        <v>14</v>
      </c>
      <c r="F1727" s="331">
        <v>68.599999999999994</v>
      </c>
      <c r="G1727" s="328"/>
      <c r="H1727" s="328" t="s">
        <v>1718</v>
      </c>
      <c r="I1727" s="324" t="s">
        <v>1070</v>
      </c>
    </row>
    <row r="1728" spans="1:9" ht="11.1" customHeight="1" outlineLevel="1">
      <c r="A1728" s="325" t="s">
        <v>1302</v>
      </c>
      <c r="B1728" s="325" t="s">
        <v>3361</v>
      </c>
      <c r="C1728" s="325" t="s">
        <v>3362</v>
      </c>
      <c r="D1728" s="325" t="s">
        <v>20</v>
      </c>
      <c r="E1728" s="326">
        <v>190</v>
      </c>
      <c r="F1728" s="327">
        <v>1183.7</v>
      </c>
      <c r="G1728" s="328"/>
      <c r="H1728" s="328" t="s">
        <v>3363</v>
      </c>
      <c r="I1728" s="324" t="s">
        <v>1307</v>
      </c>
    </row>
    <row r="1729" spans="1:9" ht="11.1" customHeight="1" outlineLevel="1">
      <c r="A1729" s="325" t="s">
        <v>1302</v>
      </c>
      <c r="B1729" s="325" t="s">
        <v>3364</v>
      </c>
      <c r="C1729" s="325" t="s">
        <v>3365</v>
      </c>
      <c r="D1729" s="325" t="s">
        <v>20</v>
      </c>
      <c r="E1729" s="326">
        <v>190</v>
      </c>
      <c r="F1729" s="331">
        <v>385.7</v>
      </c>
      <c r="G1729" s="328"/>
      <c r="H1729" s="328" t="s">
        <v>3363</v>
      </c>
      <c r="I1729" s="324" t="s">
        <v>1307</v>
      </c>
    </row>
    <row r="1730" spans="1:9" ht="11.1" customHeight="1" outlineLevel="1">
      <c r="A1730" s="325" t="s">
        <v>1302</v>
      </c>
      <c r="B1730" s="325" t="s">
        <v>3366</v>
      </c>
      <c r="C1730" s="325" t="s">
        <v>3367</v>
      </c>
      <c r="D1730" s="325" t="s">
        <v>20</v>
      </c>
      <c r="E1730" s="326">
        <v>190</v>
      </c>
      <c r="F1730" s="331">
        <v>385.7</v>
      </c>
      <c r="G1730" s="328"/>
      <c r="H1730" s="328" t="s">
        <v>3363</v>
      </c>
      <c r="I1730" s="324" t="s">
        <v>1307</v>
      </c>
    </row>
    <row r="1731" spans="1:9" ht="11.1" customHeight="1" outlineLevel="1">
      <c r="A1731" s="325" t="s">
        <v>1302</v>
      </c>
      <c r="B1731" s="325" t="s">
        <v>3368</v>
      </c>
      <c r="C1731" s="325" t="s">
        <v>3369</v>
      </c>
      <c r="D1731" s="325" t="s">
        <v>20</v>
      </c>
      <c r="E1731" s="326">
        <v>1</v>
      </c>
      <c r="F1731" s="327">
        <v>8750</v>
      </c>
      <c r="G1731" s="328"/>
      <c r="H1731" s="325" t="s">
        <v>3369</v>
      </c>
      <c r="I1731" s="324" t="s">
        <v>425</v>
      </c>
    </row>
    <row r="1732" spans="1:9" ht="11.1" customHeight="1" outlineLevel="1">
      <c r="A1732" s="325" t="s">
        <v>1302</v>
      </c>
      <c r="B1732" s="325" t="s">
        <v>3370</v>
      </c>
      <c r="C1732" s="325" t="s">
        <v>3371</v>
      </c>
      <c r="D1732" s="325" t="s">
        <v>20</v>
      </c>
      <c r="E1732" s="326">
        <v>90</v>
      </c>
      <c r="F1732" s="327">
        <v>5400</v>
      </c>
      <c r="G1732" s="328"/>
      <c r="H1732" s="160" t="s">
        <v>606</v>
      </c>
      <c r="I1732" s="324" t="s">
        <v>1307</v>
      </c>
    </row>
    <row r="1733" spans="1:9" ht="11.1" customHeight="1" outlineLevel="1">
      <c r="A1733" s="325" t="s">
        <v>1067</v>
      </c>
      <c r="B1733" s="325" t="s">
        <v>3370</v>
      </c>
      <c r="C1733" s="325" t="s">
        <v>3371</v>
      </c>
      <c r="D1733" s="325" t="s">
        <v>20</v>
      </c>
      <c r="E1733" s="326">
        <v>28</v>
      </c>
      <c r="F1733" s="327">
        <v>1820</v>
      </c>
      <c r="G1733" s="328"/>
      <c r="H1733" s="160" t="s">
        <v>606</v>
      </c>
      <c r="I1733" s="324" t="s">
        <v>1307</v>
      </c>
    </row>
    <row r="1734" spans="1:9" ht="11.1" customHeight="1" outlineLevel="1">
      <c r="A1734" s="325" t="s">
        <v>1302</v>
      </c>
      <c r="B1734" s="325" t="s">
        <v>3372</v>
      </c>
      <c r="C1734" s="325" t="s">
        <v>3373</v>
      </c>
      <c r="D1734" s="325" t="s">
        <v>20</v>
      </c>
      <c r="E1734" s="326">
        <v>30</v>
      </c>
      <c r="F1734" s="327">
        <v>1440</v>
      </c>
      <c r="G1734" s="328"/>
      <c r="H1734" s="328" t="s">
        <v>1028</v>
      </c>
      <c r="I1734" s="324" t="s">
        <v>1087</v>
      </c>
    </row>
    <row r="1735" spans="1:9" ht="11.1" customHeight="1" outlineLevel="1">
      <c r="A1735" s="325" t="s">
        <v>1302</v>
      </c>
      <c r="B1735" s="325" t="s">
        <v>2789</v>
      </c>
      <c r="C1735" s="325" t="s">
        <v>2790</v>
      </c>
      <c r="D1735" s="325" t="s">
        <v>20</v>
      </c>
      <c r="E1735" s="326">
        <v>86</v>
      </c>
      <c r="F1735" s="327">
        <v>31175</v>
      </c>
      <c r="G1735" s="328"/>
      <c r="H1735" s="160" t="s">
        <v>1732</v>
      </c>
      <c r="I1735" s="324" t="s">
        <v>1307</v>
      </c>
    </row>
    <row r="1736" spans="1:9" ht="11.1" customHeight="1" outlineLevel="1">
      <c r="A1736" s="325" t="s">
        <v>1302</v>
      </c>
      <c r="B1736" s="325" t="s">
        <v>1737</v>
      </c>
      <c r="C1736" s="325" t="s">
        <v>1738</v>
      </c>
      <c r="D1736" s="325" t="s">
        <v>20</v>
      </c>
      <c r="E1736" s="326">
        <v>126</v>
      </c>
      <c r="F1736" s="327">
        <v>67775.17</v>
      </c>
      <c r="G1736" s="328"/>
      <c r="H1736" s="160" t="s">
        <v>1732</v>
      </c>
      <c r="I1736" s="324" t="s">
        <v>1307</v>
      </c>
    </row>
    <row r="1737" spans="1:9" ht="11.1" customHeight="1" outlineLevel="1">
      <c r="A1737" s="325" t="s">
        <v>1302</v>
      </c>
      <c r="B1737" s="325" t="s">
        <v>3374</v>
      </c>
      <c r="C1737" s="325" t="s">
        <v>3375</v>
      </c>
      <c r="D1737" s="325" t="s">
        <v>20</v>
      </c>
      <c r="E1737" s="326">
        <v>1</v>
      </c>
      <c r="F1737" s="327">
        <v>32910.83</v>
      </c>
      <c r="G1737" s="328"/>
      <c r="H1737" s="174" t="s">
        <v>1478</v>
      </c>
      <c r="I1737" s="324" t="s">
        <v>425</v>
      </c>
    </row>
    <row r="1738" spans="1:9" ht="11.1" customHeight="1" outlineLevel="1">
      <c r="A1738" s="325" t="s">
        <v>1302</v>
      </c>
      <c r="B1738" s="325" t="s">
        <v>3376</v>
      </c>
      <c r="C1738" s="325" t="s">
        <v>3377</v>
      </c>
      <c r="D1738" s="325" t="s">
        <v>20</v>
      </c>
      <c r="E1738" s="326">
        <v>1</v>
      </c>
      <c r="F1738" s="327">
        <v>43180.83</v>
      </c>
      <c r="G1738" s="328"/>
      <c r="H1738" s="174" t="s">
        <v>1478</v>
      </c>
      <c r="I1738" s="324" t="s">
        <v>425</v>
      </c>
    </row>
    <row r="1739" spans="1:9" ht="11.1" customHeight="1" outlineLevel="1">
      <c r="A1739" s="325" t="s">
        <v>1302</v>
      </c>
      <c r="B1739" s="325" t="s">
        <v>3378</v>
      </c>
      <c r="C1739" s="325" t="s">
        <v>3379</v>
      </c>
      <c r="D1739" s="325" t="s">
        <v>20</v>
      </c>
      <c r="E1739" s="326">
        <v>1</v>
      </c>
      <c r="F1739" s="327">
        <v>91873.33</v>
      </c>
      <c r="G1739" s="328"/>
      <c r="H1739" s="174" t="s">
        <v>1478</v>
      </c>
      <c r="I1739" s="324" t="s">
        <v>425</v>
      </c>
    </row>
    <row r="1740" spans="1:9" ht="11.1" customHeight="1" outlineLevel="1">
      <c r="A1740" s="325" t="s">
        <v>1302</v>
      </c>
      <c r="B1740" s="325" t="s">
        <v>3380</v>
      </c>
      <c r="C1740" s="325" t="s">
        <v>3381</v>
      </c>
      <c r="D1740" s="325" t="s">
        <v>12</v>
      </c>
      <c r="E1740" s="326">
        <v>252</v>
      </c>
      <c r="F1740" s="327">
        <v>135916.16</v>
      </c>
      <c r="G1740" s="328"/>
      <c r="H1740" s="328" t="s">
        <v>3363</v>
      </c>
      <c r="I1740" s="324" t="s">
        <v>1307</v>
      </c>
    </row>
    <row r="1741" spans="1:9" ht="11.1" customHeight="1" outlineLevel="1">
      <c r="A1741" s="325" t="s">
        <v>1302</v>
      </c>
      <c r="B1741" s="325" t="s">
        <v>3382</v>
      </c>
      <c r="C1741" s="325" t="s">
        <v>3383</v>
      </c>
      <c r="D1741" s="325" t="s">
        <v>12</v>
      </c>
      <c r="E1741" s="326">
        <v>132.68</v>
      </c>
      <c r="F1741" s="327">
        <v>66235.16</v>
      </c>
      <c r="G1741" s="328"/>
      <c r="H1741" s="328" t="s">
        <v>1745</v>
      </c>
      <c r="I1741" s="324" t="s">
        <v>1307</v>
      </c>
    </row>
    <row r="1742" spans="1:9" ht="11.1" customHeight="1" outlineLevel="1">
      <c r="A1742" s="325" t="s">
        <v>1067</v>
      </c>
      <c r="B1742" s="325" t="s">
        <v>3384</v>
      </c>
      <c r="C1742" s="325" t="s">
        <v>3385</v>
      </c>
      <c r="D1742" s="325" t="s">
        <v>12</v>
      </c>
      <c r="E1742" s="326">
        <v>66.25</v>
      </c>
      <c r="F1742" s="327">
        <v>28652.75</v>
      </c>
      <c r="G1742" s="328"/>
      <c r="H1742" s="328" t="s">
        <v>1745</v>
      </c>
      <c r="I1742" s="324" t="s">
        <v>1307</v>
      </c>
    </row>
    <row r="1743" spans="1:9" ht="11.1" customHeight="1" outlineLevel="1">
      <c r="A1743" s="325" t="s">
        <v>1302</v>
      </c>
      <c r="B1743" s="325" t="s">
        <v>3384</v>
      </c>
      <c r="C1743" s="325" t="s">
        <v>3385</v>
      </c>
      <c r="D1743" s="325" t="s">
        <v>12</v>
      </c>
      <c r="E1743" s="326">
        <v>301.25</v>
      </c>
      <c r="F1743" s="327">
        <v>117738.05</v>
      </c>
      <c r="G1743" s="328"/>
      <c r="H1743" s="328" t="s">
        <v>1745</v>
      </c>
      <c r="I1743" s="324" t="s">
        <v>1307</v>
      </c>
    </row>
    <row r="1744" spans="1:9" ht="11.1" customHeight="1" outlineLevel="1">
      <c r="A1744" s="325" t="s">
        <v>1302</v>
      </c>
      <c r="B1744" s="325" t="s">
        <v>1746</v>
      </c>
      <c r="C1744" s="325" t="s">
        <v>1747</v>
      </c>
      <c r="D1744" s="325" t="s">
        <v>910</v>
      </c>
      <c r="E1744" s="326">
        <v>11</v>
      </c>
      <c r="F1744" s="327">
        <v>8514.11</v>
      </c>
      <c r="G1744" s="328"/>
      <c r="H1744" s="160" t="s">
        <v>1748</v>
      </c>
      <c r="I1744" s="324" t="s">
        <v>1105</v>
      </c>
    </row>
    <row r="1745" spans="1:9" ht="11.1" customHeight="1" outlineLevel="1">
      <c r="A1745" s="325" t="s">
        <v>1302</v>
      </c>
      <c r="B1745" s="325" t="s">
        <v>3386</v>
      </c>
      <c r="C1745" s="325" t="s">
        <v>3387</v>
      </c>
      <c r="D1745" s="325" t="s">
        <v>12</v>
      </c>
      <c r="E1745" s="326">
        <v>35</v>
      </c>
      <c r="F1745" s="327">
        <v>9770.9500000000007</v>
      </c>
      <c r="G1745" s="328"/>
      <c r="H1745" s="160" t="s">
        <v>570</v>
      </c>
      <c r="I1745" s="324" t="s">
        <v>1105</v>
      </c>
    </row>
    <row r="1746" spans="1:9" ht="11.1" customHeight="1" outlineLevel="1">
      <c r="A1746" s="325" t="s">
        <v>1302</v>
      </c>
      <c r="B1746" s="325" t="s">
        <v>3388</v>
      </c>
      <c r="C1746" s="325" t="s">
        <v>3389</v>
      </c>
      <c r="D1746" s="325" t="s">
        <v>12</v>
      </c>
      <c r="E1746" s="326">
        <v>7.5</v>
      </c>
      <c r="F1746" s="327">
        <v>2539.73</v>
      </c>
      <c r="G1746" s="328"/>
      <c r="H1746" s="160" t="s">
        <v>570</v>
      </c>
      <c r="I1746" s="324" t="s">
        <v>1105</v>
      </c>
    </row>
    <row r="1747" spans="1:9" ht="11.1" customHeight="1" outlineLevel="1">
      <c r="A1747" s="325" t="s">
        <v>1302</v>
      </c>
      <c r="B1747" s="325" t="s">
        <v>3390</v>
      </c>
      <c r="C1747" s="325" t="s">
        <v>3391</v>
      </c>
      <c r="D1747" s="325" t="s">
        <v>20</v>
      </c>
      <c r="E1747" s="326">
        <v>1</v>
      </c>
      <c r="F1747" s="327">
        <v>3780</v>
      </c>
      <c r="G1747" s="328"/>
      <c r="H1747" s="174" t="s">
        <v>3392</v>
      </c>
      <c r="I1747" s="324" t="s">
        <v>425</v>
      </c>
    </row>
    <row r="1748" spans="1:9" ht="11.1" customHeight="1" outlineLevel="1">
      <c r="A1748" s="325" t="s">
        <v>1067</v>
      </c>
      <c r="B1748" s="325" t="s">
        <v>3390</v>
      </c>
      <c r="C1748" s="325" t="s">
        <v>3391</v>
      </c>
      <c r="D1748" s="325" t="s">
        <v>20</v>
      </c>
      <c r="E1748" s="326">
        <v>1</v>
      </c>
      <c r="F1748" s="327">
        <v>3780</v>
      </c>
      <c r="G1748" s="328"/>
      <c r="H1748" s="174" t="s">
        <v>3392</v>
      </c>
      <c r="I1748" s="324" t="s">
        <v>425</v>
      </c>
    </row>
    <row r="1749" spans="1:9" ht="11.1" customHeight="1" outlineLevel="1">
      <c r="A1749" s="325" t="s">
        <v>1067</v>
      </c>
      <c r="B1749" s="325" t="s">
        <v>3393</v>
      </c>
      <c r="C1749" s="325" t="s">
        <v>3394</v>
      </c>
      <c r="D1749" s="325" t="s">
        <v>20</v>
      </c>
      <c r="E1749" s="326">
        <v>1</v>
      </c>
      <c r="F1749" s="327">
        <v>4110</v>
      </c>
      <c r="G1749" s="328"/>
      <c r="H1749" s="325" t="s">
        <v>3394</v>
      </c>
      <c r="I1749" s="324" t="s">
        <v>425</v>
      </c>
    </row>
    <row r="1750" spans="1:9" ht="11.1" customHeight="1" outlineLevel="1">
      <c r="A1750" s="325" t="s">
        <v>1302</v>
      </c>
      <c r="B1750" s="325" t="s">
        <v>3395</v>
      </c>
      <c r="C1750" s="325" t="s">
        <v>3396</v>
      </c>
      <c r="D1750" s="325" t="s">
        <v>20</v>
      </c>
      <c r="E1750" s="326">
        <v>1</v>
      </c>
      <c r="F1750" s="327">
        <v>11967.51</v>
      </c>
      <c r="G1750" s="328"/>
      <c r="H1750" s="336" t="s">
        <v>3397</v>
      </c>
      <c r="I1750" s="324" t="s">
        <v>425</v>
      </c>
    </row>
    <row r="1751" spans="1:9" ht="11.1" customHeight="1" outlineLevel="1">
      <c r="A1751" s="325" t="s">
        <v>1302</v>
      </c>
      <c r="B1751" s="325" t="s">
        <v>3398</v>
      </c>
      <c r="C1751" s="325" t="s">
        <v>3399</v>
      </c>
      <c r="D1751" s="325" t="s">
        <v>295</v>
      </c>
      <c r="E1751" s="326">
        <v>100</v>
      </c>
      <c r="F1751" s="327">
        <v>5400</v>
      </c>
      <c r="G1751" s="328"/>
      <c r="H1751" s="328" t="s">
        <v>549</v>
      </c>
      <c r="I1751" s="324" t="s">
        <v>289</v>
      </c>
    </row>
    <row r="1752" spans="1:9" ht="11.1" customHeight="1" outlineLevel="1">
      <c r="A1752" s="325" t="s">
        <v>1302</v>
      </c>
      <c r="B1752" s="325" t="s">
        <v>3400</v>
      </c>
      <c r="C1752" s="325" t="s">
        <v>3401</v>
      </c>
      <c r="D1752" s="325" t="s">
        <v>20</v>
      </c>
      <c r="E1752" s="326">
        <v>1</v>
      </c>
      <c r="F1752" s="331">
        <v>265</v>
      </c>
      <c r="G1752" s="328"/>
      <c r="H1752" s="328" t="s">
        <v>551</v>
      </c>
      <c r="I1752" s="324" t="s">
        <v>289</v>
      </c>
    </row>
    <row r="1753" spans="1:9" ht="11.1" customHeight="1" outlineLevel="1">
      <c r="A1753" s="325" t="s">
        <v>1302</v>
      </c>
      <c r="B1753" s="325" t="s">
        <v>3402</v>
      </c>
      <c r="C1753" s="325" t="s">
        <v>3403</v>
      </c>
      <c r="D1753" s="325" t="s">
        <v>20</v>
      </c>
      <c r="E1753" s="326">
        <v>1</v>
      </c>
      <c r="F1753" s="331">
        <v>384</v>
      </c>
      <c r="G1753" s="328"/>
      <c r="H1753" s="328" t="s">
        <v>551</v>
      </c>
      <c r="I1753" s="324" t="s">
        <v>289</v>
      </c>
    </row>
    <row r="1754" spans="1:9" ht="11.1" customHeight="1" outlineLevel="1">
      <c r="A1754" s="325" t="s">
        <v>1302</v>
      </c>
      <c r="B1754" s="325" t="s">
        <v>1767</v>
      </c>
      <c r="C1754" s="325" t="s">
        <v>1768</v>
      </c>
      <c r="D1754" s="325" t="s">
        <v>20</v>
      </c>
      <c r="E1754" s="326">
        <v>13</v>
      </c>
      <c r="F1754" s="327">
        <v>2522</v>
      </c>
      <c r="G1754" s="328"/>
      <c r="H1754" s="328" t="s">
        <v>3267</v>
      </c>
      <c r="I1754" s="324" t="s">
        <v>1307</v>
      </c>
    </row>
    <row r="1755" spans="1:9" ht="11.1" customHeight="1" outlineLevel="1">
      <c r="A1755" s="325" t="s">
        <v>1302</v>
      </c>
      <c r="B1755" s="325" t="s">
        <v>3404</v>
      </c>
      <c r="C1755" s="325" t="s">
        <v>3405</v>
      </c>
      <c r="D1755" s="325" t="s">
        <v>20</v>
      </c>
      <c r="E1755" s="326">
        <v>12</v>
      </c>
      <c r="F1755" s="327">
        <v>2328</v>
      </c>
      <c r="G1755" s="328"/>
      <c r="H1755" s="328" t="s">
        <v>3267</v>
      </c>
      <c r="I1755" s="324" t="s">
        <v>1307</v>
      </c>
    </row>
    <row r="1756" spans="1:9" ht="11.1" customHeight="1" outlineLevel="1">
      <c r="A1756" s="325" t="s">
        <v>1302</v>
      </c>
      <c r="B1756" s="325" t="s">
        <v>3406</v>
      </c>
      <c r="C1756" s="325" t="s">
        <v>3407</v>
      </c>
      <c r="D1756" s="325" t="s">
        <v>20</v>
      </c>
      <c r="E1756" s="326">
        <v>440</v>
      </c>
      <c r="F1756" s="327">
        <v>108119.14</v>
      </c>
      <c r="G1756" s="328"/>
      <c r="H1756" s="328" t="s">
        <v>3363</v>
      </c>
      <c r="I1756" s="324" t="s">
        <v>1307</v>
      </c>
    </row>
    <row r="1757" spans="1:9" ht="11.1" customHeight="1" outlineLevel="1">
      <c r="A1757" s="325" t="s">
        <v>1302</v>
      </c>
      <c r="B1757" s="325" t="s">
        <v>3408</v>
      </c>
      <c r="C1757" s="325" t="s">
        <v>3409</v>
      </c>
      <c r="D1757" s="325" t="s">
        <v>20</v>
      </c>
      <c r="E1757" s="326">
        <v>360</v>
      </c>
      <c r="F1757" s="327">
        <v>32400</v>
      </c>
      <c r="G1757" s="328"/>
      <c r="H1757" s="328" t="s">
        <v>3363</v>
      </c>
      <c r="I1757" s="324" t="s">
        <v>1307</v>
      </c>
    </row>
    <row r="1758" spans="1:9" ht="11.1" customHeight="1" outlineLevel="1">
      <c r="A1758" s="325" t="s">
        <v>1302</v>
      </c>
      <c r="B1758" s="325" t="s">
        <v>3410</v>
      </c>
      <c r="C1758" s="325" t="s">
        <v>3411</v>
      </c>
      <c r="D1758" s="325" t="s">
        <v>20</v>
      </c>
      <c r="E1758" s="326">
        <v>68</v>
      </c>
      <c r="F1758" s="327">
        <v>7648.54</v>
      </c>
      <c r="G1758" s="328"/>
      <c r="H1758" s="328" t="s">
        <v>3363</v>
      </c>
      <c r="I1758" s="324" t="s">
        <v>1307</v>
      </c>
    </row>
    <row r="1759" spans="1:9" ht="11.1" customHeight="1" outlineLevel="1">
      <c r="A1759" s="325" t="s">
        <v>1067</v>
      </c>
      <c r="B1759" s="325" t="s">
        <v>3412</v>
      </c>
      <c r="C1759" s="325" t="s">
        <v>3413</v>
      </c>
      <c r="D1759" s="325" t="s">
        <v>20</v>
      </c>
      <c r="E1759" s="326">
        <v>1</v>
      </c>
      <c r="F1759" s="331">
        <v>150</v>
      </c>
      <c r="G1759" s="328"/>
      <c r="H1759" s="328" t="s">
        <v>3363</v>
      </c>
      <c r="I1759" s="324" t="s">
        <v>1307</v>
      </c>
    </row>
    <row r="1760" spans="1:9" ht="11.1" customHeight="1" outlineLevel="1">
      <c r="A1760" s="325" t="s">
        <v>1302</v>
      </c>
      <c r="B1760" s="325" t="s">
        <v>3414</v>
      </c>
      <c r="C1760" s="325" t="s">
        <v>3415</v>
      </c>
      <c r="D1760" s="325" t="s">
        <v>20</v>
      </c>
      <c r="E1760" s="326">
        <v>297.36</v>
      </c>
      <c r="F1760" s="327">
        <v>56746.2</v>
      </c>
      <c r="G1760" s="328"/>
      <c r="H1760" s="160" t="s">
        <v>546</v>
      </c>
      <c r="I1760" s="324" t="s">
        <v>1105</v>
      </c>
    </row>
    <row r="1761" spans="1:9" ht="11.1" customHeight="1" outlineLevel="1">
      <c r="A1761" s="325" t="s">
        <v>1067</v>
      </c>
      <c r="B1761" s="325" t="s">
        <v>3416</v>
      </c>
      <c r="C1761" s="325" t="s">
        <v>3417</v>
      </c>
      <c r="D1761" s="325" t="s">
        <v>20</v>
      </c>
      <c r="E1761" s="326">
        <v>10</v>
      </c>
      <c r="F1761" s="331">
        <v>140</v>
      </c>
      <c r="G1761" s="328"/>
      <c r="H1761" s="160" t="s">
        <v>1786</v>
      </c>
      <c r="I1761" s="324" t="s">
        <v>1070</v>
      </c>
    </row>
    <row r="1762" spans="1:9" ht="11.1" customHeight="1" outlineLevel="1">
      <c r="A1762" s="325" t="s">
        <v>1067</v>
      </c>
      <c r="B1762" s="325" t="s">
        <v>3418</v>
      </c>
      <c r="C1762" s="325" t="s">
        <v>3419</v>
      </c>
      <c r="D1762" s="325" t="s">
        <v>20</v>
      </c>
      <c r="E1762" s="326">
        <v>1</v>
      </c>
      <c r="F1762" s="331">
        <v>14</v>
      </c>
      <c r="G1762" s="328"/>
      <c r="H1762" s="160" t="s">
        <v>1786</v>
      </c>
      <c r="I1762" s="324" t="s">
        <v>1070</v>
      </c>
    </row>
    <row r="1763" spans="1:9" ht="11.1" customHeight="1" outlineLevel="1">
      <c r="A1763" s="325" t="s">
        <v>1302</v>
      </c>
      <c r="B1763" s="325" t="s">
        <v>3420</v>
      </c>
      <c r="C1763" s="325" t="s">
        <v>3421</v>
      </c>
      <c r="D1763" s="325" t="s">
        <v>295</v>
      </c>
      <c r="E1763" s="335">
        <v>2271</v>
      </c>
      <c r="F1763" s="327">
        <v>50552.46</v>
      </c>
      <c r="G1763" s="328"/>
      <c r="H1763" s="160" t="s">
        <v>1789</v>
      </c>
      <c r="I1763" s="324" t="s">
        <v>1307</v>
      </c>
    </row>
    <row r="1764" spans="1:9" ht="11.1" customHeight="1" outlineLevel="1">
      <c r="A1764" s="325" t="s">
        <v>1302</v>
      </c>
      <c r="B1764" s="325" t="s">
        <v>2817</v>
      </c>
      <c r="C1764" s="325" t="s">
        <v>2818</v>
      </c>
      <c r="D1764" s="325" t="s">
        <v>295</v>
      </c>
      <c r="E1764" s="326">
        <v>870</v>
      </c>
      <c r="F1764" s="327">
        <v>51312.6</v>
      </c>
      <c r="G1764" s="328"/>
      <c r="H1764" s="160" t="s">
        <v>1789</v>
      </c>
      <c r="I1764" s="324" t="s">
        <v>1307</v>
      </c>
    </row>
    <row r="1765" spans="1:9" ht="11.1" customHeight="1" outlineLevel="1">
      <c r="A1765" s="325" t="s">
        <v>1302</v>
      </c>
      <c r="B1765" s="325" t="s">
        <v>3422</v>
      </c>
      <c r="C1765" s="325" t="s">
        <v>3423</v>
      </c>
      <c r="D1765" s="325" t="s">
        <v>1220</v>
      </c>
      <c r="E1765" s="326">
        <v>0.15</v>
      </c>
      <c r="F1765" s="327">
        <v>1562.51</v>
      </c>
      <c r="G1765" s="328"/>
      <c r="H1765" s="328" t="s">
        <v>1337</v>
      </c>
      <c r="I1765" s="324" t="s">
        <v>1105</v>
      </c>
    </row>
    <row r="1766" spans="1:9" ht="11.1" customHeight="1" outlineLevel="1">
      <c r="A1766" s="325" t="s">
        <v>1067</v>
      </c>
      <c r="B1766" s="325" t="s">
        <v>3424</v>
      </c>
      <c r="C1766" s="325" t="s">
        <v>3425</v>
      </c>
      <c r="D1766" s="325" t="s">
        <v>20</v>
      </c>
      <c r="E1766" s="326">
        <v>15</v>
      </c>
      <c r="F1766" s="327">
        <v>5020</v>
      </c>
      <c r="G1766" s="328"/>
      <c r="H1766" s="160" t="s">
        <v>1799</v>
      </c>
      <c r="I1766" s="324" t="s">
        <v>1105</v>
      </c>
    </row>
    <row r="1767" spans="1:9" ht="11.1" customHeight="1" outlineLevel="1">
      <c r="A1767" s="325" t="s">
        <v>1067</v>
      </c>
      <c r="B1767" s="325" t="s">
        <v>3426</v>
      </c>
      <c r="C1767" s="325" t="s">
        <v>3427</v>
      </c>
      <c r="D1767" s="325" t="s">
        <v>20</v>
      </c>
      <c r="E1767" s="326">
        <v>26</v>
      </c>
      <c r="F1767" s="327">
        <v>3290.84</v>
      </c>
      <c r="G1767" s="328"/>
      <c r="H1767" s="160" t="s">
        <v>633</v>
      </c>
      <c r="I1767" s="324" t="s">
        <v>289</v>
      </c>
    </row>
    <row r="1768" spans="1:9" ht="11.1" customHeight="1" outlineLevel="1">
      <c r="A1768" s="325" t="s">
        <v>1067</v>
      </c>
      <c r="B1768" s="325" t="s">
        <v>3428</v>
      </c>
      <c r="C1768" s="325" t="s">
        <v>3429</v>
      </c>
      <c r="D1768" s="325" t="s">
        <v>20</v>
      </c>
      <c r="E1768" s="326">
        <v>17</v>
      </c>
      <c r="F1768" s="327">
        <v>3398.15</v>
      </c>
      <c r="G1768" s="328"/>
      <c r="H1768" s="160" t="s">
        <v>633</v>
      </c>
      <c r="I1768" s="324" t="s">
        <v>289</v>
      </c>
    </row>
    <row r="1769" spans="1:9" ht="11.1" customHeight="1" outlineLevel="1">
      <c r="A1769" s="325" t="s">
        <v>1067</v>
      </c>
      <c r="B1769" s="325" t="s">
        <v>3430</v>
      </c>
      <c r="C1769" s="325" t="s">
        <v>3431</v>
      </c>
      <c r="D1769" s="325" t="s">
        <v>20</v>
      </c>
      <c r="E1769" s="326">
        <v>4</v>
      </c>
      <c r="F1769" s="331">
        <v>546</v>
      </c>
      <c r="G1769" s="328"/>
      <c r="H1769" s="160" t="s">
        <v>633</v>
      </c>
      <c r="I1769" s="324" t="s">
        <v>289</v>
      </c>
    </row>
    <row r="1770" spans="1:9" ht="11.1" customHeight="1" outlineLevel="1">
      <c r="A1770" s="325" t="s">
        <v>1302</v>
      </c>
      <c r="B1770" s="325" t="s">
        <v>1205</v>
      </c>
      <c r="C1770" s="325" t="s">
        <v>1206</v>
      </c>
      <c r="D1770" s="325" t="s">
        <v>261</v>
      </c>
      <c r="E1770" s="326">
        <v>70</v>
      </c>
      <c r="F1770" s="327">
        <v>5063.8999999999996</v>
      </c>
      <c r="G1770" s="328"/>
      <c r="H1770" s="160" t="s">
        <v>203</v>
      </c>
      <c r="I1770" s="324" t="s">
        <v>1087</v>
      </c>
    </row>
    <row r="1771" spans="1:9" ht="11.1" customHeight="1" outlineLevel="1">
      <c r="A1771" s="325" t="s">
        <v>1302</v>
      </c>
      <c r="B1771" s="325" t="s">
        <v>3432</v>
      </c>
      <c r="C1771" s="325" t="s">
        <v>3433</v>
      </c>
      <c r="D1771" s="325" t="s">
        <v>20</v>
      </c>
      <c r="E1771" s="335">
        <v>9000</v>
      </c>
      <c r="F1771" s="327">
        <v>3268.44</v>
      </c>
      <c r="G1771" s="328"/>
      <c r="H1771" s="160" t="s">
        <v>612</v>
      </c>
      <c r="I1771" s="324" t="s">
        <v>1307</v>
      </c>
    </row>
    <row r="1772" spans="1:9" ht="11.1" customHeight="1" outlineLevel="1">
      <c r="A1772" s="325" t="s">
        <v>1302</v>
      </c>
      <c r="B1772" s="325" t="s">
        <v>2827</v>
      </c>
      <c r="C1772" s="325" t="s">
        <v>2828</v>
      </c>
      <c r="D1772" s="325" t="s">
        <v>20</v>
      </c>
      <c r="E1772" s="335">
        <v>1000</v>
      </c>
      <c r="F1772" s="331">
        <v>150.43</v>
      </c>
      <c r="G1772" s="328"/>
      <c r="H1772" s="160" t="s">
        <v>612</v>
      </c>
      <c r="I1772" s="324" t="s">
        <v>1307</v>
      </c>
    </row>
    <row r="1773" spans="1:9" ht="11.1" customHeight="1" outlineLevel="1">
      <c r="A1773" s="325" t="s">
        <v>1067</v>
      </c>
      <c r="B1773" s="325" t="s">
        <v>3434</v>
      </c>
      <c r="C1773" s="325" t="s">
        <v>3435</v>
      </c>
      <c r="D1773" s="325" t="s">
        <v>20</v>
      </c>
      <c r="E1773" s="326">
        <v>250</v>
      </c>
      <c r="F1773" s="331">
        <v>118.4</v>
      </c>
      <c r="G1773" s="328"/>
      <c r="H1773" s="160" t="s">
        <v>612</v>
      </c>
      <c r="I1773" s="324" t="s">
        <v>1307</v>
      </c>
    </row>
    <row r="1774" spans="1:9" ht="11.1" customHeight="1" outlineLevel="1">
      <c r="A1774" s="325" t="s">
        <v>1302</v>
      </c>
      <c r="B1774" s="325" t="s">
        <v>2529</v>
      </c>
      <c r="C1774" s="325" t="s">
        <v>2530</v>
      </c>
      <c r="D1774" s="325" t="s">
        <v>20</v>
      </c>
      <c r="E1774" s="335">
        <v>2256</v>
      </c>
      <c r="F1774" s="327">
        <v>4906.22</v>
      </c>
      <c r="G1774" s="328"/>
      <c r="H1774" s="160" t="s">
        <v>612</v>
      </c>
      <c r="I1774" s="324" t="s">
        <v>1307</v>
      </c>
    </row>
    <row r="1775" spans="1:9" ht="11.1" customHeight="1" outlineLevel="1">
      <c r="A1775" s="325" t="s">
        <v>1302</v>
      </c>
      <c r="B1775" s="325" t="s">
        <v>2531</v>
      </c>
      <c r="C1775" s="325" t="s">
        <v>2532</v>
      </c>
      <c r="D1775" s="325" t="s">
        <v>20</v>
      </c>
      <c r="E1775" s="335">
        <v>6250</v>
      </c>
      <c r="F1775" s="327">
        <v>4322.9399999999996</v>
      </c>
      <c r="G1775" s="328"/>
      <c r="H1775" s="160" t="s">
        <v>612</v>
      </c>
      <c r="I1775" s="324" t="s">
        <v>1307</v>
      </c>
    </row>
    <row r="1776" spans="1:9" ht="21.95" customHeight="1" outlineLevel="1">
      <c r="A1776" s="325" t="s">
        <v>1067</v>
      </c>
      <c r="B1776" s="325" t="s">
        <v>3436</v>
      </c>
      <c r="C1776" s="325" t="s">
        <v>3437</v>
      </c>
      <c r="D1776" s="325" t="s">
        <v>1101</v>
      </c>
      <c r="E1776" s="335">
        <v>2000</v>
      </c>
      <c r="F1776" s="327">
        <v>1822.9</v>
      </c>
      <c r="G1776" s="328"/>
      <c r="H1776" s="160" t="s">
        <v>612</v>
      </c>
      <c r="I1776" s="324" t="s">
        <v>1307</v>
      </c>
    </row>
    <row r="1777" spans="1:9" ht="11.1" customHeight="1" outlineLevel="1">
      <c r="A1777" s="325" t="s">
        <v>1067</v>
      </c>
      <c r="B1777" s="325" t="s">
        <v>3438</v>
      </c>
      <c r="C1777" s="325" t="s">
        <v>3439</v>
      </c>
      <c r="D1777" s="325" t="s">
        <v>20</v>
      </c>
      <c r="E1777" s="326">
        <v>1</v>
      </c>
      <c r="F1777" s="327">
        <v>2360</v>
      </c>
      <c r="G1777" s="328"/>
      <c r="H1777" s="328"/>
    </row>
    <row r="1778" spans="1:9" ht="11.1" customHeight="1" outlineLevel="1">
      <c r="A1778" s="325" t="s">
        <v>1067</v>
      </c>
      <c r="B1778" s="325" t="s">
        <v>3440</v>
      </c>
      <c r="C1778" s="325" t="s">
        <v>3441</v>
      </c>
      <c r="D1778" s="325" t="s">
        <v>20</v>
      </c>
      <c r="E1778" s="326">
        <v>12</v>
      </c>
      <c r="F1778" s="327">
        <v>2548.8000000000002</v>
      </c>
      <c r="G1778" s="328"/>
      <c r="H1778" s="160" t="s">
        <v>551</v>
      </c>
      <c r="I1778" s="324" t="s">
        <v>289</v>
      </c>
    </row>
    <row r="1779" spans="1:9" ht="11.1" customHeight="1" outlineLevel="1">
      <c r="A1779" s="325" t="s">
        <v>1067</v>
      </c>
      <c r="B1779" s="325" t="s">
        <v>3442</v>
      </c>
      <c r="C1779" s="325" t="s">
        <v>3443</v>
      </c>
      <c r="D1779" s="325" t="s">
        <v>20</v>
      </c>
      <c r="E1779" s="326">
        <v>10</v>
      </c>
      <c r="F1779" s="327">
        <v>3816</v>
      </c>
      <c r="G1779" s="328"/>
      <c r="H1779" s="160" t="s">
        <v>551</v>
      </c>
      <c r="I1779" s="324" t="s">
        <v>289</v>
      </c>
    </row>
    <row r="1780" spans="1:9" ht="11.1" customHeight="1" outlineLevel="1">
      <c r="A1780" s="325" t="s">
        <v>1302</v>
      </c>
      <c r="B1780" s="325" t="s">
        <v>3444</v>
      </c>
      <c r="C1780" s="325" t="s">
        <v>3445</v>
      </c>
      <c r="D1780" s="325" t="s">
        <v>20</v>
      </c>
      <c r="E1780" s="326">
        <v>10</v>
      </c>
      <c r="F1780" s="327">
        <v>12000</v>
      </c>
      <c r="G1780" s="328"/>
      <c r="H1780" s="328" t="s">
        <v>3446</v>
      </c>
      <c r="I1780" s="324" t="s">
        <v>1087</v>
      </c>
    </row>
    <row r="1781" spans="1:9" ht="11.1" customHeight="1" outlineLevel="1">
      <c r="A1781" s="325" t="s">
        <v>1302</v>
      </c>
      <c r="B1781" s="325" t="s">
        <v>3447</v>
      </c>
      <c r="C1781" s="325" t="s">
        <v>3448</v>
      </c>
      <c r="D1781" s="325" t="s">
        <v>1519</v>
      </c>
      <c r="E1781" s="326">
        <v>20</v>
      </c>
      <c r="F1781" s="331">
        <v>960</v>
      </c>
      <c r="G1781" s="328"/>
      <c r="H1781" s="328" t="s">
        <v>3449</v>
      </c>
      <c r="I1781" s="324" t="s">
        <v>1307</v>
      </c>
    </row>
    <row r="1782" spans="1:9" ht="11.1" customHeight="1" outlineLevel="1">
      <c r="A1782" s="325" t="s">
        <v>1067</v>
      </c>
      <c r="B1782" s="325" t="s">
        <v>3450</v>
      </c>
      <c r="C1782" s="325" t="s">
        <v>3451</v>
      </c>
      <c r="D1782" s="325" t="s">
        <v>12</v>
      </c>
      <c r="E1782" s="326">
        <v>3.681</v>
      </c>
      <c r="F1782" s="327">
        <v>8431.68</v>
      </c>
      <c r="G1782" s="328"/>
      <c r="H1782" s="328" t="s">
        <v>3451</v>
      </c>
      <c r="I1782" s="330" t="s">
        <v>2119</v>
      </c>
    </row>
    <row r="1783" spans="1:9" ht="11.1" customHeight="1" outlineLevel="1">
      <c r="A1783" s="325" t="s">
        <v>1302</v>
      </c>
      <c r="B1783" s="325" t="s">
        <v>3452</v>
      </c>
      <c r="C1783" s="325" t="s">
        <v>3453</v>
      </c>
      <c r="D1783" s="325" t="s">
        <v>20</v>
      </c>
      <c r="E1783" s="326">
        <v>1</v>
      </c>
      <c r="F1783" s="327">
        <v>35199.17</v>
      </c>
      <c r="G1783" s="328"/>
      <c r="H1783" s="174" t="s">
        <v>3454</v>
      </c>
      <c r="I1783" s="324" t="s">
        <v>425</v>
      </c>
    </row>
    <row r="1784" spans="1:9" ht="11.1" customHeight="1" outlineLevel="1">
      <c r="A1784" s="325" t="s">
        <v>1302</v>
      </c>
      <c r="B1784" s="325" t="s">
        <v>3455</v>
      </c>
      <c r="C1784" s="325" t="s">
        <v>3456</v>
      </c>
      <c r="D1784" s="325" t="s">
        <v>20</v>
      </c>
      <c r="E1784" s="326">
        <v>4</v>
      </c>
      <c r="F1784" s="327">
        <v>20686.669999999998</v>
      </c>
      <c r="G1784" s="328"/>
      <c r="H1784" s="174" t="s">
        <v>2853</v>
      </c>
      <c r="I1784" s="324" t="s">
        <v>425</v>
      </c>
    </row>
    <row r="1785" spans="1:9" ht="11.1" customHeight="1" outlineLevel="1">
      <c r="A1785" s="325" t="s">
        <v>1302</v>
      </c>
      <c r="B1785" s="325" t="s">
        <v>3457</v>
      </c>
      <c r="C1785" s="325" t="s">
        <v>3458</v>
      </c>
      <c r="D1785" s="325" t="s">
        <v>20</v>
      </c>
      <c r="E1785" s="326">
        <v>4</v>
      </c>
      <c r="F1785" s="327">
        <v>24570</v>
      </c>
      <c r="G1785" s="328"/>
      <c r="H1785" s="174" t="s">
        <v>2853</v>
      </c>
      <c r="I1785" s="324" t="s">
        <v>425</v>
      </c>
    </row>
    <row r="1786" spans="1:9" ht="11.1" customHeight="1" outlineLevel="1">
      <c r="A1786" s="325" t="s">
        <v>1302</v>
      </c>
      <c r="B1786" s="325" t="s">
        <v>3459</v>
      </c>
      <c r="C1786" s="325" t="s">
        <v>3460</v>
      </c>
      <c r="D1786" s="325" t="s">
        <v>20</v>
      </c>
      <c r="E1786" s="326">
        <v>1</v>
      </c>
      <c r="F1786" s="327">
        <v>7770</v>
      </c>
      <c r="G1786" s="328"/>
      <c r="H1786" s="174" t="s">
        <v>2853</v>
      </c>
      <c r="I1786" s="324" t="s">
        <v>425</v>
      </c>
    </row>
    <row r="1787" spans="1:9" ht="11.1" customHeight="1" outlineLevel="1">
      <c r="A1787" s="325" t="s">
        <v>1067</v>
      </c>
      <c r="B1787" s="325" t="s">
        <v>3461</v>
      </c>
      <c r="C1787" s="325" t="s">
        <v>3462</v>
      </c>
      <c r="D1787" s="325" t="s">
        <v>20</v>
      </c>
      <c r="E1787" s="326">
        <v>2</v>
      </c>
      <c r="F1787" s="327">
        <v>20706.669999999998</v>
      </c>
      <c r="G1787" s="328"/>
      <c r="H1787" s="174" t="s">
        <v>675</v>
      </c>
      <c r="I1787" s="324" t="s">
        <v>425</v>
      </c>
    </row>
    <row r="1788" spans="1:9" ht="11.1" customHeight="1" outlineLevel="1">
      <c r="A1788" s="325" t="s">
        <v>1302</v>
      </c>
      <c r="B1788" s="325" t="s">
        <v>3463</v>
      </c>
      <c r="C1788" s="325" t="s">
        <v>3464</v>
      </c>
      <c r="D1788" s="325" t="s">
        <v>20</v>
      </c>
      <c r="E1788" s="326">
        <v>4</v>
      </c>
      <c r="F1788" s="327">
        <v>10290</v>
      </c>
      <c r="G1788" s="328"/>
      <c r="H1788" s="174" t="s">
        <v>675</v>
      </c>
      <c r="I1788" s="324" t="s">
        <v>425</v>
      </c>
    </row>
    <row r="1789" spans="1:9" ht="11.1" customHeight="1" outlineLevel="1">
      <c r="A1789" s="325" t="s">
        <v>1067</v>
      </c>
      <c r="B1789" s="325" t="s">
        <v>3465</v>
      </c>
      <c r="C1789" s="325" t="s">
        <v>3466</v>
      </c>
      <c r="D1789" s="325" t="s">
        <v>20</v>
      </c>
      <c r="E1789" s="326">
        <v>1</v>
      </c>
      <c r="F1789" s="327">
        <v>4998.33</v>
      </c>
      <c r="G1789" s="328"/>
      <c r="H1789" s="174" t="s">
        <v>675</v>
      </c>
      <c r="I1789" s="324" t="s">
        <v>425</v>
      </c>
    </row>
    <row r="1790" spans="1:9" ht="11.1" customHeight="1" outlineLevel="1">
      <c r="A1790" s="325" t="s">
        <v>1067</v>
      </c>
      <c r="B1790" s="325" t="s">
        <v>3467</v>
      </c>
      <c r="C1790" s="325" t="s">
        <v>3468</v>
      </c>
      <c r="D1790" s="325" t="s">
        <v>20</v>
      </c>
      <c r="E1790" s="326">
        <v>1</v>
      </c>
      <c r="F1790" s="327">
        <v>6217.5</v>
      </c>
      <c r="G1790" s="328"/>
      <c r="H1790" s="174" t="s">
        <v>675</v>
      </c>
      <c r="I1790" s="324" t="s">
        <v>425</v>
      </c>
    </row>
    <row r="1791" spans="1:9" ht="11.1" customHeight="1" outlineLevel="1">
      <c r="A1791" s="325" t="s">
        <v>1302</v>
      </c>
      <c r="B1791" s="325" t="s">
        <v>3469</v>
      </c>
      <c r="C1791" s="325" t="s">
        <v>3470</v>
      </c>
      <c r="D1791" s="325" t="s">
        <v>20</v>
      </c>
      <c r="E1791" s="326">
        <v>3</v>
      </c>
      <c r="F1791" s="327">
        <v>1260</v>
      </c>
      <c r="G1791" s="328"/>
      <c r="H1791" s="160" t="s">
        <v>1853</v>
      </c>
      <c r="I1791" s="324" t="s">
        <v>1105</v>
      </c>
    </row>
    <row r="1792" spans="1:9" ht="11.1" customHeight="1" outlineLevel="1">
      <c r="A1792" s="325" t="s">
        <v>1067</v>
      </c>
      <c r="B1792" s="325" t="s">
        <v>3471</v>
      </c>
      <c r="C1792" s="325" t="s">
        <v>3472</v>
      </c>
      <c r="D1792" s="325" t="s">
        <v>12</v>
      </c>
      <c r="E1792" s="326">
        <v>5</v>
      </c>
      <c r="F1792" s="331">
        <v>295</v>
      </c>
      <c r="G1792" s="328"/>
      <c r="H1792" s="160" t="s">
        <v>1853</v>
      </c>
      <c r="I1792" s="324" t="s">
        <v>1105</v>
      </c>
    </row>
    <row r="1793" spans="1:9" ht="11.1" customHeight="1" outlineLevel="1">
      <c r="A1793" s="325" t="s">
        <v>1067</v>
      </c>
      <c r="B1793" s="325" t="s">
        <v>3473</v>
      </c>
      <c r="C1793" s="325" t="s">
        <v>3474</v>
      </c>
      <c r="D1793" s="325" t="s">
        <v>1305</v>
      </c>
      <c r="E1793" s="326">
        <v>4</v>
      </c>
      <c r="F1793" s="331">
        <v>800</v>
      </c>
      <c r="G1793" s="328"/>
      <c r="H1793" s="328" t="s">
        <v>3475</v>
      </c>
      <c r="I1793" s="324" t="s">
        <v>289</v>
      </c>
    </row>
    <row r="1794" spans="1:9" ht="11.1" customHeight="1" outlineLevel="1">
      <c r="A1794" s="325" t="s">
        <v>1067</v>
      </c>
      <c r="B1794" s="325" t="s">
        <v>3476</v>
      </c>
      <c r="C1794" s="325" t="s">
        <v>3477</v>
      </c>
      <c r="D1794" s="325" t="s">
        <v>1305</v>
      </c>
      <c r="E1794" s="326">
        <v>6</v>
      </c>
      <c r="F1794" s="327">
        <v>1950</v>
      </c>
      <c r="G1794" s="328"/>
      <c r="H1794" s="328" t="s">
        <v>3475</v>
      </c>
      <c r="I1794" s="324" t="s">
        <v>289</v>
      </c>
    </row>
    <row r="1795" spans="1:9" ht="11.1" customHeight="1" outlineLevel="1">
      <c r="A1795" s="325" t="s">
        <v>1302</v>
      </c>
      <c r="B1795" s="325" t="s">
        <v>3478</v>
      </c>
      <c r="C1795" s="325" t="s">
        <v>3479</v>
      </c>
      <c r="D1795" s="325" t="s">
        <v>20</v>
      </c>
      <c r="E1795" s="326">
        <v>33</v>
      </c>
      <c r="F1795" s="327">
        <v>7067.5</v>
      </c>
      <c r="G1795" s="328"/>
      <c r="H1795" s="328" t="s">
        <v>2681</v>
      </c>
      <c r="I1795" s="324" t="s">
        <v>1307</v>
      </c>
    </row>
    <row r="1796" spans="1:9" ht="11.1" customHeight="1" outlineLevel="1">
      <c r="A1796" s="325" t="s">
        <v>1067</v>
      </c>
      <c r="B1796" s="325" t="s">
        <v>1870</v>
      </c>
      <c r="C1796" s="325" t="s">
        <v>1871</v>
      </c>
      <c r="D1796" s="325" t="s">
        <v>20</v>
      </c>
      <c r="E1796" s="326">
        <v>10</v>
      </c>
      <c r="F1796" s="331">
        <v>310</v>
      </c>
      <c r="G1796" s="328"/>
      <c r="H1796" s="160" t="s">
        <v>557</v>
      </c>
      <c r="I1796" s="324" t="s">
        <v>1070</v>
      </c>
    </row>
    <row r="1797" spans="1:9" ht="11.1" customHeight="1" outlineLevel="1">
      <c r="A1797" s="325" t="s">
        <v>1067</v>
      </c>
      <c r="B1797" s="325" t="s">
        <v>3480</v>
      </c>
      <c r="C1797" s="325" t="s">
        <v>3481</v>
      </c>
      <c r="D1797" s="325" t="s">
        <v>20</v>
      </c>
      <c r="E1797" s="326">
        <v>1</v>
      </c>
      <c r="F1797" s="331">
        <v>60.5</v>
      </c>
      <c r="G1797" s="328"/>
      <c r="H1797" s="160" t="s">
        <v>557</v>
      </c>
      <c r="I1797" s="324" t="s">
        <v>1070</v>
      </c>
    </row>
    <row r="1798" spans="1:9" ht="11.1" customHeight="1" outlineLevel="1">
      <c r="A1798" s="325" t="s">
        <v>1067</v>
      </c>
      <c r="B1798" s="325" t="s">
        <v>3482</v>
      </c>
      <c r="C1798" s="325" t="s">
        <v>3483</v>
      </c>
      <c r="D1798" s="325" t="s">
        <v>20</v>
      </c>
      <c r="E1798" s="326">
        <v>36</v>
      </c>
      <c r="F1798" s="331">
        <v>453.3</v>
      </c>
      <c r="G1798" s="328"/>
      <c r="H1798" s="160" t="s">
        <v>557</v>
      </c>
      <c r="I1798" s="324" t="s">
        <v>1070</v>
      </c>
    </row>
    <row r="1799" spans="1:9" ht="11.1" customHeight="1" outlineLevel="1">
      <c r="A1799" s="325" t="s">
        <v>1302</v>
      </c>
      <c r="B1799" s="325" t="s">
        <v>3484</v>
      </c>
      <c r="C1799" s="325" t="s">
        <v>3485</v>
      </c>
      <c r="D1799" s="325" t="s">
        <v>517</v>
      </c>
      <c r="E1799" s="326">
        <v>3.12</v>
      </c>
      <c r="F1799" s="327">
        <v>93600</v>
      </c>
      <c r="G1799" s="328"/>
      <c r="H1799" s="160" t="s">
        <v>535</v>
      </c>
      <c r="I1799" s="324" t="s">
        <v>1087</v>
      </c>
    </row>
    <row r="1800" spans="1:9" ht="11.1" customHeight="1" outlineLevel="1">
      <c r="A1800" s="325" t="s">
        <v>1302</v>
      </c>
      <c r="B1800" s="325" t="s">
        <v>3486</v>
      </c>
      <c r="C1800" s="325" t="s">
        <v>3487</v>
      </c>
      <c r="D1800" s="325" t="s">
        <v>517</v>
      </c>
      <c r="E1800" s="326">
        <v>5.99</v>
      </c>
      <c r="F1800" s="327">
        <v>183044.4</v>
      </c>
      <c r="G1800" s="328"/>
      <c r="H1800" s="160" t="s">
        <v>535</v>
      </c>
      <c r="I1800" s="324" t="s">
        <v>1087</v>
      </c>
    </row>
    <row r="1801" spans="1:9" ht="11.1" customHeight="1" outlineLevel="1">
      <c r="A1801" s="325" t="s">
        <v>1302</v>
      </c>
      <c r="B1801" s="325" t="s">
        <v>2548</v>
      </c>
      <c r="C1801" s="325" t="s">
        <v>2549</v>
      </c>
      <c r="D1801" s="325" t="s">
        <v>517</v>
      </c>
      <c r="E1801" s="326">
        <v>1.6319999999999999</v>
      </c>
      <c r="F1801" s="327">
        <v>49496.97</v>
      </c>
      <c r="G1801" s="328"/>
      <c r="H1801" s="160" t="s">
        <v>535</v>
      </c>
      <c r="I1801" s="324" t="s">
        <v>1087</v>
      </c>
    </row>
    <row r="1802" spans="1:9" ht="11.1" customHeight="1" outlineLevel="1">
      <c r="A1802" s="325" t="s">
        <v>1302</v>
      </c>
      <c r="B1802" s="325" t="s">
        <v>1887</v>
      </c>
      <c r="C1802" s="325" t="s">
        <v>1888</v>
      </c>
      <c r="D1802" s="325" t="s">
        <v>517</v>
      </c>
      <c r="E1802" s="326">
        <v>0.32600000000000001</v>
      </c>
      <c r="F1802" s="327">
        <v>10307.219999999999</v>
      </c>
      <c r="G1802" s="328"/>
      <c r="H1802" s="160" t="s">
        <v>535</v>
      </c>
      <c r="I1802" s="324" t="s">
        <v>1087</v>
      </c>
    </row>
    <row r="1803" spans="1:9" ht="11.1" customHeight="1" outlineLevel="1">
      <c r="A1803" s="325" t="s">
        <v>1302</v>
      </c>
      <c r="B1803" s="325" t="s">
        <v>3488</v>
      </c>
      <c r="C1803" s="325" t="s">
        <v>3489</v>
      </c>
      <c r="D1803" s="325" t="s">
        <v>517</v>
      </c>
      <c r="E1803" s="326">
        <v>0.95</v>
      </c>
      <c r="F1803" s="327">
        <v>28648.75</v>
      </c>
      <c r="G1803" s="328"/>
      <c r="H1803" s="160" t="s">
        <v>535</v>
      </c>
      <c r="I1803" s="324" t="s">
        <v>1087</v>
      </c>
    </row>
    <row r="1804" spans="1:9" ht="11.1" customHeight="1" outlineLevel="1">
      <c r="A1804" s="325" t="s">
        <v>1302</v>
      </c>
      <c r="B1804" s="325" t="s">
        <v>3490</v>
      </c>
      <c r="C1804" s="325" t="s">
        <v>3491</v>
      </c>
      <c r="D1804" s="325" t="s">
        <v>295</v>
      </c>
      <c r="E1804" s="326">
        <v>136</v>
      </c>
      <c r="F1804" s="327">
        <v>22308.080000000002</v>
      </c>
      <c r="G1804" s="328"/>
      <c r="H1804" s="160" t="s">
        <v>535</v>
      </c>
      <c r="I1804" s="324" t="s">
        <v>1087</v>
      </c>
    </row>
    <row r="1805" spans="1:9" ht="11.1" customHeight="1" outlineLevel="1">
      <c r="A1805" s="325" t="s">
        <v>1302</v>
      </c>
      <c r="B1805" s="325" t="s">
        <v>3492</v>
      </c>
      <c r="C1805" s="325" t="s">
        <v>3491</v>
      </c>
      <c r="D1805" s="325" t="s">
        <v>517</v>
      </c>
      <c r="E1805" s="326">
        <v>0.13200000000000001</v>
      </c>
      <c r="F1805" s="327">
        <v>4155.8</v>
      </c>
      <c r="G1805" s="328"/>
      <c r="H1805" s="160" t="s">
        <v>535</v>
      </c>
      <c r="I1805" s="324" t="s">
        <v>1087</v>
      </c>
    </row>
    <row r="1806" spans="1:9" ht="11.1" customHeight="1" outlineLevel="1">
      <c r="A1806" s="325" t="s">
        <v>1302</v>
      </c>
      <c r="B1806" s="325" t="s">
        <v>2572</v>
      </c>
      <c r="C1806" s="325" t="s">
        <v>2573</v>
      </c>
      <c r="D1806" s="325" t="s">
        <v>517</v>
      </c>
      <c r="E1806" s="326">
        <v>2.69</v>
      </c>
      <c r="F1806" s="327">
        <v>80700</v>
      </c>
      <c r="G1806" s="328"/>
      <c r="H1806" s="160" t="s">
        <v>535</v>
      </c>
      <c r="I1806" s="324" t="s">
        <v>1087</v>
      </c>
    </row>
    <row r="1807" spans="1:9" ht="11.1" customHeight="1" outlineLevel="1">
      <c r="A1807" s="325" t="s">
        <v>1067</v>
      </c>
      <c r="B1807" s="325" t="s">
        <v>3493</v>
      </c>
      <c r="C1807" s="325" t="s">
        <v>3494</v>
      </c>
      <c r="D1807" s="325" t="s">
        <v>20</v>
      </c>
      <c r="E1807" s="326">
        <v>4</v>
      </c>
      <c r="F1807" s="327">
        <v>2183.33</v>
      </c>
      <c r="G1807" s="328"/>
      <c r="H1807" s="160" t="s">
        <v>1895</v>
      </c>
      <c r="I1807" s="324" t="s">
        <v>1105</v>
      </c>
    </row>
    <row r="1808" spans="1:9" ht="11.1" customHeight="1" outlineLevel="1">
      <c r="A1808" s="325" t="s">
        <v>1067</v>
      </c>
      <c r="B1808" s="325" t="s">
        <v>2373</v>
      </c>
      <c r="C1808" s="325" t="s">
        <v>2374</v>
      </c>
      <c r="D1808" s="325" t="s">
        <v>295</v>
      </c>
      <c r="E1808" s="326">
        <v>400</v>
      </c>
      <c r="F1808" s="327">
        <v>4800</v>
      </c>
      <c r="G1808" s="328"/>
      <c r="H1808" s="160" t="s">
        <v>629</v>
      </c>
      <c r="I1808" s="324" t="s">
        <v>289</v>
      </c>
    </row>
    <row r="1809" spans="1:9" ht="11.1" customHeight="1" outlineLevel="1">
      <c r="A1809" s="325" t="s">
        <v>1067</v>
      </c>
      <c r="B1809" s="325" t="s">
        <v>2555</v>
      </c>
      <c r="C1809" s="325" t="s">
        <v>2556</v>
      </c>
      <c r="D1809" s="325" t="s">
        <v>20</v>
      </c>
      <c r="E1809" s="326">
        <v>1</v>
      </c>
      <c r="F1809" s="331">
        <v>83</v>
      </c>
      <c r="G1809" s="328"/>
      <c r="H1809" s="328" t="s">
        <v>1906</v>
      </c>
      <c r="I1809" s="324" t="s">
        <v>1070</v>
      </c>
    </row>
    <row r="1810" spans="1:9" ht="11.1" customHeight="1" outlineLevel="1">
      <c r="A1810" s="325" t="s">
        <v>1067</v>
      </c>
      <c r="B1810" s="325" t="s">
        <v>3495</v>
      </c>
      <c r="C1810" s="325" t="s">
        <v>3496</v>
      </c>
      <c r="D1810" s="325" t="s">
        <v>20</v>
      </c>
      <c r="E1810" s="326">
        <v>4</v>
      </c>
      <c r="F1810" s="331">
        <v>554.4</v>
      </c>
      <c r="G1810" s="328"/>
      <c r="H1810" s="328" t="s">
        <v>1906</v>
      </c>
      <c r="I1810" s="324" t="s">
        <v>1070</v>
      </c>
    </row>
    <row r="1811" spans="1:9" ht="11.1" customHeight="1" outlineLevel="1">
      <c r="A1811" s="325" t="s">
        <v>1067</v>
      </c>
      <c r="B1811" s="325" t="s">
        <v>1913</v>
      </c>
      <c r="C1811" s="325" t="s">
        <v>1914</v>
      </c>
      <c r="D1811" s="325" t="s">
        <v>20</v>
      </c>
      <c r="E1811" s="326">
        <v>3</v>
      </c>
      <c r="F1811" s="331">
        <v>159</v>
      </c>
      <c r="G1811" s="328"/>
      <c r="H1811" s="328" t="s">
        <v>1906</v>
      </c>
      <c r="I1811" s="324" t="s">
        <v>1070</v>
      </c>
    </row>
    <row r="1812" spans="1:9" ht="11.1" customHeight="1" outlineLevel="1">
      <c r="A1812" s="325" t="s">
        <v>1067</v>
      </c>
      <c r="B1812" s="325" t="s">
        <v>3497</v>
      </c>
      <c r="C1812" s="325" t="s">
        <v>3498</v>
      </c>
      <c r="D1812" s="325" t="s">
        <v>20</v>
      </c>
      <c r="E1812" s="326">
        <v>3</v>
      </c>
      <c r="F1812" s="331">
        <v>278.39999999999998</v>
      </c>
      <c r="G1812" s="328"/>
      <c r="H1812" s="328" t="s">
        <v>1906</v>
      </c>
      <c r="I1812" s="324" t="s">
        <v>1070</v>
      </c>
    </row>
    <row r="1813" spans="1:9" ht="11.1" customHeight="1" outlineLevel="1">
      <c r="A1813" s="325" t="s">
        <v>1067</v>
      </c>
      <c r="B1813" s="325" t="s">
        <v>2375</v>
      </c>
      <c r="C1813" s="325" t="s">
        <v>2376</v>
      </c>
      <c r="D1813" s="325" t="s">
        <v>20</v>
      </c>
      <c r="E1813" s="326">
        <v>3</v>
      </c>
      <c r="F1813" s="331">
        <v>423</v>
      </c>
      <c r="G1813" s="328"/>
      <c r="H1813" s="328" t="s">
        <v>1906</v>
      </c>
      <c r="I1813" s="324" t="s">
        <v>1070</v>
      </c>
    </row>
    <row r="1814" spans="1:9" ht="11.1" customHeight="1" outlineLevel="1">
      <c r="A1814" s="325" t="s">
        <v>1067</v>
      </c>
      <c r="B1814" s="325" t="s">
        <v>1915</v>
      </c>
      <c r="C1814" s="325" t="s">
        <v>1916</v>
      </c>
      <c r="D1814" s="325" t="s">
        <v>20</v>
      </c>
      <c r="E1814" s="326">
        <v>7</v>
      </c>
      <c r="F1814" s="331">
        <v>249.2</v>
      </c>
      <c r="G1814" s="328"/>
      <c r="H1814" s="328" t="s">
        <v>1906</v>
      </c>
      <c r="I1814" s="324" t="s">
        <v>1070</v>
      </c>
    </row>
    <row r="1815" spans="1:9" ht="11.1" customHeight="1" outlineLevel="1">
      <c r="A1815" s="325" t="s">
        <v>1067</v>
      </c>
      <c r="B1815" s="325" t="s">
        <v>3499</v>
      </c>
      <c r="C1815" s="325" t="s">
        <v>3500</v>
      </c>
      <c r="D1815" s="325" t="s">
        <v>295</v>
      </c>
      <c r="E1815" s="326">
        <v>8</v>
      </c>
      <c r="F1815" s="331">
        <v>250.4</v>
      </c>
      <c r="G1815" s="328"/>
      <c r="H1815" s="328" t="s">
        <v>1906</v>
      </c>
      <c r="I1815" s="324" t="s">
        <v>1070</v>
      </c>
    </row>
    <row r="1816" spans="1:9" ht="11.1" customHeight="1" outlineLevel="1">
      <c r="A1816" s="325" t="s">
        <v>1067</v>
      </c>
      <c r="B1816" s="325" t="s">
        <v>3501</v>
      </c>
      <c r="C1816" s="325" t="s">
        <v>3502</v>
      </c>
      <c r="D1816" s="325" t="s">
        <v>295</v>
      </c>
      <c r="E1816" s="326">
        <v>64</v>
      </c>
      <c r="F1816" s="327">
        <v>2892.8</v>
      </c>
      <c r="G1816" s="328"/>
      <c r="H1816" s="328" t="s">
        <v>1906</v>
      </c>
      <c r="I1816" s="324" t="s">
        <v>1070</v>
      </c>
    </row>
    <row r="1817" spans="1:9" ht="11.1" customHeight="1" outlineLevel="1">
      <c r="A1817" s="325" t="s">
        <v>1067</v>
      </c>
      <c r="B1817" s="325" t="s">
        <v>1921</v>
      </c>
      <c r="C1817" s="325" t="s">
        <v>1922</v>
      </c>
      <c r="D1817" s="325" t="s">
        <v>20</v>
      </c>
      <c r="E1817" s="326">
        <v>2</v>
      </c>
      <c r="F1817" s="331">
        <v>190.4</v>
      </c>
      <c r="G1817" s="328"/>
      <c r="H1817" s="328" t="s">
        <v>1906</v>
      </c>
      <c r="I1817" s="324" t="s">
        <v>1070</v>
      </c>
    </row>
    <row r="1818" spans="1:9" ht="11.1" customHeight="1" outlineLevel="1">
      <c r="A1818" s="325" t="s">
        <v>1067</v>
      </c>
      <c r="B1818" s="325" t="s">
        <v>3503</v>
      </c>
      <c r="C1818" s="325" t="s">
        <v>3504</v>
      </c>
      <c r="D1818" s="325" t="s">
        <v>20</v>
      </c>
      <c r="E1818" s="326">
        <v>4</v>
      </c>
      <c r="F1818" s="331">
        <v>32</v>
      </c>
      <c r="G1818" s="328"/>
      <c r="H1818" s="328" t="s">
        <v>1621</v>
      </c>
      <c r="I1818" s="324" t="s">
        <v>1087</v>
      </c>
    </row>
    <row r="1819" spans="1:9" ht="11.1" customHeight="1" outlineLevel="1">
      <c r="A1819" s="325" t="s">
        <v>1067</v>
      </c>
      <c r="B1819" s="325" t="s">
        <v>1930</v>
      </c>
      <c r="C1819" s="325" t="s">
        <v>1931</v>
      </c>
      <c r="D1819" s="325" t="s">
        <v>20</v>
      </c>
      <c r="E1819" s="326">
        <v>1</v>
      </c>
      <c r="F1819" s="327">
        <v>3378.1</v>
      </c>
      <c r="G1819" s="328"/>
      <c r="H1819" s="328" t="s">
        <v>1932</v>
      </c>
      <c r="I1819" s="324" t="s">
        <v>1070</v>
      </c>
    </row>
    <row r="1820" spans="1:9" ht="11.1" customHeight="1" outlineLevel="1">
      <c r="A1820" s="325" t="s">
        <v>1302</v>
      </c>
      <c r="B1820" s="325" t="s">
        <v>3505</v>
      </c>
      <c r="C1820" s="325" t="s">
        <v>3506</v>
      </c>
      <c r="D1820" s="325" t="s">
        <v>20</v>
      </c>
      <c r="E1820" s="326">
        <v>55</v>
      </c>
      <c r="F1820" s="327">
        <v>122054.17</v>
      </c>
      <c r="G1820" s="328"/>
      <c r="H1820" s="328" t="s">
        <v>2388</v>
      </c>
      <c r="I1820" s="324" t="s">
        <v>1307</v>
      </c>
    </row>
    <row r="1821" spans="1:9" ht="11.1" customHeight="1" outlineLevel="1">
      <c r="A1821" s="325" t="s">
        <v>1067</v>
      </c>
      <c r="B1821" s="325" t="s">
        <v>3507</v>
      </c>
      <c r="C1821" s="325" t="s">
        <v>3508</v>
      </c>
      <c r="D1821" s="325" t="s">
        <v>20</v>
      </c>
      <c r="E1821" s="326">
        <v>1</v>
      </c>
      <c r="F1821" s="331">
        <v>239</v>
      </c>
      <c r="G1821" s="328"/>
      <c r="H1821" s="328" t="s">
        <v>1086</v>
      </c>
      <c r="I1821" s="324" t="s">
        <v>1307</v>
      </c>
    </row>
    <row r="1822" spans="1:9" ht="11.1" customHeight="1" outlineLevel="1">
      <c r="A1822" s="325" t="s">
        <v>1067</v>
      </c>
      <c r="B1822" s="325" t="s">
        <v>1942</v>
      </c>
      <c r="C1822" s="325" t="s">
        <v>1943</v>
      </c>
      <c r="D1822" s="325" t="s">
        <v>20</v>
      </c>
      <c r="E1822" s="326">
        <v>1</v>
      </c>
      <c r="F1822" s="331">
        <v>46.4</v>
      </c>
      <c r="G1822" s="328"/>
      <c r="H1822" s="328" t="s">
        <v>1147</v>
      </c>
      <c r="I1822" s="324" t="s">
        <v>21</v>
      </c>
    </row>
    <row r="1823" spans="1:9" ht="11.1" customHeight="1" outlineLevel="1">
      <c r="A1823" s="325" t="s">
        <v>1067</v>
      </c>
      <c r="B1823" s="325" t="s">
        <v>3509</v>
      </c>
      <c r="C1823" s="325" t="s">
        <v>3510</v>
      </c>
      <c r="D1823" s="325" t="s">
        <v>20</v>
      </c>
      <c r="E1823" s="326">
        <v>2</v>
      </c>
      <c r="F1823" s="331">
        <v>76</v>
      </c>
      <c r="G1823" s="328"/>
      <c r="H1823" s="328" t="s">
        <v>1946</v>
      </c>
      <c r="I1823" s="324" t="s">
        <v>1070</v>
      </c>
    </row>
    <row r="1824" spans="1:9" ht="11.1" customHeight="1" outlineLevel="1">
      <c r="A1824" s="325" t="s">
        <v>1067</v>
      </c>
      <c r="B1824" s="325" t="s">
        <v>2559</v>
      </c>
      <c r="C1824" s="325" t="s">
        <v>2560</v>
      </c>
      <c r="D1824" s="325" t="s">
        <v>20</v>
      </c>
      <c r="E1824" s="326">
        <v>1</v>
      </c>
      <c r="F1824" s="331">
        <v>46</v>
      </c>
      <c r="G1824" s="328"/>
      <c r="H1824" s="328" t="s">
        <v>1946</v>
      </c>
      <c r="I1824" s="324" t="s">
        <v>1070</v>
      </c>
    </row>
    <row r="1825" spans="1:9" ht="11.1" customHeight="1" outlineLevel="1">
      <c r="A1825" s="325" t="s">
        <v>1067</v>
      </c>
      <c r="B1825" s="325" t="s">
        <v>1947</v>
      </c>
      <c r="C1825" s="325" t="s">
        <v>1948</v>
      </c>
      <c r="D1825" s="325" t="s">
        <v>20</v>
      </c>
      <c r="E1825" s="326">
        <v>4</v>
      </c>
      <c r="F1825" s="327">
        <v>108330</v>
      </c>
      <c r="G1825" s="328"/>
      <c r="H1825" s="325" t="s">
        <v>1948</v>
      </c>
      <c r="I1825" s="324" t="s">
        <v>425</v>
      </c>
    </row>
    <row r="1826" spans="1:9" ht="11.1" customHeight="1" outlineLevel="1">
      <c r="A1826" s="325" t="s">
        <v>1067</v>
      </c>
      <c r="B1826" s="325" t="s">
        <v>3511</v>
      </c>
      <c r="C1826" s="325" t="s">
        <v>3512</v>
      </c>
      <c r="D1826" s="325" t="s">
        <v>20</v>
      </c>
      <c r="E1826" s="326">
        <v>1</v>
      </c>
      <c r="F1826" s="331">
        <v>47</v>
      </c>
      <c r="G1826" s="328"/>
      <c r="H1826" s="160" t="s">
        <v>657</v>
      </c>
      <c r="I1826" s="324" t="s">
        <v>1070</v>
      </c>
    </row>
    <row r="1827" spans="1:9" ht="11.1" customHeight="1" outlineLevel="1">
      <c r="A1827" s="325" t="s">
        <v>1067</v>
      </c>
      <c r="B1827" s="325" t="s">
        <v>1951</v>
      </c>
      <c r="C1827" s="325" t="s">
        <v>1952</v>
      </c>
      <c r="D1827" s="325" t="s">
        <v>20</v>
      </c>
      <c r="E1827" s="326">
        <v>20</v>
      </c>
      <c r="F1827" s="331">
        <v>50</v>
      </c>
      <c r="G1827" s="328"/>
      <c r="H1827" s="160" t="s">
        <v>657</v>
      </c>
      <c r="I1827" s="324" t="s">
        <v>1070</v>
      </c>
    </row>
    <row r="1828" spans="1:9" ht="11.1" customHeight="1" outlineLevel="1">
      <c r="A1828" s="325" t="s">
        <v>1067</v>
      </c>
      <c r="B1828" s="325" t="s">
        <v>3513</v>
      </c>
      <c r="C1828" s="325" t="s">
        <v>3514</v>
      </c>
      <c r="D1828" s="325" t="s">
        <v>20</v>
      </c>
      <c r="E1828" s="326">
        <v>40</v>
      </c>
      <c r="F1828" s="331">
        <v>100</v>
      </c>
      <c r="G1828" s="328"/>
      <c r="H1828" s="160" t="s">
        <v>657</v>
      </c>
      <c r="I1828" s="324" t="s">
        <v>1070</v>
      </c>
    </row>
    <row r="1829" spans="1:9" ht="11.1" customHeight="1" outlineLevel="1">
      <c r="A1829" s="325" t="s">
        <v>1067</v>
      </c>
      <c r="B1829" s="325" t="s">
        <v>3515</v>
      </c>
      <c r="C1829" s="325" t="s">
        <v>3516</v>
      </c>
      <c r="D1829" s="325" t="s">
        <v>20</v>
      </c>
      <c r="E1829" s="326">
        <v>6</v>
      </c>
      <c r="F1829" s="331">
        <v>317.39999999999998</v>
      </c>
      <c r="G1829" s="328"/>
      <c r="H1829" s="160" t="s">
        <v>657</v>
      </c>
      <c r="I1829" s="324" t="s">
        <v>1070</v>
      </c>
    </row>
    <row r="1830" spans="1:9" ht="11.1" customHeight="1" outlineLevel="1">
      <c r="A1830" s="325" t="s">
        <v>1067</v>
      </c>
      <c r="B1830" s="325" t="s">
        <v>1955</v>
      </c>
      <c r="C1830" s="325" t="s">
        <v>1956</v>
      </c>
      <c r="D1830" s="325" t="s">
        <v>20</v>
      </c>
      <c r="E1830" s="326">
        <v>20</v>
      </c>
      <c r="F1830" s="331">
        <v>420</v>
      </c>
      <c r="G1830" s="328"/>
      <c r="H1830" s="160" t="s">
        <v>657</v>
      </c>
      <c r="I1830" s="324" t="s">
        <v>1070</v>
      </c>
    </row>
    <row r="1831" spans="1:9" ht="11.1" customHeight="1" outlineLevel="1">
      <c r="A1831" s="325" t="s">
        <v>1067</v>
      </c>
      <c r="B1831" s="325" t="s">
        <v>3517</v>
      </c>
      <c r="C1831" s="325" t="s">
        <v>3518</v>
      </c>
      <c r="D1831" s="325" t="s">
        <v>20</v>
      </c>
      <c r="E1831" s="326">
        <v>1</v>
      </c>
      <c r="F1831" s="331">
        <v>12.1</v>
      </c>
      <c r="G1831" s="328"/>
      <c r="H1831" s="160" t="s">
        <v>657</v>
      </c>
      <c r="I1831" s="324" t="s">
        <v>1070</v>
      </c>
    </row>
    <row r="1832" spans="1:9" ht="11.1" customHeight="1" outlineLevel="1">
      <c r="A1832" s="325" t="s">
        <v>1067</v>
      </c>
      <c r="B1832" s="325" t="s">
        <v>3519</v>
      </c>
      <c r="C1832" s="325" t="s">
        <v>3520</v>
      </c>
      <c r="D1832" s="325" t="s">
        <v>20</v>
      </c>
      <c r="E1832" s="326">
        <v>1</v>
      </c>
      <c r="F1832" s="331">
        <v>12.1</v>
      </c>
      <c r="G1832" s="328"/>
      <c r="H1832" s="160" t="s">
        <v>657</v>
      </c>
      <c r="I1832" s="324" t="s">
        <v>1070</v>
      </c>
    </row>
    <row r="1833" spans="1:9" ht="11.1" customHeight="1" outlineLevel="1">
      <c r="A1833" s="325" t="s">
        <v>1067</v>
      </c>
      <c r="B1833" s="325" t="s">
        <v>3521</v>
      </c>
      <c r="C1833" s="325" t="s">
        <v>3522</v>
      </c>
      <c r="D1833" s="325" t="s">
        <v>20</v>
      </c>
      <c r="E1833" s="326">
        <v>2</v>
      </c>
      <c r="F1833" s="331">
        <v>20</v>
      </c>
      <c r="G1833" s="328"/>
      <c r="H1833" s="160" t="s">
        <v>657</v>
      </c>
      <c r="I1833" s="324" t="s">
        <v>1070</v>
      </c>
    </row>
    <row r="1834" spans="1:9" ht="11.1" customHeight="1" outlineLevel="1">
      <c r="A1834" s="325" t="s">
        <v>1302</v>
      </c>
      <c r="B1834" s="325" t="s">
        <v>3523</v>
      </c>
      <c r="C1834" s="325" t="s">
        <v>3524</v>
      </c>
      <c r="D1834" s="325" t="s">
        <v>20</v>
      </c>
      <c r="E1834" s="326">
        <v>26</v>
      </c>
      <c r="F1834" s="327">
        <v>78034.899999999994</v>
      </c>
      <c r="G1834" s="328"/>
      <c r="H1834" s="328" t="s">
        <v>2926</v>
      </c>
      <c r="I1834" s="324" t="s">
        <v>1307</v>
      </c>
    </row>
    <row r="1835" spans="1:9" ht="11.1" customHeight="1" outlineLevel="1">
      <c r="A1835" s="325" t="s">
        <v>1302</v>
      </c>
      <c r="B1835" s="325" t="s">
        <v>3525</v>
      </c>
      <c r="C1835" s="325" t="s">
        <v>3526</v>
      </c>
      <c r="D1835" s="325" t="s">
        <v>20</v>
      </c>
      <c r="E1835" s="326">
        <v>103</v>
      </c>
      <c r="F1835" s="327">
        <v>290846.13</v>
      </c>
      <c r="G1835" s="328"/>
      <c r="H1835" s="328" t="s">
        <v>2926</v>
      </c>
      <c r="I1835" s="324" t="s">
        <v>1307</v>
      </c>
    </row>
    <row r="1836" spans="1:9" ht="11.1" customHeight="1" outlineLevel="1">
      <c r="A1836" s="325" t="s">
        <v>1067</v>
      </c>
      <c r="B1836" s="325" t="s">
        <v>2927</v>
      </c>
      <c r="C1836" s="325" t="s">
        <v>2925</v>
      </c>
      <c r="D1836" s="325" t="s">
        <v>20</v>
      </c>
      <c r="E1836" s="326">
        <v>4</v>
      </c>
      <c r="F1836" s="327">
        <v>28350</v>
      </c>
      <c r="G1836" s="328"/>
      <c r="H1836" s="328" t="s">
        <v>2926</v>
      </c>
      <c r="I1836" s="324" t="s">
        <v>1307</v>
      </c>
    </row>
    <row r="1837" spans="1:9" ht="11.1" customHeight="1" outlineLevel="1">
      <c r="A1837" s="325" t="s">
        <v>1067</v>
      </c>
      <c r="B1837" s="325" t="s">
        <v>3527</v>
      </c>
      <c r="C1837" s="325" t="s">
        <v>3528</v>
      </c>
      <c r="D1837" s="325" t="s">
        <v>20</v>
      </c>
      <c r="E1837" s="326">
        <v>150</v>
      </c>
      <c r="F1837" s="331">
        <v>13.5</v>
      </c>
      <c r="G1837" s="328"/>
      <c r="H1837" s="328" t="s">
        <v>1197</v>
      </c>
      <c r="I1837" s="324" t="s">
        <v>1087</v>
      </c>
    </row>
    <row r="1838" spans="1:9" ht="11.1" customHeight="1" outlineLevel="1">
      <c r="A1838" s="325" t="s">
        <v>1302</v>
      </c>
      <c r="B1838" s="325" t="s">
        <v>3529</v>
      </c>
      <c r="C1838" s="325" t="s">
        <v>3530</v>
      </c>
      <c r="D1838" s="325" t="s">
        <v>1101</v>
      </c>
      <c r="E1838" s="335">
        <v>4996</v>
      </c>
      <c r="F1838" s="327">
        <v>2298.16</v>
      </c>
      <c r="G1838" s="328"/>
      <c r="H1838" s="328" t="s">
        <v>1197</v>
      </c>
      <c r="I1838" s="324" t="s">
        <v>1087</v>
      </c>
    </row>
    <row r="1839" spans="1:9" ht="11.1" customHeight="1" outlineLevel="1">
      <c r="A1839" s="325" t="s">
        <v>1302</v>
      </c>
      <c r="B1839" s="325" t="s">
        <v>3531</v>
      </c>
      <c r="C1839" s="325" t="s">
        <v>3532</v>
      </c>
      <c r="D1839" s="325" t="s">
        <v>1101</v>
      </c>
      <c r="E1839" s="335">
        <v>2728</v>
      </c>
      <c r="F1839" s="327">
        <v>2264.2399999999998</v>
      </c>
      <c r="G1839" s="328"/>
      <c r="H1839" s="328" t="s">
        <v>1197</v>
      </c>
      <c r="I1839" s="324" t="s">
        <v>1087</v>
      </c>
    </row>
    <row r="1840" spans="1:9" ht="11.1" customHeight="1" outlineLevel="1">
      <c r="A1840" s="325" t="s">
        <v>1302</v>
      </c>
      <c r="B1840" s="325" t="s">
        <v>3533</v>
      </c>
      <c r="C1840" s="325" t="s">
        <v>3534</v>
      </c>
      <c r="D1840" s="325" t="s">
        <v>20</v>
      </c>
      <c r="E1840" s="326">
        <v>100</v>
      </c>
      <c r="F1840" s="331">
        <v>180</v>
      </c>
      <c r="G1840" s="328"/>
      <c r="H1840" s="328" t="s">
        <v>1197</v>
      </c>
      <c r="I1840" s="324" t="s">
        <v>1087</v>
      </c>
    </row>
    <row r="1841" spans="1:9" ht="11.1" customHeight="1" outlineLevel="1">
      <c r="A1841" s="325" t="s">
        <v>1302</v>
      </c>
      <c r="B1841" s="325" t="s">
        <v>3535</v>
      </c>
      <c r="C1841" s="325" t="s">
        <v>3536</v>
      </c>
      <c r="D1841" s="325" t="s">
        <v>20</v>
      </c>
      <c r="E1841" s="326">
        <v>228</v>
      </c>
      <c r="F1841" s="331">
        <v>269.04000000000002</v>
      </c>
      <c r="G1841" s="328"/>
      <c r="H1841" s="328" t="s">
        <v>1197</v>
      </c>
      <c r="I1841" s="324" t="s">
        <v>1087</v>
      </c>
    </row>
    <row r="1842" spans="1:9" ht="11.1" customHeight="1" outlineLevel="1">
      <c r="A1842" s="325" t="s">
        <v>1302</v>
      </c>
      <c r="B1842" s="325" t="s">
        <v>3537</v>
      </c>
      <c r="C1842" s="325" t="s">
        <v>3538</v>
      </c>
      <c r="D1842" s="325" t="s">
        <v>20</v>
      </c>
      <c r="E1842" s="326">
        <v>3</v>
      </c>
      <c r="F1842" s="327">
        <v>11262.51</v>
      </c>
      <c r="G1842" s="328"/>
      <c r="H1842" s="174" t="s">
        <v>562</v>
      </c>
      <c r="I1842" s="324" t="s">
        <v>425</v>
      </c>
    </row>
    <row r="1843" spans="1:9" ht="11.1" customHeight="1" outlineLevel="1">
      <c r="A1843" s="325" t="s">
        <v>1302</v>
      </c>
      <c r="B1843" s="325" t="s">
        <v>3539</v>
      </c>
      <c r="C1843" s="325" t="s">
        <v>3540</v>
      </c>
      <c r="D1843" s="325" t="s">
        <v>517</v>
      </c>
      <c r="E1843" s="326">
        <v>5.53</v>
      </c>
      <c r="F1843" s="327">
        <v>190785</v>
      </c>
      <c r="G1843" s="328"/>
      <c r="H1843" s="328" t="s">
        <v>1126</v>
      </c>
      <c r="I1843" s="324" t="s">
        <v>1087</v>
      </c>
    </row>
    <row r="1844" spans="1:9" ht="11.1" customHeight="1" outlineLevel="1">
      <c r="A1844" s="325" t="s">
        <v>1302</v>
      </c>
      <c r="B1844" s="325" t="s">
        <v>3541</v>
      </c>
      <c r="C1844" s="325" t="s">
        <v>3542</v>
      </c>
      <c r="D1844" s="325" t="s">
        <v>517</v>
      </c>
      <c r="E1844" s="326">
        <v>3.67</v>
      </c>
      <c r="F1844" s="327">
        <v>168820</v>
      </c>
      <c r="G1844" s="328"/>
      <c r="H1844" s="328" t="s">
        <v>1126</v>
      </c>
      <c r="I1844" s="324" t="s">
        <v>1087</v>
      </c>
    </row>
    <row r="1845" spans="1:9" ht="11.1" customHeight="1" outlineLevel="1">
      <c r="A1845" s="325" t="s">
        <v>1067</v>
      </c>
      <c r="B1845" s="325" t="s">
        <v>3543</v>
      </c>
      <c r="C1845" s="325" t="s">
        <v>3544</v>
      </c>
      <c r="D1845" s="325" t="s">
        <v>20</v>
      </c>
      <c r="E1845" s="326">
        <v>1</v>
      </c>
      <c r="F1845" s="331">
        <v>35</v>
      </c>
      <c r="G1845" s="328"/>
      <c r="H1845" s="328" t="s">
        <v>2863</v>
      </c>
      <c r="I1845" s="324" t="s">
        <v>1087</v>
      </c>
    </row>
    <row r="1846" spans="1:9" ht="11.1" customHeight="1" outlineLevel="1">
      <c r="A1846" s="325" t="s">
        <v>1302</v>
      </c>
      <c r="B1846" s="325" t="s">
        <v>3545</v>
      </c>
      <c r="C1846" s="325" t="s">
        <v>3546</v>
      </c>
      <c r="D1846" s="325" t="s">
        <v>20</v>
      </c>
      <c r="E1846" s="335">
        <v>4000</v>
      </c>
      <c r="F1846" s="331">
        <v>547.82000000000005</v>
      </c>
      <c r="G1846" s="328"/>
      <c r="H1846" s="160" t="s">
        <v>1561</v>
      </c>
      <c r="I1846" s="324" t="s">
        <v>1307</v>
      </c>
    </row>
    <row r="1847" spans="1:9" ht="11.1" customHeight="1" outlineLevel="1">
      <c r="A1847" s="325" t="s">
        <v>1302</v>
      </c>
      <c r="B1847" s="325" t="s">
        <v>3547</v>
      </c>
      <c r="C1847" s="325" t="s">
        <v>3548</v>
      </c>
      <c r="D1847" s="325" t="s">
        <v>20</v>
      </c>
      <c r="E1847" s="335">
        <v>1500</v>
      </c>
      <c r="F1847" s="331">
        <v>326.45999999999998</v>
      </c>
      <c r="G1847" s="328"/>
      <c r="H1847" s="160" t="s">
        <v>1561</v>
      </c>
      <c r="I1847" s="324" t="s">
        <v>1307</v>
      </c>
    </row>
    <row r="1848" spans="1:9" ht="11.1" customHeight="1" outlineLevel="1">
      <c r="A1848" s="325" t="s">
        <v>1302</v>
      </c>
      <c r="B1848" s="325" t="s">
        <v>3549</v>
      </c>
      <c r="C1848" s="325" t="s">
        <v>3550</v>
      </c>
      <c r="D1848" s="325" t="s">
        <v>20</v>
      </c>
      <c r="E1848" s="335">
        <v>1000</v>
      </c>
      <c r="F1848" s="331">
        <v>122.5</v>
      </c>
      <c r="G1848" s="328"/>
      <c r="H1848" s="160" t="s">
        <v>1561</v>
      </c>
      <c r="I1848" s="324" t="s">
        <v>1307</v>
      </c>
    </row>
    <row r="1849" spans="1:9" ht="11.1" customHeight="1" outlineLevel="1">
      <c r="A1849" s="325" t="s">
        <v>1302</v>
      </c>
      <c r="B1849" s="325" t="s">
        <v>2004</v>
      </c>
      <c r="C1849" s="325" t="s">
        <v>2005</v>
      </c>
      <c r="D1849" s="325" t="s">
        <v>20</v>
      </c>
      <c r="E1849" s="335">
        <v>1000</v>
      </c>
      <c r="F1849" s="331">
        <v>441</v>
      </c>
      <c r="G1849" s="328"/>
      <c r="H1849" s="160" t="s">
        <v>1561</v>
      </c>
      <c r="I1849" s="324" t="s">
        <v>1307</v>
      </c>
    </row>
    <row r="1850" spans="1:9" ht="11.1" customHeight="1" outlineLevel="1">
      <c r="A1850" s="325" t="s">
        <v>1302</v>
      </c>
      <c r="B1850" s="325" t="s">
        <v>2006</v>
      </c>
      <c r="C1850" s="325" t="s">
        <v>2007</v>
      </c>
      <c r="D1850" s="325" t="s">
        <v>20</v>
      </c>
      <c r="E1850" s="335">
        <v>15750</v>
      </c>
      <c r="F1850" s="327">
        <v>3831.82</v>
      </c>
      <c r="G1850" s="328"/>
      <c r="H1850" s="160" t="s">
        <v>1561</v>
      </c>
      <c r="I1850" s="324" t="s">
        <v>1307</v>
      </c>
    </row>
    <row r="1851" spans="1:9" ht="11.1" customHeight="1" outlineLevel="1">
      <c r="A1851" s="325" t="s">
        <v>1302</v>
      </c>
      <c r="B1851" s="325" t="s">
        <v>3551</v>
      </c>
      <c r="C1851" s="325" t="s">
        <v>3552</v>
      </c>
      <c r="D1851" s="325" t="s">
        <v>20</v>
      </c>
      <c r="E1851" s="326">
        <v>500</v>
      </c>
      <c r="F1851" s="331">
        <v>891.07</v>
      </c>
      <c r="G1851" s="328"/>
      <c r="H1851" s="160" t="s">
        <v>1561</v>
      </c>
      <c r="I1851" s="324" t="s">
        <v>1307</v>
      </c>
    </row>
    <row r="1852" spans="1:9" ht="11.1" customHeight="1" outlineLevel="1">
      <c r="A1852" s="325" t="s">
        <v>1302</v>
      </c>
      <c r="B1852" s="325" t="s">
        <v>3553</v>
      </c>
      <c r="C1852" s="325" t="s">
        <v>3554</v>
      </c>
      <c r="D1852" s="325" t="s">
        <v>20</v>
      </c>
      <c r="E1852" s="335">
        <v>5000</v>
      </c>
      <c r="F1852" s="327">
        <v>1106.2</v>
      </c>
      <c r="G1852" s="328"/>
      <c r="H1852" s="160" t="s">
        <v>1561</v>
      </c>
      <c r="I1852" s="324" t="s">
        <v>1307</v>
      </c>
    </row>
    <row r="1853" spans="1:9" ht="11.1" customHeight="1" outlineLevel="1">
      <c r="A1853" s="325" t="s">
        <v>1302</v>
      </c>
      <c r="B1853" s="325" t="s">
        <v>3555</v>
      </c>
      <c r="C1853" s="325" t="s">
        <v>3556</v>
      </c>
      <c r="D1853" s="325" t="s">
        <v>20</v>
      </c>
      <c r="E1853" s="335">
        <v>3000</v>
      </c>
      <c r="F1853" s="327">
        <v>1253.19</v>
      </c>
      <c r="G1853" s="328"/>
      <c r="H1853" s="160" t="s">
        <v>1561</v>
      </c>
      <c r="I1853" s="324" t="s">
        <v>1307</v>
      </c>
    </row>
    <row r="1854" spans="1:9" ht="11.1" customHeight="1" outlineLevel="1">
      <c r="A1854" s="325" t="s">
        <v>1067</v>
      </c>
      <c r="B1854" s="325" t="s">
        <v>3557</v>
      </c>
      <c r="C1854" s="325" t="s">
        <v>3558</v>
      </c>
      <c r="D1854" s="325" t="s">
        <v>20</v>
      </c>
      <c r="E1854" s="326">
        <v>26</v>
      </c>
      <c r="F1854" s="331">
        <v>228.8</v>
      </c>
      <c r="G1854" s="328"/>
      <c r="H1854" s="160" t="s">
        <v>1561</v>
      </c>
      <c r="I1854" s="324" t="s">
        <v>1307</v>
      </c>
    </row>
    <row r="1855" spans="1:9" ht="11.1" customHeight="1" outlineLevel="1">
      <c r="A1855" s="325" t="s">
        <v>1067</v>
      </c>
      <c r="B1855" s="325" t="s">
        <v>3559</v>
      </c>
      <c r="C1855" s="325" t="s">
        <v>3560</v>
      </c>
      <c r="D1855" s="325" t="s">
        <v>20</v>
      </c>
      <c r="E1855" s="326">
        <v>1</v>
      </c>
      <c r="F1855" s="327">
        <v>52156</v>
      </c>
      <c r="G1855" s="328"/>
      <c r="H1855" s="160" t="s">
        <v>2075</v>
      </c>
      <c r="I1855" s="324" t="s">
        <v>289</v>
      </c>
    </row>
    <row r="1856" spans="1:9" ht="11.1" customHeight="1" outlineLevel="1">
      <c r="A1856" s="325" t="s">
        <v>1067</v>
      </c>
      <c r="B1856" s="325" t="s">
        <v>3561</v>
      </c>
      <c r="C1856" s="325" t="s">
        <v>3562</v>
      </c>
      <c r="D1856" s="325" t="s">
        <v>20</v>
      </c>
      <c r="E1856" s="326">
        <v>1</v>
      </c>
      <c r="F1856" s="327">
        <v>2326.35</v>
      </c>
      <c r="G1856" s="328"/>
      <c r="H1856" s="160" t="s">
        <v>2075</v>
      </c>
      <c r="I1856" s="324" t="s">
        <v>289</v>
      </c>
    </row>
    <row r="1857" spans="1:9" ht="11.1" customHeight="1" outlineLevel="1">
      <c r="A1857" s="325" t="s">
        <v>1067</v>
      </c>
      <c r="B1857" s="325" t="s">
        <v>3563</v>
      </c>
      <c r="C1857" s="325" t="s">
        <v>3564</v>
      </c>
      <c r="D1857" s="325" t="s">
        <v>20</v>
      </c>
      <c r="E1857" s="326">
        <v>1</v>
      </c>
      <c r="F1857" s="327">
        <v>10803</v>
      </c>
      <c r="G1857" s="328"/>
      <c r="H1857" s="160" t="s">
        <v>625</v>
      </c>
      <c r="I1857" s="329" t="s">
        <v>289</v>
      </c>
    </row>
    <row r="1858" spans="1:9" ht="11.1" customHeight="1">
      <c r="A1858" s="320" t="s">
        <v>3565</v>
      </c>
      <c r="B1858" s="320"/>
      <c r="C1858" s="320"/>
      <c r="D1858" s="320"/>
      <c r="E1858" s="323"/>
      <c r="F1858" s="337">
        <v>-0.85</v>
      </c>
      <c r="G1858" s="323"/>
      <c r="H1858" s="323"/>
    </row>
    <row r="1859" spans="1:9" ht="11.1" customHeight="1" outlineLevel="1">
      <c r="A1859" s="325" t="s">
        <v>1302</v>
      </c>
      <c r="B1859" s="325" t="s">
        <v>1367</v>
      </c>
      <c r="C1859" s="325" t="s">
        <v>1368</v>
      </c>
      <c r="D1859" s="325" t="s">
        <v>886</v>
      </c>
      <c r="E1859" s="328"/>
      <c r="F1859" s="331">
        <v>-0.01</v>
      </c>
      <c r="G1859" s="328"/>
      <c r="H1859" s="328" t="s">
        <v>549</v>
      </c>
      <c r="I1859" s="329" t="s">
        <v>289</v>
      </c>
    </row>
    <row r="1860" spans="1:9" ht="11.1" customHeight="1" outlineLevel="1">
      <c r="A1860" s="325" t="s">
        <v>1302</v>
      </c>
      <c r="B1860" s="325" t="s">
        <v>2626</v>
      </c>
      <c r="C1860" s="325" t="s">
        <v>2627</v>
      </c>
      <c r="D1860" s="325" t="s">
        <v>20</v>
      </c>
      <c r="E1860" s="328"/>
      <c r="F1860" s="331">
        <v>0.01</v>
      </c>
      <c r="G1860" s="328"/>
      <c r="H1860" s="160" t="s">
        <v>1440</v>
      </c>
      <c r="I1860" s="324" t="s">
        <v>1105</v>
      </c>
    </row>
    <row r="1861" spans="1:9" ht="11.1" customHeight="1" outlineLevel="1">
      <c r="A1861" s="325" t="s">
        <v>1302</v>
      </c>
      <c r="B1861" s="325" t="s">
        <v>3566</v>
      </c>
      <c r="C1861" s="325" t="s">
        <v>3567</v>
      </c>
      <c r="D1861" s="325" t="s">
        <v>20</v>
      </c>
      <c r="E1861" s="328"/>
      <c r="F1861" s="331">
        <v>-0.87</v>
      </c>
      <c r="G1861" s="328"/>
      <c r="H1861" s="328" t="s">
        <v>1165</v>
      </c>
      <c r="I1861" s="324" t="s">
        <v>1105</v>
      </c>
    </row>
    <row r="1862" spans="1:9" ht="11.1" customHeight="1" outlineLevel="1">
      <c r="A1862" s="325" t="s">
        <v>1302</v>
      </c>
      <c r="B1862" s="325" t="s">
        <v>1709</v>
      </c>
      <c r="C1862" s="325" t="s">
        <v>1710</v>
      </c>
      <c r="D1862" s="325" t="s">
        <v>12</v>
      </c>
      <c r="E1862" s="328"/>
      <c r="F1862" s="331">
        <v>0.01</v>
      </c>
      <c r="G1862" s="328"/>
      <c r="H1862" s="328" t="s">
        <v>1711</v>
      </c>
      <c r="I1862" s="324" t="s">
        <v>1307</v>
      </c>
    </row>
    <row r="1863" spans="1:9" ht="11.1" customHeight="1" outlineLevel="1">
      <c r="A1863" s="325" t="s">
        <v>1302</v>
      </c>
      <c r="B1863" s="325" t="s">
        <v>2819</v>
      </c>
      <c r="C1863" s="325" t="s">
        <v>2820</v>
      </c>
      <c r="D1863" s="325" t="s">
        <v>20</v>
      </c>
      <c r="E1863" s="328"/>
      <c r="F1863" s="331">
        <v>0.01</v>
      </c>
      <c r="G1863" s="328"/>
      <c r="H1863" s="160" t="s">
        <v>1799</v>
      </c>
      <c r="I1863" s="324" t="s">
        <v>1105</v>
      </c>
    </row>
    <row r="1864" spans="1:9" ht="11.1" customHeight="1">
      <c r="A1864" s="320" t="s">
        <v>3568</v>
      </c>
      <c r="B1864" s="320"/>
      <c r="C1864" s="320"/>
      <c r="D1864" s="320"/>
      <c r="E1864" s="334">
        <v>49785.1</v>
      </c>
      <c r="F1864" s="322">
        <v>719488.1</v>
      </c>
      <c r="G1864" s="323"/>
      <c r="H1864" s="323"/>
    </row>
    <row r="1865" spans="1:9" ht="11.1" customHeight="1" outlineLevel="1">
      <c r="A1865" s="325" t="s">
        <v>1302</v>
      </c>
      <c r="B1865" s="325" t="s">
        <v>3569</v>
      </c>
      <c r="C1865" s="325" t="s">
        <v>3570</v>
      </c>
      <c r="D1865" s="325" t="s">
        <v>20</v>
      </c>
      <c r="E1865" s="326">
        <v>13</v>
      </c>
      <c r="F1865" s="327">
        <v>2601.0700000000002</v>
      </c>
      <c r="G1865" s="328"/>
      <c r="H1865" s="160" t="s">
        <v>1159</v>
      </c>
      <c r="I1865" s="324" t="s">
        <v>21</v>
      </c>
    </row>
    <row r="1866" spans="1:9" ht="11.1" customHeight="1" outlineLevel="1">
      <c r="A1866" s="325" t="s">
        <v>1302</v>
      </c>
      <c r="B1866" s="325" t="s">
        <v>3571</v>
      </c>
      <c r="C1866" s="325" t="s">
        <v>3572</v>
      </c>
      <c r="D1866" s="325" t="s">
        <v>20</v>
      </c>
      <c r="E1866" s="326">
        <v>2</v>
      </c>
      <c r="F1866" s="331">
        <v>840</v>
      </c>
      <c r="G1866" s="328"/>
      <c r="H1866" s="328" t="s">
        <v>1147</v>
      </c>
      <c r="I1866" s="324" t="s">
        <v>21</v>
      </c>
    </row>
    <row r="1867" spans="1:9" ht="11.1" customHeight="1" outlineLevel="1">
      <c r="A1867" s="325" t="s">
        <v>1302</v>
      </c>
      <c r="B1867" s="325" t="s">
        <v>3573</v>
      </c>
      <c r="C1867" s="325" t="s">
        <v>3574</v>
      </c>
      <c r="D1867" s="325" t="s">
        <v>20</v>
      </c>
      <c r="E1867" s="326">
        <v>1</v>
      </c>
      <c r="F1867" s="331">
        <v>73.66</v>
      </c>
      <c r="G1867" s="328"/>
      <c r="H1867" s="328" t="s">
        <v>1147</v>
      </c>
      <c r="I1867" s="324" t="s">
        <v>21</v>
      </c>
    </row>
    <row r="1868" spans="1:9" ht="11.1" customHeight="1" outlineLevel="1">
      <c r="A1868" s="325" t="s">
        <v>1302</v>
      </c>
      <c r="B1868" s="325" t="s">
        <v>3575</v>
      </c>
      <c r="C1868" s="325" t="s">
        <v>3576</v>
      </c>
      <c r="D1868" s="325" t="s">
        <v>20</v>
      </c>
      <c r="E1868" s="326">
        <v>2</v>
      </c>
      <c r="F1868" s="331">
        <v>658.58</v>
      </c>
      <c r="G1868" s="328"/>
      <c r="H1868" s="328" t="s">
        <v>1147</v>
      </c>
      <c r="I1868" s="324" t="s">
        <v>21</v>
      </c>
    </row>
    <row r="1869" spans="1:9" ht="11.1" customHeight="1" outlineLevel="1">
      <c r="A1869" s="325" t="s">
        <v>1067</v>
      </c>
      <c r="B1869" s="325" t="s">
        <v>3577</v>
      </c>
      <c r="C1869" s="325" t="s">
        <v>3578</v>
      </c>
      <c r="D1869" s="325" t="s">
        <v>20</v>
      </c>
      <c r="E1869" s="326">
        <v>5</v>
      </c>
      <c r="F1869" s="327">
        <v>1473.96</v>
      </c>
      <c r="G1869" s="328"/>
      <c r="H1869" s="328" t="s">
        <v>1147</v>
      </c>
      <c r="I1869" s="324" t="s">
        <v>21</v>
      </c>
    </row>
    <row r="1870" spans="1:9" ht="11.1" customHeight="1" outlineLevel="1">
      <c r="A1870" s="325" t="s">
        <v>1302</v>
      </c>
      <c r="B1870" s="325" t="s">
        <v>2061</v>
      </c>
      <c r="C1870" s="325" t="s">
        <v>2062</v>
      </c>
      <c r="D1870" s="325" t="s">
        <v>20</v>
      </c>
      <c r="E1870" s="326">
        <v>3</v>
      </c>
      <c r="F1870" s="331">
        <v>315</v>
      </c>
      <c r="G1870" s="328"/>
      <c r="H1870" s="328" t="s">
        <v>1147</v>
      </c>
      <c r="I1870" s="324" t="s">
        <v>21</v>
      </c>
    </row>
    <row r="1871" spans="1:9" ht="11.1" customHeight="1" outlineLevel="1">
      <c r="A1871" s="325" t="s">
        <v>1302</v>
      </c>
      <c r="B1871" s="325" t="s">
        <v>3579</v>
      </c>
      <c r="C1871" s="325" t="s">
        <v>3580</v>
      </c>
      <c r="D1871" s="325" t="s">
        <v>20</v>
      </c>
      <c r="E1871" s="326">
        <v>7</v>
      </c>
      <c r="F1871" s="331">
        <v>728.89</v>
      </c>
      <c r="G1871" s="328"/>
      <c r="H1871" s="328" t="s">
        <v>1147</v>
      </c>
      <c r="I1871" s="324" t="s">
        <v>21</v>
      </c>
    </row>
    <row r="1872" spans="1:9" ht="11.1" customHeight="1" outlineLevel="1">
      <c r="A1872" s="325" t="s">
        <v>1067</v>
      </c>
      <c r="B1872" s="325" t="s">
        <v>3579</v>
      </c>
      <c r="C1872" s="325" t="s">
        <v>3580</v>
      </c>
      <c r="D1872" s="325" t="s">
        <v>20</v>
      </c>
      <c r="E1872" s="326">
        <v>9</v>
      </c>
      <c r="F1872" s="327">
        <v>1005</v>
      </c>
      <c r="G1872" s="328"/>
      <c r="H1872" s="328" t="s">
        <v>1147</v>
      </c>
      <c r="I1872" s="324" t="s">
        <v>21</v>
      </c>
    </row>
    <row r="1873" spans="1:9" ht="11.1" customHeight="1" outlineLevel="1">
      <c r="A1873" s="325" t="s">
        <v>1302</v>
      </c>
      <c r="B1873" s="325" t="s">
        <v>3581</v>
      </c>
      <c r="C1873" s="325" t="s">
        <v>3582</v>
      </c>
      <c r="D1873" s="325" t="s">
        <v>20</v>
      </c>
      <c r="E1873" s="326">
        <v>15</v>
      </c>
      <c r="F1873" s="327">
        <v>19102.5</v>
      </c>
      <c r="G1873" s="328"/>
      <c r="H1873" s="328" t="s">
        <v>1147</v>
      </c>
      <c r="I1873" s="324" t="s">
        <v>21</v>
      </c>
    </row>
    <row r="1874" spans="1:9" ht="11.1" customHeight="1" outlineLevel="1">
      <c r="A1874" s="325" t="s">
        <v>1067</v>
      </c>
      <c r="B1874" s="325" t="s">
        <v>3583</v>
      </c>
      <c r="C1874" s="325" t="s">
        <v>3584</v>
      </c>
      <c r="D1874" s="325" t="s">
        <v>20</v>
      </c>
      <c r="E1874" s="326">
        <v>6</v>
      </c>
      <c r="F1874" s="331">
        <v>336</v>
      </c>
      <c r="G1874" s="328"/>
      <c r="H1874" s="328" t="s">
        <v>1147</v>
      </c>
      <c r="I1874" s="324" t="s">
        <v>21</v>
      </c>
    </row>
    <row r="1875" spans="1:9" ht="11.1" customHeight="1" outlineLevel="1">
      <c r="A1875" s="325" t="s">
        <v>1067</v>
      </c>
      <c r="B1875" s="325" t="s">
        <v>3585</v>
      </c>
      <c r="C1875" s="325" t="s">
        <v>3586</v>
      </c>
      <c r="D1875" s="325" t="s">
        <v>1305</v>
      </c>
      <c r="E1875" s="326">
        <v>4</v>
      </c>
      <c r="F1875" s="331">
        <v>223.4</v>
      </c>
      <c r="G1875" s="328"/>
      <c r="H1875" s="328" t="s">
        <v>1147</v>
      </c>
      <c r="I1875" s="324" t="s">
        <v>21</v>
      </c>
    </row>
    <row r="1876" spans="1:9" ht="11.1" customHeight="1" outlineLevel="1">
      <c r="A1876" s="325" t="s">
        <v>1302</v>
      </c>
      <c r="B1876" s="325" t="s">
        <v>3587</v>
      </c>
      <c r="C1876" s="325" t="s">
        <v>3588</v>
      </c>
      <c r="D1876" s="325" t="s">
        <v>20</v>
      </c>
      <c r="E1876" s="326">
        <v>10</v>
      </c>
      <c r="F1876" s="331">
        <v>175.46</v>
      </c>
      <c r="G1876" s="328"/>
      <c r="H1876" s="328" t="s">
        <v>1147</v>
      </c>
      <c r="I1876" s="324" t="s">
        <v>21</v>
      </c>
    </row>
    <row r="1877" spans="1:9" ht="11.1" customHeight="1" outlineLevel="1">
      <c r="A1877" s="325" t="s">
        <v>1067</v>
      </c>
      <c r="B1877" s="325" t="s">
        <v>3589</v>
      </c>
      <c r="C1877" s="325" t="s">
        <v>3590</v>
      </c>
      <c r="D1877" s="325" t="s">
        <v>20</v>
      </c>
      <c r="E1877" s="326">
        <v>75</v>
      </c>
      <c r="F1877" s="327">
        <v>5546.2</v>
      </c>
      <c r="G1877" s="328"/>
      <c r="H1877" s="328" t="s">
        <v>1147</v>
      </c>
      <c r="I1877" s="324" t="s">
        <v>21</v>
      </c>
    </row>
    <row r="1878" spans="1:9" ht="11.1" customHeight="1" outlineLevel="1">
      <c r="A1878" s="325" t="s">
        <v>1302</v>
      </c>
      <c r="B1878" s="325" t="s">
        <v>3589</v>
      </c>
      <c r="C1878" s="325" t="s">
        <v>3590</v>
      </c>
      <c r="D1878" s="325" t="s">
        <v>20</v>
      </c>
      <c r="E1878" s="326">
        <v>5</v>
      </c>
      <c r="F1878" s="327">
        <v>1832.11</v>
      </c>
      <c r="G1878" s="328"/>
      <c r="H1878" s="328" t="s">
        <v>1147</v>
      </c>
      <c r="I1878" s="324" t="s">
        <v>21</v>
      </c>
    </row>
    <row r="1879" spans="1:9" ht="11.1" customHeight="1" outlineLevel="1">
      <c r="A1879" s="325" t="s">
        <v>1302</v>
      </c>
      <c r="B1879" s="325" t="s">
        <v>3591</v>
      </c>
      <c r="C1879" s="325" t="s">
        <v>3592</v>
      </c>
      <c r="D1879" s="325" t="s">
        <v>20</v>
      </c>
      <c r="E1879" s="326">
        <v>5</v>
      </c>
      <c r="F1879" s="331">
        <v>110</v>
      </c>
      <c r="G1879" s="328"/>
      <c r="H1879" s="328" t="s">
        <v>1147</v>
      </c>
      <c r="I1879" s="324" t="s">
        <v>21</v>
      </c>
    </row>
    <row r="1880" spans="1:9" ht="11.1" customHeight="1" outlineLevel="1">
      <c r="A1880" s="325" t="s">
        <v>1067</v>
      </c>
      <c r="B1880" s="325" t="s">
        <v>3591</v>
      </c>
      <c r="C1880" s="325" t="s">
        <v>3592</v>
      </c>
      <c r="D1880" s="325" t="s">
        <v>20</v>
      </c>
      <c r="E1880" s="326">
        <v>1</v>
      </c>
      <c r="F1880" s="331">
        <v>22</v>
      </c>
      <c r="G1880" s="328"/>
      <c r="H1880" s="328" t="s">
        <v>1147</v>
      </c>
      <c r="I1880" s="324" t="s">
        <v>21</v>
      </c>
    </row>
    <row r="1881" spans="1:9" ht="11.1" customHeight="1" outlineLevel="1">
      <c r="A1881" s="325" t="s">
        <v>1067</v>
      </c>
      <c r="B1881" s="325" t="s">
        <v>3593</v>
      </c>
      <c r="C1881" s="325" t="s">
        <v>3594</v>
      </c>
      <c r="D1881" s="325" t="s">
        <v>20</v>
      </c>
      <c r="E1881" s="326">
        <v>11</v>
      </c>
      <c r="F1881" s="331">
        <v>891.6</v>
      </c>
      <c r="G1881" s="328"/>
      <c r="H1881" s="328" t="s">
        <v>1147</v>
      </c>
      <c r="I1881" s="324" t="s">
        <v>21</v>
      </c>
    </row>
    <row r="1882" spans="1:9" ht="11.1" customHeight="1" outlineLevel="1">
      <c r="A1882" s="325" t="s">
        <v>1302</v>
      </c>
      <c r="B1882" s="325" t="s">
        <v>3593</v>
      </c>
      <c r="C1882" s="325" t="s">
        <v>3594</v>
      </c>
      <c r="D1882" s="325" t="s">
        <v>20</v>
      </c>
      <c r="E1882" s="326">
        <v>34</v>
      </c>
      <c r="F1882" s="327">
        <v>2528.5500000000002</v>
      </c>
      <c r="G1882" s="328"/>
      <c r="H1882" s="328" t="s">
        <v>1147</v>
      </c>
      <c r="I1882" s="324" t="s">
        <v>21</v>
      </c>
    </row>
    <row r="1883" spans="1:9" ht="11.1" customHeight="1" outlineLevel="1">
      <c r="A1883" s="325" t="s">
        <v>1302</v>
      </c>
      <c r="B1883" s="325" t="s">
        <v>3595</v>
      </c>
      <c r="C1883" s="325" t="s">
        <v>3596</v>
      </c>
      <c r="D1883" s="325" t="s">
        <v>20</v>
      </c>
      <c r="E1883" s="326">
        <v>4</v>
      </c>
      <c r="F1883" s="331">
        <v>425.94</v>
      </c>
      <c r="G1883" s="328"/>
      <c r="H1883" s="328" t="s">
        <v>1147</v>
      </c>
      <c r="I1883" s="324" t="s">
        <v>21</v>
      </c>
    </row>
    <row r="1884" spans="1:9" ht="11.1" customHeight="1" outlineLevel="1">
      <c r="A1884" s="325" t="s">
        <v>1302</v>
      </c>
      <c r="B1884" s="325" t="s">
        <v>3597</v>
      </c>
      <c r="C1884" s="325" t="s">
        <v>3598</v>
      </c>
      <c r="D1884" s="325" t="s">
        <v>20</v>
      </c>
      <c r="E1884" s="326">
        <v>6</v>
      </c>
      <c r="F1884" s="331">
        <v>600</v>
      </c>
      <c r="G1884" s="328"/>
      <c r="H1884" s="328" t="s">
        <v>1147</v>
      </c>
      <c r="I1884" s="324" t="s">
        <v>21</v>
      </c>
    </row>
    <row r="1885" spans="1:9" ht="11.1" customHeight="1" outlineLevel="1">
      <c r="A1885" s="325" t="s">
        <v>1302</v>
      </c>
      <c r="B1885" s="325" t="s">
        <v>1214</v>
      </c>
      <c r="C1885" s="325" t="s">
        <v>1215</v>
      </c>
      <c r="D1885" s="325" t="s">
        <v>20</v>
      </c>
      <c r="E1885" s="326">
        <v>25</v>
      </c>
      <c r="F1885" s="327">
        <v>3115.44</v>
      </c>
      <c r="G1885" s="328"/>
      <c r="H1885" s="328" t="s">
        <v>1147</v>
      </c>
      <c r="I1885" s="324" t="s">
        <v>21</v>
      </c>
    </row>
    <row r="1886" spans="1:9" ht="11.1" customHeight="1" outlineLevel="1">
      <c r="A1886" s="325" t="s">
        <v>1067</v>
      </c>
      <c r="B1886" s="325" t="s">
        <v>1214</v>
      </c>
      <c r="C1886" s="325" t="s">
        <v>1215</v>
      </c>
      <c r="D1886" s="325" t="s">
        <v>20</v>
      </c>
      <c r="E1886" s="326">
        <v>56</v>
      </c>
      <c r="F1886" s="327">
        <v>4858.8999999999996</v>
      </c>
      <c r="G1886" s="328"/>
      <c r="H1886" s="328" t="s">
        <v>1147</v>
      </c>
      <c r="I1886" s="324" t="s">
        <v>21</v>
      </c>
    </row>
    <row r="1887" spans="1:9" ht="11.1" customHeight="1" outlineLevel="1">
      <c r="A1887" s="325" t="s">
        <v>1302</v>
      </c>
      <c r="B1887" s="325" t="s">
        <v>3599</v>
      </c>
      <c r="C1887" s="325" t="s">
        <v>3600</v>
      </c>
      <c r="D1887" s="325" t="s">
        <v>20</v>
      </c>
      <c r="E1887" s="326">
        <v>2</v>
      </c>
      <c r="F1887" s="331">
        <v>72.11</v>
      </c>
      <c r="G1887" s="328"/>
      <c r="H1887" s="328" t="s">
        <v>1147</v>
      </c>
      <c r="I1887" s="324" t="s">
        <v>21</v>
      </c>
    </row>
    <row r="1888" spans="1:9" ht="11.1" customHeight="1" outlineLevel="1">
      <c r="A1888" s="325" t="s">
        <v>1302</v>
      </c>
      <c r="B1888" s="325" t="s">
        <v>3601</v>
      </c>
      <c r="C1888" s="325" t="s">
        <v>3602</v>
      </c>
      <c r="D1888" s="325" t="s">
        <v>20</v>
      </c>
      <c r="E1888" s="326">
        <v>1</v>
      </c>
      <c r="F1888" s="331">
        <v>268.3</v>
      </c>
      <c r="G1888" s="328"/>
      <c r="H1888" s="328" t="s">
        <v>1147</v>
      </c>
      <c r="I1888" s="324" t="s">
        <v>21</v>
      </c>
    </row>
    <row r="1889" spans="1:9" ht="11.1" customHeight="1" outlineLevel="1">
      <c r="A1889" s="325" t="s">
        <v>1302</v>
      </c>
      <c r="B1889" s="325" t="s">
        <v>3603</v>
      </c>
      <c r="C1889" s="325" t="s">
        <v>3604</v>
      </c>
      <c r="D1889" s="325" t="s">
        <v>20</v>
      </c>
      <c r="E1889" s="326">
        <v>1</v>
      </c>
      <c r="F1889" s="331">
        <v>87</v>
      </c>
      <c r="G1889" s="328"/>
      <c r="H1889" s="328" t="s">
        <v>1147</v>
      </c>
      <c r="I1889" s="324" t="s">
        <v>21</v>
      </c>
    </row>
    <row r="1890" spans="1:9" ht="11.1" customHeight="1" outlineLevel="1">
      <c r="A1890" s="325" t="s">
        <v>1067</v>
      </c>
      <c r="B1890" s="325" t="s">
        <v>3605</v>
      </c>
      <c r="C1890" s="325" t="s">
        <v>986</v>
      </c>
      <c r="D1890" s="325" t="s">
        <v>20</v>
      </c>
      <c r="E1890" s="326">
        <v>31</v>
      </c>
      <c r="F1890" s="327">
        <v>6446.1</v>
      </c>
      <c r="G1890" s="328"/>
      <c r="H1890" s="328" t="s">
        <v>1147</v>
      </c>
      <c r="I1890" s="324" t="s">
        <v>21</v>
      </c>
    </row>
    <row r="1891" spans="1:9" ht="11.1" customHeight="1" outlineLevel="1">
      <c r="A1891" s="325" t="s">
        <v>1067</v>
      </c>
      <c r="B1891" s="325" t="s">
        <v>3606</v>
      </c>
      <c r="C1891" s="325" t="s">
        <v>3607</v>
      </c>
      <c r="D1891" s="325" t="s">
        <v>20</v>
      </c>
      <c r="E1891" s="326">
        <v>7</v>
      </c>
      <c r="F1891" s="327">
        <v>1811</v>
      </c>
      <c r="G1891" s="328"/>
      <c r="H1891" s="328" t="s">
        <v>1147</v>
      </c>
      <c r="I1891" s="324" t="s">
        <v>21</v>
      </c>
    </row>
    <row r="1892" spans="1:9" ht="11.1" customHeight="1" outlineLevel="1">
      <c r="A1892" s="325" t="s">
        <v>1302</v>
      </c>
      <c r="B1892" s="325" t="s">
        <v>3606</v>
      </c>
      <c r="C1892" s="325" t="s">
        <v>3607</v>
      </c>
      <c r="D1892" s="325" t="s">
        <v>20</v>
      </c>
      <c r="E1892" s="326">
        <v>5</v>
      </c>
      <c r="F1892" s="327">
        <v>1045</v>
      </c>
      <c r="G1892" s="328"/>
      <c r="H1892" s="328" t="s">
        <v>1147</v>
      </c>
      <c r="I1892" s="324" t="s">
        <v>21</v>
      </c>
    </row>
    <row r="1893" spans="1:9" ht="11.1" customHeight="1" outlineLevel="1">
      <c r="A1893" s="325" t="s">
        <v>1067</v>
      </c>
      <c r="B1893" s="325" t="s">
        <v>3608</v>
      </c>
      <c r="C1893" s="325" t="s">
        <v>3609</v>
      </c>
      <c r="D1893" s="325" t="s">
        <v>20</v>
      </c>
      <c r="E1893" s="326">
        <v>5</v>
      </c>
      <c r="F1893" s="331">
        <v>615</v>
      </c>
      <c r="G1893" s="328"/>
      <c r="H1893" s="328" t="s">
        <v>1147</v>
      </c>
      <c r="I1893" s="324" t="s">
        <v>21</v>
      </c>
    </row>
    <row r="1894" spans="1:9" ht="11.1" customHeight="1" outlineLevel="1">
      <c r="A1894" s="325" t="s">
        <v>1302</v>
      </c>
      <c r="B1894" s="325" t="s">
        <v>3608</v>
      </c>
      <c r="C1894" s="325" t="s">
        <v>3609</v>
      </c>
      <c r="D1894" s="325" t="s">
        <v>20</v>
      </c>
      <c r="E1894" s="326">
        <v>8</v>
      </c>
      <c r="F1894" s="331">
        <v>934.83</v>
      </c>
      <c r="G1894" s="328"/>
      <c r="H1894" s="328" t="s">
        <v>1147</v>
      </c>
      <c r="I1894" s="324" t="s">
        <v>21</v>
      </c>
    </row>
    <row r="1895" spans="1:9" ht="11.1" customHeight="1" outlineLevel="1">
      <c r="A1895" s="325" t="s">
        <v>1302</v>
      </c>
      <c r="B1895" s="325" t="s">
        <v>3610</v>
      </c>
      <c r="C1895" s="325" t="s">
        <v>3611</v>
      </c>
      <c r="D1895" s="325" t="s">
        <v>20</v>
      </c>
      <c r="E1895" s="326">
        <v>2</v>
      </c>
      <c r="F1895" s="331">
        <v>208.33</v>
      </c>
      <c r="G1895" s="328"/>
      <c r="H1895" s="328" t="s">
        <v>1147</v>
      </c>
      <c r="I1895" s="324" t="s">
        <v>21</v>
      </c>
    </row>
    <row r="1896" spans="1:9" ht="11.1" customHeight="1" outlineLevel="1">
      <c r="A1896" s="325" t="s">
        <v>1302</v>
      </c>
      <c r="B1896" s="325" t="s">
        <v>3612</v>
      </c>
      <c r="C1896" s="325" t="s">
        <v>3613</v>
      </c>
      <c r="D1896" s="325" t="s">
        <v>20</v>
      </c>
      <c r="E1896" s="326">
        <v>3</v>
      </c>
      <c r="F1896" s="331">
        <v>151.80000000000001</v>
      </c>
      <c r="G1896" s="328"/>
      <c r="H1896" s="328" t="s">
        <v>1147</v>
      </c>
      <c r="I1896" s="324" t="s">
        <v>21</v>
      </c>
    </row>
    <row r="1897" spans="1:9" ht="11.1" customHeight="1" outlineLevel="1">
      <c r="A1897" s="325" t="s">
        <v>1302</v>
      </c>
      <c r="B1897" s="325" t="s">
        <v>3614</v>
      </c>
      <c r="C1897" s="325" t="s">
        <v>3615</v>
      </c>
      <c r="D1897" s="325" t="s">
        <v>20</v>
      </c>
      <c r="E1897" s="326">
        <v>1</v>
      </c>
      <c r="F1897" s="331">
        <v>40</v>
      </c>
      <c r="G1897" s="328"/>
      <c r="H1897" s="328" t="s">
        <v>1147</v>
      </c>
      <c r="I1897" s="324" t="s">
        <v>21</v>
      </c>
    </row>
    <row r="1898" spans="1:9" ht="11.1" customHeight="1" outlineLevel="1">
      <c r="A1898" s="325" t="s">
        <v>1302</v>
      </c>
      <c r="B1898" s="325" t="s">
        <v>3616</v>
      </c>
      <c r="C1898" s="325" t="s">
        <v>3617</v>
      </c>
      <c r="D1898" s="325" t="s">
        <v>20</v>
      </c>
      <c r="E1898" s="326">
        <v>1</v>
      </c>
      <c r="F1898" s="331">
        <v>33.33</v>
      </c>
      <c r="G1898" s="328"/>
      <c r="H1898" s="328" t="s">
        <v>1147</v>
      </c>
      <c r="I1898" s="324" t="s">
        <v>21</v>
      </c>
    </row>
    <row r="1899" spans="1:9" ht="11.1" customHeight="1" outlineLevel="1">
      <c r="A1899" s="325" t="s">
        <v>1302</v>
      </c>
      <c r="B1899" s="325" t="s">
        <v>3618</v>
      </c>
      <c r="C1899" s="325" t="s">
        <v>3619</v>
      </c>
      <c r="D1899" s="325" t="s">
        <v>20</v>
      </c>
      <c r="E1899" s="326">
        <v>1</v>
      </c>
      <c r="F1899" s="331">
        <v>26.67</v>
      </c>
      <c r="G1899" s="328"/>
      <c r="H1899" s="328" t="s">
        <v>1147</v>
      </c>
      <c r="I1899" s="324" t="s">
        <v>21</v>
      </c>
    </row>
    <row r="1900" spans="1:9" ht="11.1" customHeight="1" outlineLevel="1">
      <c r="A1900" s="325" t="s">
        <v>1302</v>
      </c>
      <c r="B1900" s="325" t="s">
        <v>3620</v>
      </c>
      <c r="C1900" s="325" t="s">
        <v>3621</v>
      </c>
      <c r="D1900" s="325" t="s">
        <v>20</v>
      </c>
      <c r="E1900" s="326">
        <v>1</v>
      </c>
      <c r="F1900" s="331">
        <v>34.17</v>
      </c>
      <c r="G1900" s="328"/>
      <c r="H1900" s="328" t="s">
        <v>1147</v>
      </c>
      <c r="I1900" s="324" t="s">
        <v>21</v>
      </c>
    </row>
    <row r="1901" spans="1:9" ht="11.1" customHeight="1" outlineLevel="1">
      <c r="A1901" s="325" t="s">
        <v>1302</v>
      </c>
      <c r="B1901" s="325" t="s">
        <v>3622</v>
      </c>
      <c r="C1901" s="325" t="s">
        <v>3623</v>
      </c>
      <c r="D1901" s="325" t="s">
        <v>1305</v>
      </c>
      <c r="E1901" s="326">
        <v>1</v>
      </c>
      <c r="F1901" s="331">
        <v>66.7</v>
      </c>
      <c r="G1901" s="328"/>
      <c r="H1901" s="328" t="s">
        <v>1147</v>
      </c>
      <c r="I1901" s="324" t="s">
        <v>21</v>
      </c>
    </row>
    <row r="1902" spans="1:9" ht="11.1" customHeight="1" outlineLevel="1">
      <c r="A1902" s="325" t="s">
        <v>1302</v>
      </c>
      <c r="B1902" s="325" t="s">
        <v>2087</v>
      </c>
      <c r="C1902" s="325" t="s">
        <v>2088</v>
      </c>
      <c r="D1902" s="325" t="s">
        <v>20</v>
      </c>
      <c r="E1902" s="326">
        <v>1</v>
      </c>
      <c r="F1902" s="331">
        <v>36.67</v>
      </c>
      <c r="G1902" s="328"/>
      <c r="H1902" s="328" t="s">
        <v>1147</v>
      </c>
      <c r="I1902" s="324" t="s">
        <v>21</v>
      </c>
    </row>
    <row r="1903" spans="1:9" ht="11.1" customHeight="1" outlineLevel="1">
      <c r="A1903" s="325" t="s">
        <v>1302</v>
      </c>
      <c r="B1903" s="325" t="s">
        <v>3624</v>
      </c>
      <c r="C1903" s="325" t="s">
        <v>3625</v>
      </c>
      <c r="D1903" s="325" t="s">
        <v>20</v>
      </c>
      <c r="E1903" s="326">
        <v>1</v>
      </c>
      <c r="F1903" s="331">
        <v>40.83</v>
      </c>
      <c r="G1903" s="328"/>
      <c r="H1903" s="328" t="s">
        <v>1147</v>
      </c>
      <c r="I1903" s="324" t="s">
        <v>21</v>
      </c>
    </row>
    <row r="1904" spans="1:9" ht="11.1" customHeight="1" outlineLevel="1">
      <c r="A1904" s="325" t="s">
        <v>1302</v>
      </c>
      <c r="B1904" s="325" t="s">
        <v>3626</v>
      </c>
      <c r="C1904" s="325" t="s">
        <v>3627</v>
      </c>
      <c r="D1904" s="325" t="s">
        <v>20</v>
      </c>
      <c r="E1904" s="326">
        <v>19</v>
      </c>
      <c r="F1904" s="331">
        <v>646</v>
      </c>
      <c r="G1904" s="328"/>
      <c r="H1904" s="328" t="s">
        <v>1147</v>
      </c>
      <c r="I1904" s="324" t="s">
        <v>21</v>
      </c>
    </row>
    <row r="1905" spans="1:9" ht="11.1" customHeight="1" outlineLevel="1">
      <c r="A1905" s="325" t="s">
        <v>1302</v>
      </c>
      <c r="B1905" s="325" t="s">
        <v>3628</v>
      </c>
      <c r="C1905" s="325" t="s">
        <v>3629</v>
      </c>
      <c r="D1905" s="325" t="s">
        <v>20</v>
      </c>
      <c r="E1905" s="326">
        <v>12</v>
      </c>
      <c r="F1905" s="331">
        <v>585.44000000000005</v>
      </c>
      <c r="G1905" s="328"/>
      <c r="H1905" s="328" t="s">
        <v>1147</v>
      </c>
      <c r="I1905" s="324" t="s">
        <v>21</v>
      </c>
    </row>
    <row r="1906" spans="1:9" ht="11.1" customHeight="1" outlineLevel="1">
      <c r="A1906" s="325" t="s">
        <v>1067</v>
      </c>
      <c r="B1906" s="325" t="s">
        <v>3628</v>
      </c>
      <c r="C1906" s="325" t="s">
        <v>3629</v>
      </c>
      <c r="D1906" s="325" t="s">
        <v>20</v>
      </c>
      <c r="E1906" s="326">
        <v>13</v>
      </c>
      <c r="F1906" s="331">
        <v>613.29999999999995</v>
      </c>
      <c r="G1906" s="328"/>
      <c r="H1906" s="328" t="s">
        <v>1147</v>
      </c>
      <c r="I1906" s="324" t="s">
        <v>21</v>
      </c>
    </row>
    <row r="1907" spans="1:9" ht="11.1" customHeight="1" outlineLevel="1">
      <c r="A1907" s="325" t="s">
        <v>1302</v>
      </c>
      <c r="B1907" s="325" t="s">
        <v>3630</v>
      </c>
      <c r="C1907" s="325" t="s">
        <v>3631</v>
      </c>
      <c r="D1907" s="325" t="s">
        <v>20</v>
      </c>
      <c r="E1907" s="326">
        <v>1</v>
      </c>
      <c r="F1907" s="331">
        <v>37.08</v>
      </c>
      <c r="G1907" s="328"/>
      <c r="H1907" s="328" t="s">
        <v>1147</v>
      </c>
      <c r="I1907" s="324" t="s">
        <v>21</v>
      </c>
    </row>
    <row r="1908" spans="1:9" ht="11.1" customHeight="1" outlineLevel="1">
      <c r="A1908" s="325" t="s">
        <v>1067</v>
      </c>
      <c r="B1908" s="325" t="s">
        <v>3630</v>
      </c>
      <c r="C1908" s="325" t="s">
        <v>3631</v>
      </c>
      <c r="D1908" s="325" t="s">
        <v>20</v>
      </c>
      <c r="E1908" s="326">
        <v>2</v>
      </c>
      <c r="F1908" s="331">
        <v>66.599999999999994</v>
      </c>
      <c r="G1908" s="328"/>
      <c r="H1908" s="328" t="s">
        <v>1147</v>
      </c>
      <c r="I1908" s="324" t="s">
        <v>21</v>
      </c>
    </row>
    <row r="1909" spans="1:9" ht="11.1" customHeight="1" outlineLevel="1">
      <c r="A1909" s="325" t="s">
        <v>1067</v>
      </c>
      <c r="B1909" s="325" t="s">
        <v>1226</v>
      </c>
      <c r="C1909" s="325" t="s">
        <v>1227</v>
      </c>
      <c r="D1909" s="325" t="s">
        <v>20</v>
      </c>
      <c r="E1909" s="326">
        <v>270</v>
      </c>
      <c r="F1909" s="327">
        <v>15555</v>
      </c>
      <c r="G1909" s="328"/>
      <c r="H1909" s="328" t="s">
        <v>1147</v>
      </c>
      <c r="I1909" s="324" t="s">
        <v>21</v>
      </c>
    </row>
    <row r="1910" spans="1:9" ht="11.1" customHeight="1" outlineLevel="1">
      <c r="A1910" s="325" t="s">
        <v>1302</v>
      </c>
      <c r="B1910" s="325" t="s">
        <v>3632</v>
      </c>
      <c r="C1910" s="325" t="s">
        <v>3633</v>
      </c>
      <c r="D1910" s="325" t="s">
        <v>20</v>
      </c>
      <c r="E1910" s="326">
        <v>1</v>
      </c>
      <c r="F1910" s="331">
        <v>117.5</v>
      </c>
      <c r="G1910" s="328"/>
      <c r="H1910" s="328" t="s">
        <v>1147</v>
      </c>
      <c r="I1910" s="324" t="s">
        <v>21</v>
      </c>
    </row>
    <row r="1911" spans="1:9" ht="11.1" customHeight="1" outlineLevel="1">
      <c r="A1911" s="325" t="s">
        <v>1067</v>
      </c>
      <c r="B1911" s="325" t="s">
        <v>3634</v>
      </c>
      <c r="C1911" s="325" t="s">
        <v>999</v>
      </c>
      <c r="D1911" s="325" t="s">
        <v>20</v>
      </c>
      <c r="E1911" s="326">
        <v>25</v>
      </c>
      <c r="F1911" s="327">
        <v>2044.28</v>
      </c>
      <c r="G1911" s="328"/>
      <c r="H1911" s="328" t="s">
        <v>1147</v>
      </c>
      <c r="I1911" s="324" t="s">
        <v>21</v>
      </c>
    </row>
    <row r="1912" spans="1:9" ht="11.1" customHeight="1" outlineLevel="1">
      <c r="A1912" s="325" t="s">
        <v>1302</v>
      </c>
      <c r="B1912" s="325" t="s">
        <v>3634</v>
      </c>
      <c r="C1912" s="325" t="s">
        <v>999</v>
      </c>
      <c r="D1912" s="325" t="s">
        <v>20</v>
      </c>
      <c r="E1912" s="326">
        <v>20</v>
      </c>
      <c r="F1912" s="327">
        <v>1579.99</v>
      </c>
      <c r="G1912" s="328"/>
      <c r="H1912" s="328" t="s">
        <v>1147</v>
      </c>
      <c r="I1912" s="324" t="s">
        <v>21</v>
      </c>
    </row>
    <row r="1913" spans="1:9" ht="11.1" customHeight="1" outlineLevel="1">
      <c r="A1913" s="325" t="s">
        <v>1302</v>
      </c>
      <c r="B1913" s="325" t="s">
        <v>3635</v>
      </c>
      <c r="C1913" s="325" t="s">
        <v>3636</v>
      </c>
      <c r="D1913" s="325" t="s">
        <v>20</v>
      </c>
      <c r="E1913" s="326">
        <v>2</v>
      </c>
      <c r="F1913" s="331">
        <v>731.41</v>
      </c>
      <c r="G1913" s="328"/>
      <c r="H1913" s="328" t="s">
        <v>1147</v>
      </c>
      <c r="I1913" s="324" t="s">
        <v>21</v>
      </c>
    </row>
    <row r="1914" spans="1:9" ht="11.1" customHeight="1" outlineLevel="1">
      <c r="A1914" s="325" t="s">
        <v>1302</v>
      </c>
      <c r="B1914" s="325" t="s">
        <v>1228</v>
      </c>
      <c r="C1914" s="325" t="s">
        <v>1229</v>
      </c>
      <c r="D1914" s="325" t="s">
        <v>20</v>
      </c>
      <c r="E1914" s="326">
        <v>1</v>
      </c>
      <c r="F1914" s="331">
        <v>19.649999999999999</v>
      </c>
      <c r="G1914" s="328"/>
      <c r="H1914" s="328" t="s">
        <v>1147</v>
      </c>
      <c r="I1914" s="324" t="s">
        <v>21</v>
      </c>
    </row>
    <row r="1915" spans="1:9" ht="11.1" customHeight="1" outlineLevel="1">
      <c r="A1915" s="325" t="s">
        <v>1302</v>
      </c>
      <c r="B1915" s="325" t="s">
        <v>3637</v>
      </c>
      <c r="C1915" s="325" t="s">
        <v>3638</v>
      </c>
      <c r="D1915" s="325" t="s">
        <v>20</v>
      </c>
      <c r="E1915" s="326">
        <v>1</v>
      </c>
      <c r="F1915" s="331">
        <v>124.7</v>
      </c>
      <c r="G1915" s="328"/>
      <c r="H1915" s="328" t="s">
        <v>1147</v>
      </c>
      <c r="I1915" s="324" t="s">
        <v>21</v>
      </c>
    </row>
    <row r="1916" spans="1:9" ht="11.1" customHeight="1" outlineLevel="1">
      <c r="A1916" s="325" t="s">
        <v>1302</v>
      </c>
      <c r="B1916" s="325" t="s">
        <v>3639</v>
      </c>
      <c r="C1916" s="325" t="s">
        <v>3640</v>
      </c>
      <c r="D1916" s="325" t="s">
        <v>1305</v>
      </c>
      <c r="E1916" s="326">
        <v>4</v>
      </c>
      <c r="F1916" s="327">
        <v>1030</v>
      </c>
      <c r="G1916" s="328"/>
      <c r="H1916" s="328" t="s">
        <v>1147</v>
      </c>
      <c r="I1916" s="324" t="s">
        <v>21</v>
      </c>
    </row>
    <row r="1917" spans="1:9" ht="11.1" customHeight="1" outlineLevel="1">
      <c r="A1917" s="325" t="s">
        <v>1067</v>
      </c>
      <c r="B1917" s="325" t="s">
        <v>3641</v>
      </c>
      <c r="C1917" s="325" t="s">
        <v>3642</v>
      </c>
      <c r="D1917" s="325" t="s">
        <v>20</v>
      </c>
      <c r="E1917" s="326">
        <v>38</v>
      </c>
      <c r="F1917" s="327">
        <v>4669.92</v>
      </c>
      <c r="G1917" s="328"/>
      <c r="H1917" s="328" t="s">
        <v>1147</v>
      </c>
      <c r="I1917" s="324" t="s">
        <v>21</v>
      </c>
    </row>
    <row r="1918" spans="1:9" ht="11.1" customHeight="1" outlineLevel="1">
      <c r="A1918" s="325" t="s">
        <v>1302</v>
      </c>
      <c r="B1918" s="325" t="s">
        <v>3641</v>
      </c>
      <c r="C1918" s="325" t="s">
        <v>3642</v>
      </c>
      <c r="D1918" s="325" t="s">
        <v>20</v>
      </c>
      <c r="E1918" s="326">
        <v>3</v>
      </c>
      <c r="F1918" s="331">
        <v>391.27</v>
      </c>
      <c r="G1918" s="328"/>
      <c r="H1918" s="328" t="s">
        <v>1147</v>
      </c>
      <c r="I1918" s="324" t="s">
        <v>21</v>
      </c>
    </row>
    <row r="1919" spans="1:9" ht="11.1" customHeight="1" outlineLevel="1">
      <c r="A1919" s="325" t="s">
        <v>1067</v>
      </c>
      <c r="B1919" s="325" t="s">
        <v>3643</v>
      </c>
      <c r="C1919" s="325" t="s">
        <v>3644</v>
      </c>
      <c r="D1919" s="325" t="s">
        <v>20</v>
      </c>
      <c r="E1919" s="326">
        <v>16</v>
      </c>
      <c r="F1919" s="327">
        <v>3893.33</v>
      </c>
      <c r="G1919" s="328"/>
      <c r="H1919" s="328" t="s">
        <v>1147</v>
      </c>
      <c r="I1919" s="324" t="s">
        <v>21</v>
      </c>
    </row>
    <row r="1920" spans="1:9" ht="11.1" customHeight="1" outlineLevel="1">
      <c r="A1920" s="325" t="s">
        <v>1302</v>
      </c>
      <c r="B1920" s="325" t="s">
        <v>3643</v>
      </c>
      <c r="C1920" s="325" t="s">
        <v>3644</v>
      </c>
      <c r="D1920" s="325" t="s">
        <v>20</v>
      </c>
      <c r="E1920" s="326">
        <v>4</v>
      </c>
      <c r="F1920" s="331">
        <v>863.58</v>
      </c>
      <c r="G1920" s="328"/>
      <c r="H1920" s="328" t="s">
        <v>1147</v>
      </c>
      <c r="I1920" s="324" t="s">
        <v>21</v>
      </c>
    </row>
    <row r="1921" spans="1:9" ht="11.1" customHeight="1" outlineLevel="1">
      <c r="A1921" s="325" t="s">
        <v>1067</v>
      </c>
      <c r="B1921" s="325" t="s">
        <v>3645</v>
      </c>
      <c r="C1921" s="325" t="s">
        <v>3646</v>
      </c>
      <c r="D1921" s="325" t="s">
        <v>20</v>
      </c>
      <c r="E1921" s="326">
        <v>19</v>
      </c>
      <c r="F1921" s="327">
        <v>3140.41</v>
      </c>
      <c r="G1921" s="328"/>
      <c r="H1921" s="328" t="s">
        <v>1147</v>
      </c>
      <c r="I1921" s="324" t="s">
        <v>21</v>
      </c>
    </row>
    <row r="1922" spans="1:9" ht="11.1" customHeight="1" outlineLevel="1">
      <c r="A1922" s="325" t="s">
        <v>1302</v>
      </c>
      <c r="B1922" s="325" t="s">
        <v>3645</v>
      </c>
      <c r="C1922" s="325" t="s">
        <v>3646</v>
      </c>
      <c r="D1922" s="325" t="s">
        <v>20</v>
      </c>
      <c r="E1922" s="326">
        <v>4</v>
      </c>
      <c r="F1922" s="331">
        <v>460.16</v>
      </c>
      <c r="G1922" s="328"/>
      <c r="H1922" s="328" t="s">
        <v>1147</v>
      </c>
      <c r="I1922" s="324" t="s">
        <v>21</v>
      </c>
    </row>
    <row r="1923" spans="1:9" ht="11.1" customHeight="1" outlineLevel="1">
      <c r="A1923" s="325" t="s">
        <v>1302</v>
      </c>
      <c r="B1923" s="325" t="s">
        <v>3647</v>
      </c>
      <c r="C1923" s="325" t="s">
        <v>3648</v>
      </c>
      <c r="D1923" s="325" t="s">
        <v>20</v>
      </c>
      <c r="E1923" s="326">
        <v>2</v>
      </c>
      <c r="F1923" s="331">
        <v>10.91</v>
      </c>
      <c r="G1923" s="328"/>
      <c r="H1923" s="328" t="s">
        <v>1147</v>
      </c>
      <c r="I1923" s="324" t="s">
        <v>21</v>
      </c>
    </row>
    <row r="1924" spans="1:9" ht="11.1" customHeight="1" outlineLevel="1">
      <c r="A1924" s="325" t="s">
        <v>1067</v>
      </c>
      <c r="B1924" s="325" t="s">
        <v>3649</v>
      </c>
      <c r="C1924" s="325" t="s">
        <v>3650</v>
      </c>
      <c r="D1924" s="325" t="s">
        <v>20</v>
      </c>
      <c r="E1924" s="326">
        <v>1</v>
      </c>
      <c r="F1924" s="331">
        <v>48.3</v>
      </c>
      <c r="G1924" s="328"/>
      <c r="H1924" s="328" t="s">
        <v>1147</v>
      </c>
      <c r="I1924" s="324" t="s">
        <v>21</v>
      </c>
    </row>
    <row r="1925" spans="1:9" ht="11.1" customHeight="1" outlineLevel="1">
      <c r="A1925" s="325" t="s">
        <v>1302</v>
      </c>
      <c r="B1925" s="325" t="s">
        <v>3649</v>
      </c>
      <c r="C1925" s="325" t="s">
        <v>3650</v>
      </c>
      <c r="D1925" s="325" t="s">
        <v>20</v>
      </c>
      <c r="E1925" s="326">
        <v>3</v>
      </c>
      <c r="F1925" s="331">
        <v>168.24</v>
      </c>
      <c r="G1925" s="328"/>
      <c r="H1925" s="328" t="s">
        <v>1147</v>
      </c>
      <c r="I1925" s="324" t="s">
        <v>21</v>
      </c>
    </row>
    <row r="1926" spans="1:9" ht="11.1" customHeight="1" outlineLevel="1">
      <c r="A1926" s="325" t="s">
        <v>1302</v>
      </c>
      <c r="B1926" s="325" t="s">
        <v>3651</v>
      </c>
      <c r="C1926" s="325" t="s">
        <v>3652</v>
      </c>
      <c r="D1926" s="325" t="s">
        <v>20</v>
      </c>
      <c r="E1926" s="326">
        <v>1</v>
      </c>
      <c r="F1926" s="331">
        <v>60.83</v>
      </c>
      <c r="G1926" s="328"/>
      <c r="H1926" s="328" t="s">
        <v>1147</v>
      </c>
      <c r="I1926" s="324" t="s">
        <v>21</v>
      </c>
    </row>
    <row r="1927" spans="1:9" ht="11.1" customHeight="1" outlineLevel="1">
      <c r="A1927" s="325" t="s">
        <v>1302</v>
      </c>
      <c r="B1927" s="325" t="s">
        <v>3653</v>
      </c>
      <c r="C1927" s="325" t="s">
        <v>3654</v>
      </c>
      <c r="D1927" s="325" t="s">
        <v>20</v>
      </c>
      <c r="E1927" s="326">
        <v>1</v>
      </c>
      <c r="F1927" s="331">
        <v>82.5</v>
      </c>
      <c r="G1927" s="328"/>
      <c r="H1927" s="328" t="s">
        <v>1147</v>
      </c>
      <c r="I1927" s="324" t="s">
        <v>21</v>
      </c>
    </row>
    <row r="1928" spans="1:9" ht="11.1" customHeight="1" outlineLevel="1">
      <c r="A1928" s="325" t="s">
        <v>1302</v>
      </c>
      <c r="B1928" s="325" t="s">
        <v>3655</v>
      </c>
      <c r="C1928" s="325" t="s">
        <v>3656</v>
      </c>
      <c r="D1928" s="325" t="s">
        <v>20</v>
      </c>
      <c r="E1928" s="326">
        <v>5</v>
      </c>
      <c r="F1928" s="331">
        <v>951.34</v>
      </c>
      <c r="G1928" s="328"/>
      <c r="H1928" s="328" t="s">
        <v>1147</v>
      </c>
      <c r="I1928" s="324" t="s">
        <v>21</v>
      </c>
    </row>
    <row r="1929" spans="1:9" ht="11.1" customHeight="1" outlineLevel="1">
      <c r="A1929" s="325" t="s">
        <v>1067</v>
      </c>
      <c r="B1929" s="325" t="s">
        <v>3657</v>
      </c>
      <c r="C1929" s="325" t="s">
        <v>3658</v>
      </c>
      <c r="D1929" s="325" t="s">
        <v>20</v>
      </c>
      <c r="E1929" s="326">
        <v>1</v>
      </c>
      <c r="F1929" s="331">
        <v>245</v>
      </c>
      <c r="G1929" s="328"/>
      <c r="H1929" s="328" t="s">
        <v>1147</v>
      </c>
      <c r="I1929" s="324" t="s">
        <v>21</v>
      </c>
    </row>
    <row r="1930" spans="1:9" ht="11.1" customHeight="1" outlineLevel="1">
      <c r="A1930" s="325" t="s">
        <v>1302</v>
      </c>
      <c r="B1930" s="325" t="s">
        <v>3659</v>
      </c>
      <c r="C1930" s="325" t="s">
        <v>3660</v>
      </c>
      <c r="D1930" s="325" t="s">
        <v>20</v>
      </c>
      <c r="E1930" s="326">
        <v>1</v>
      </c>
      <c r="F1930" s="331">
        <v>44</v>
      </c>
      <c r="G1930" s="328"/>
      <c r="H1930" s="328" t="s">
        <v>1147</v>
      </c>
      <c r="I1930" s="324" t="s">
        <v>21</v>
      </c>
    </row>
    <row r="1931" spans="1:9" ht="11.1" customHeight="1" outlineLevel="1">
      <c r="A1931" s="325" t="s">
        <v>1067</v>
      </c>
      <c r="B1931" s="325" t="s">
        <v>3661</v>
      </c>
      <c r="C1931" s="325" t="s">
        <v>3662</v>
      </c>
      <c r="D1931" s="325" t="s">
        <v>20</v>
      </c>
      <c r="E1931" s="326">
        <v>4</v>
      </c>
      <c r="F1931" s="331">
        <v>228</v>
      </c>
      <c r="G1931" s="328"/>
      <c r="H1931" s="328" t="s">
        <v>1147</v>
      </c>
      <c r="I1931" s="324" t="s">
        <v>21</v>
      </c>
    </row>
    <row r="1932" spans="1:9" ht="11.1" customHeight="1" outlineLevel="1">
      <c r="A1932" s="325" t="s">
        <v>1302</v>
      </c>
      <c r="B1932" s="325" t="s">
        <v>3661</v>
      </c>
      <c r="C1932" s="325" t="s">
        <v>3662</v>
      </c>
      <c r="D1932" s="325" t="s">
        <v>20</v>
      </c>
      <c r="E1932" s="326">
        <v>3</v>
      </c>
      <c r="F1932" s="331">
        <v>171</v>
      </c>
      <c r="G1932" s="328"/>
      <c r="H1932" s="328" t="s">
        <v>1147</v>
      </c>
      <c r="I1932" s="324" t="s">
        <v>21</v>
      </c>
    </row>
    <row r="1933" spans="1:9" ht="11.1" customHeight="1" outlineLevel="1">
      <c r="A1933" s="325" t="s">
        <v>1302</v>
      </c>
      <c r="B1933" s="325" t="s">
        <v>3663</v>
      </c>
      <c r="C1933" s="325" t="s">
        <v>3664</v>
      </c>
      <c r="D1933" s="325" t="s">
        <v>20</v>
      </c>
      <c r="E1933" s="326">
        <v>5</v>
      </c>
      <c r="F1933" s="331">
        <v>262.22000000000003</v>
      </c>
      <c r="G1933" s="328"/>
      <c r="H1933" s="328" t="s">
        <v>1147</v>
      </c>
      <c r="I1933" s="324" t="s">
        <v>21</v>
      </c>
    </row>
    <row r="1934" spans="1:9" ht="11.1" customHeight="1" outlineLevel="1">
      <c r="A1934" s="325" t="s">
        <v>1067</v>
      </c>
      <c r="B1934" s="325" t="s">
        <v>3665</v>
      </c>
      <c r="C1934" s="325" t="s">
        <v>3666</v>
      </c>
      <c r="D1934" s="325" t="s">
        <v>20</v>
      </c>
      <c r="E1934" s="326">
        <v>1</v>
      </c>
      <c r="F1934" s="331">
        <v>860</v>
      </c>
      <c r="G1934" s="328"/>
      <c r="H1934" s="328" t="s">
        <v>1147</v>
      </c>
      <c r="I1934" s="324" t="s">
        <v>21</v>
      </c>
    </row>
    <row r="1935" spans="1:9" ht="11.1" customHeight="1" outlineLevel="1">
      <c r="A1935" s="325" t="s">
        <v>1302</v>
      </c>
      <c r="B1935" s="325" t="s">
        <v>3667</v>
      </c>
      <c r="C1935" s="325" t="s">
        <v>3668</v>
      </c>
      <c r="D1935" s="325" t="s">
        <v>20</v>
      </c>
      <c r="E1935" s="326">
        <v>2</v>
      </c>
      <c r="F1935" s="327">
        <v>1600</v>
      </c>
      <c r="G1935" s="328"/>
      <c r="H1935" s="328" t="s">
        <v>1147</v>
      </c>
      <c r="I1935" s="324" t="s">
        <v>21</v>
      </c>
    </row>
    <row r="1936" spans="1:9" ht="11.1" customHeight="1" outlineLevel="1">
      <c r="A1936" s="325" t="s">
        <v>1302</v>
      </c>
      <c r="B1936" s="325" t="s">
        <v>3669</v>
      </c>
      <c r="C1936" s="325" t="s">
        <v>3670</v>
      </c>
      <c r="D1936" s="325" t="s">
        <v>20</v>
      </c>
      <c r="E1936" s="326">
        <v>3</v>
      </c>
      <c r="F1936" s="327">
        <v>2144.1999999999998</v>
      </c>
      <c r="G1936" s="328"/>
      <c r="H1936" s="328" t="s">
        <v>1147</v>
      </c>
      <c r="I1936" s="324" t="s">
        <v>21</v>
      </c>
    </row>
    <row r="1937" spans="1:9" ht="11.1" customHeight="1" outlineLevel="1">
      <c r="A1937" s="325" t="s">
        <v>1302</v>
      </c>
      <c r="B1937" s="325" t="s">
        <v>3671</v>
      </c>
      <c r="C1937" s="325" t="s">
        <v>3672</v>
      </c>
      <c r="D1937" s="325" t="s">
        <v>20</v>
      </c>
      <c r="E1937" s="326">
        <v>2</v>
      </c>
      <c r="F1937" s="331">
        <v>423.78</v>
      </c>
      <c r="G1937" s="328"/>
      <c r="H1937" s="328" t="s">
        <v>1147</v>
      </c>
      <c r="I1937" s="324" t="s">
        <v>21</v>
      </c>
    </row>
    <row r="1938" spans="1:9" ht="11.1" customHeight="1" outlineLevel="1">
      <c r="A1938" s="325" t="s">
        <v>1302</v>
      </c>
      <c r="B1938" s="325" t="s">
        <v>3673</v>
      </c>
      <c r="C1938" s="325" t="s">
        <v>3674</v>
      </c>
      <c r="D1938" s="325" t="s">
        <v>20</v>
      </c>
      <c r="E1938" s="326">
        <v>2</v>
      </c>
      <c r="F1938" s="327">
        <v>1550</v>
      </c>
      <c r="G1938" s="328"/>
      <c r="H1938" s="328" t="s">
        <v>1147</v>
      </c>
      <c r="I1938" s="324" t="s">
        <v>21</v>
      </c>
    </row>
    <row r="1939" spans="1:9" ht="21.95" customHeight="1" outlineLevel="1">
      <c r="A1939" s="325" t="s">
        <v>1302</v>
      </c>
      <c r="B1939" s="325" t="s">
        <v>3675</v>
      </c>
      <c r="C1939" s="325" t="s">
        <v>3676</v>
      </c>
      <c r="D1939" s="325" t="s">
        <v>20</v>
      </c>
      <c r="E1939" s="326">
        <v>2</v>
      </c>
      <c r="F1939" s="331">
        <v>672.89</v>
      </c>
      <c r="G1939" s="328"/>
      <c r="H1939" s="328" t="s">
        <v>1147</v>
      </c>
      <c r="I1939" s="324" t="s">
        <v>21</v>
      </c>
    </row>
    <row r="1940" spans="1:9" ht="11.1" customHeight="1" outlineLevel="1">
      <c r="A1940" s="325" t="s">
        <v>1302</v>
      </c>
      <c r="B1940" s="325" t="s">
        <v>3677</v>
      </c>
      <c r="C1940" s="325" t="s">
        <v>3678</v>
      </c>
      <c r="D1940" s="325" t="s">
        <v>20</v>
      </c>
      <c r="E1940" s="326">
        <v>2</v>
      </c>
      <c r="F1940" s="327">
        <v>1851.9</v>
      </c>
      <c r="G1940" s="328"/>
      <c r="H1940" s="328" t="s">
        <v>1147</v>
      </c>
      <c r="I1940" s="324" t="s">
        <v>21</v>
      </c>
    </row>
    <row r="1941" spans="1:9" ht="11.1" customHeight="1" outlineLevel="1">
      <c r="A1941" s="325" t="s">
        <v>1302</v>
      </c>
      <c r="B1941" s="325" t="s">
        <v>1237</v>
      </c>
      <c r="C1941" s="325" t="s">
        <v>1235</v>
      </c>
      <c r="D1941" s="325" t="s">
        <v>14</v>
      </c>
      <c r="E1941" s="326">
        <v>30</v>
      </c>
      <c r="F1941" s="327">
        <v>1950</v>
      </c>
      <c r="G1941" s="328"/>
      <c r="H1941" s="160" t="s">
        <v>1236</v>
      </c>
      <c r="I1941" s="324" t="s">
        <v>21</v>
      </c>
    </row>
    <row r="1942" spans="1:9" ht="11.1" customHeight="1" outlineLevel="1">
      <c r="A1942" s="325" t="s">
        <v>1302</v>
      </c>
      <c r="B1942" s="325" t="s">
        <v>3679</v>
      </c>
      <c r="C1942" s="325" t="s">
        <v>3680</v>
      </c>
      <c r="D1942" s="325" t="s">
        <v>20</v>
      </c>
      <c r="E1942" s="326">
        <v>3</v>
      </c>
      <c r="F1942" s="327">
        <v>1461.29</v>
      </c>
      <c r="G1942" s="328"/>
      <c r="H1942" s="160" t="s">
        <v>1236</v>
      </c>
      <c r="I1942" s="324" t="s">
        <v>21</v>
      </c>
    </row>
    <row r="1943" spans="1:9" ht="11.1" customHeight="1" outlineLevel="1">
      <c r="A1943" s="325" t="s">
        <v>1067</v>
      </c>
      <c r="B1943" s="325" t="s">
        <v>3679</v>
      </c>
      <c r="C1943" s="325" t="s">
        <v>3680</v>
      </c>
      <c r="D1943" s="325" t="s">
        <v>20</v>
      </c>
      <c r="E1943" s="326">
        <v>5</v>
      </c>
      <c r="F1943" s="327">
        <v>2454</v>
      </c>
      <c r="G1943" s="328"/>
      <c r="H1943" s="160" t="s">
        <v>1236</v>
      </c>
      <c r="I1943" s="324" t="s">
        <v>21</v>
      </c>
    </row>
    <row r="1944" spans="1:9" ht="11.1" customHeight="1" outlineLevel="1">
      <c r="A1944" s="325" t="s">
        <v>1302</v>
      </c>
      <c r="B1944" s="325" t="s">
        <v>3681</v>
      </c>
      <c r="C1944" s="325" t="s">
        <v>3682</v>
      </c>
      <c r="D1944" s="325" t="s">
        <v>20</v>
      </c>
      <c r="E1944" s="326">
        <v>4</v>
      </c>
      <c r="F1944" s="327">
        <v>5596.85</v>
      </c>
      <c r="G1944" s="328"/>
      <c r="H1944" s="160" t="s">
        <v>1236</v>
      </c>
      <c r="I1944" s="324" t="s">
        <v>21</v>
      </c>
    </row>
    <row r="1945" spans="1:9" ht="11.1" customHeight="1" outlineLevel="1">
      <c r="A1945" s="325" t="s">
        <v>1302</v>
      </c>
      <c r="B1945" s="325" t="s">
        <v>3683</v>
      </c>
      <c r="C1945" s="325" t="s">
        <v>3684</v>
      </c>
      <c r="D1945" s="325" t="s">
        <v>14</v>
      </c>
      <c r="E1945" s="326">
        <v>5</v>
      </c>
      <c r="F1945" s="331">
        <v>416.26</v>
      </c>
      <c r="G1945" s="328"/>
      <c r="H1945" s="160" t="s">
        <v>1236</v>
      </c>
      <c r="I1945" s="324" t="s">
        <v>21</v>
      </c>
    </row>
    <row r="1946" spans="1:9" ht="11.1" customHeight="1" outlineLevel="1">
      <c r="A1946" s="325" t="s">
        <v>1302</v>
      </c>
      <c r="B1946" s="325" t="s">
        <v>2027</v>
      </c>
      <c r="C1946" s="325" t="s">
        <v>2028</v>
      </c>
      <c r="D1946" s="325" t="s">
        <v>20</v>
      </c>
      <c r="E1946" s="326">
        <v>20</v>
      </c>
      <c r="F1946" s="327">
        <v>4196.3100000000004</v>
      </c>
      <c r="G1946" s="328"/>
      <c r="H1946" s="328" t="s">
        <v>1147</v>
      </c>
      <c r="I1946" s="324" t="s">
        <v>21</v>
      </c>
    </row>
    <row r="1947" spans="1:9" ht="11.1" customHeight="1" outlineLevel="1">
      <c r="A1947" s="325" t="s">
        <v>1067</v>
      </c>
      <c r="B1947" s="325" t="s">
        <v>3685</v>
      </c>
      <c r="C1947" s="325" t="s">
        <v>3686</v>
      </c>
      <c r="D1947" s="325" t="s">
        <v>14</v>
      </c>
      <c r="E1947" s="326">
        <v>25</v>
      </c>
      <c r="F1947" s="327">
        <v>4560</v>
      </c>
      <c r="G1947" s="328"/>
      <c r="H1947" s="160" t="s">
        <v>720</v>
      </c>
      <c r="I1947" s="324" t="s">
        <v>21</v>
      </c>
    </row>
    <row r="1948" spans="1:9" ht="11.1" customHeight="1" outlineLevel="1">
      <c r="A1948" s="325" t="s">
        <v>1302</v>
      </c>
      <c r="B1948" s="325" t="s">
        <v>1481</v>
      </c>
      <c r="C1948" s="325" t="s">
        <v>1482</v>
      </c>
      <c r="D1948" s="325" t="s">
        <v>20</v>
      </c>
      <c r="E1948" s="326">
        <v>1</v>
      </c>
      <c r="F1948" s="331">
        <v>109.51</v>
      </c>
      <c r="G1948" s="328"/>
      <c r="H1948" s="328" t="s">
        <v>1086</v>
      </c>
      <c r="I1948" s="324" t="s">
        <v>21</v>
      </c>
    </row>
    <row r="1949" spans="1:9" ht="11.1" customHeight="1" outlineLevel="1">
      <c r="A1949" s="325" t="s">
        <v>1067</v>
      </c>
      <c r="B1949" s="325" t="s">
        <v>1481</v>
      </c>
      <c r="C1949" s="325" t="s">
        <v>1482</v>
      </c>
      <c r="D1949" s="325" t="s">
        <v>20</v>
      </c>
      <c r="E1949" s="326">
        <v>3</v>
      </c>
      <c r="F1949" s="331">
        <v>359.9</v>
      </c>
      <c r="G1949" s="328"/>
      <c r="H1949" s="328" t="s">
        <v>1086</v>
      </c>
      <c r="I1949" s="324" t="s">
        <v>21</v>
      </c>
    </row>
    <row r="1950" spans="1:9" ht="11.1" customHeight="1" outlineLevel="1">
      <c r="A1950" s="325" t="s">
        <v>1302</v>
      </c>
      <c r="B1950" s="325" t="s">
        <v>3687</v>
      </c>
      <c r="C1950" s="325" t="s">
        <v>3688</v>
      </c>
      <c r="D1950" s="325" t="s">
        <v>20</v>
      </c>
      <c r="E1950" s="326">
        <v>4</v>
      </c>
      <c r="F1950" s="331">
        <v>271.11</v>
      </c>
      <c r="G1950" s="328"/>
      <c r="H1950" s="328" t="s">
        <v>1086</v>
      </c>
      <c r="I1950" s="324" t="s">
        <v>21</v>
      </c>
    </row>
    <row r="1951" spans="1:9" ht="11.1" customHeight="1" outlineLevel="1">
      <c r="A1951" s="325" t="s">
        <v>1067</v>
      </c>
      <c r="B1951" s="325" t="s">
        <v>3687</v>
      </c>
      <c r="C1951" s="325" t="s">
        <v>3688</v>
      </c>
      <c r="D1951" s="325" t="s">
        <v>20</v>
      </c>
      <c r="E1951" s="326">
        <v>1</v>
      </c>
      <c r="F1951" s="331">
        <v>66.260000000000005</v>
      </c>
      <c r="G1951" s="328"/>
      <c r="H1951" s="328" t="s">
        <v>1086</v>
      </c>
      <c r="I1951" s="324" t="s">
        <v>21</v>
      </c>
    </row>
    <row r="1952" spans="1:9" ht="11.1" customHeight="1" outlineLevel="1">
      <c r="A1952" s="325" t="s">
        <v>1302</v>
      </c>
      <c r="B1952" s="325" t="s">
        <v>3689</v>
      </c>
      <c r="C1952" s="325" t="s">
        <v>3690</v>
      </c>
      <c r="D1952" s="325" t="s">
        <v>20</v>
      </c>
      <c r="E1952" s="326">
        <v>1</v>
      </c>
      <c r="F1952" s="331">
        <v>114.2</v>
      </c>
      <c r="G1952" s="328"/>
      <c r="H1952" s="328" t="s">
        <v>1147</v>
      </c>
      <c r="I1952" s="324" t="s">
        <v>21</v>
      </c>
    </row>
    <row r="1953" spans="1:9" ht="11.1" customHeight="1" outlineLevel="1">
      <c r="A1953" s="325" t="s">
        <v>1067</v>
      </c>
      <c r="B1953" s="325" t="s">
        <v>3689</v>
      </c>
      <c r="C1953" s="325" t="s">
        <v>3690</v>
      </c>
      <c r="D1953" s="325" t="s">
        <v>20</v>
      </c>
      <c r="E1953" s="326">
        <v>1</v>
      </c>
      <c r="F1953" s="331">
        <v>114.2</v>
      </c>
      <c r="G1953" s="328"/>
      <c r="H1953" s="328" t="s">
        <v>1147</v>
      </c>
      <c r="I1953" s="324" t="s">
        <v>21</v>
      </c>
    </row>
    <row r="1954" spans="1:9" ht="11.1" customHeight="1" outlineLevel="1">
      <c r="A1954" s="325" t="s">
        <v>1302</v>
      </c>
      <c r="B1954" s="325" t="s">
        <v>2140</v>
      </c>
      <c r="C1954" s="325" t="s">
        <v>2141</v>
      </c>
      <c r="D1954" s="325" t="s">
        <v>1300</v>
      </c>
      <c r="E1954" s="326">
        <v>2</v>
      </c>
      <c r="F1954" s="331">
        <v>195</v>
      </c>
      <c r="G1954" s="328"/>
      <c r="H1954" s="328" t="s">
        <v>1147</v>
      </c>
      <c r="I1954" s="324" t="s">
        <v>21</v>
      </c>
    </row>
    <row r="1955" spans="1:9" ht="11.1" customHeight="1" outlineLevel="1">
      <c r="A1955" s="325" t="s">
        <v>1302</v>
      </c>
      <c r="B1955" s="325" t="s">
        <v>2146</v>
      </c>
      <c r="C1955" s="325" t="s">
        <v>2147</v>
      </c>
      <c r="D1955" s="325" t="s">
        <v>20</v>
      </c>
      <c r="E1955" s="326">
        <v>2</v>
      </c>
      <c r="F1955" s="331">
        <v>247.31</v>
      </c>
      <c r="G1955" s="328"/>
      <c r="H1955" s="328" t="s">
        <v>1147</v>
      </c>
      <c r="I1955" s="324" t="s">
        <v>21</v>
      </c>
    </row>
    <row r="1956" spans="1:9" ht="11.1" customHeight="1" outlineLevel="1">
      <c r="A1956" s="325" t="s">
        <v>1302</v>
      </c>
      <c r="B1956" s="325" t="s">
        <v>3691</v>
      </c>
      <c r="C1956" s="325" t="s">
        <v>3692</v>
      </c>
      <c r="D1956" s="325" t="s">
        <v>20</v>
      </c>
      <c r="E1956" s="326">
        <v>2</v>
      </c>
      <c r="F1956" s="331">
        <v>173.33</v>
      </c>
      <c r="G1956" s="328"/>
      <c r="H1956" s="328" t="s">
        <v>1147</v>
      </c>
      <c r="I1956" s="324" t="s">
        <v>21</v>
      </c>
    </row>
    <row r="1957" spans="1:9" ht="11.1" customHeight="1" outlineLevel="1">
      <c r="A1957" s="325" t="s">
        <v>1302</v>
      </c>
      <c r="B1957" s="325" t="s">
        <v>2148</v>
      </c>
      <c r="C1957" s="325" t="s">
        <v>2149</v>
      </c>
      <c r="D1957" s="325" t="s">
        <v>20</v>
      </c>
      <c r="E1957" s="326">
        <v>6</v>
      </c>
      <c r="F1957" s="331">
        <v>639.33000000000004</v>
      </c>
      <c r="G1957" s="328"/>
      <c r="H1957" s="328" t="s">
        <v>1147</v>
      </c>
      <c r="I1957" s="324" t="s">
        <v>21</v>
      </c>
    </row>
    <row r="1958" spans="1:9" ht="11.1" customHeight="1" outlineLevel="1">
      <c r="A1958" s="325" t="s">
        <v>1302</v>
      </c>
      <c r="B1958" s="325" t="s">
        <v>3693</v>
      </c>
      <c r="C1958" s="325" t="s">
        <v>3694</v>
      </c>
      <c r="D1958" s="325" t="s">
        <v>20</v>
      </c>
      <c r="E1958" s="326">
        <v>1</v>
      </c>
      <c r="F1958" s="331">
        <v>125.83</v>
      </c>
      <c r="G1958" s="328"/>
      <c r="H1958" s="328" t="s">
        <v>1147</v>
      </c>
      <c r="I1958" s="324" t="s">
        <v>21</v>
      </c>
    </row>
    <row r="1959" spans="1:9" ht="11.1" customHeight="1" outlineLevel="1">
      <c r="A1959" s="325" t="s">
        <v>1302</v>
      </c>
      <c r="B1959" s="325" t="s">
        <v>3695</v>
      </c>
      <c r="C1959" s="325" t="s">
        <v>3696</v>
      </c>
      <c r="D1959" s="325" t="s">
        <v>20</v>
      </c>
      <c r="E1959" s="326">
        <v>1</v>
      </c>
      <c r="F1959" s="331">
        <v>171</v>
      </c>
      <c r="G1959" s="328"/>
      <c r="H1959" s="328" t="s">
        <v>1147</v>
      </c>
      <c r="I1959" s="324" t="s">
        <v>21</v>
      </c>
    </row>
    <row r="1960" spans="1:9" ht="11.1" customHeight="1" outlineLevel="1">
      <c r="A1960" s="325" t="s">
        <v>1302</v>
      </c>
      <c r="B1960" s="325" t="s">
        <v>3697</v>
      </c>
      <c r="C1960" s="325" t="s">
        <v>3698</v>
      </c>
      <c r="D1960" s="325" t="s">
        <v>20</v>
      </c>
      <c r="E1960" s="326">
        <v>2</v>
      </c>
      <c r="F1960" s="331">
        <v>78.03</v>
      </c>
      <c r="G1960" s="328"/>
      <c r="H1960" s="328" t="s">
        <v>1147</v>
      </c>
      <c r="I1960" s="324" t="s">
        <v>21</v>
      </c>
    </row>
    <row r="1961" spans="1:9" ht="11.1" customHeight="1" outlineLevel="1">
      <c r="A1961" s="325" t="s">
        <v>1067</v>
      </c>
      <c r="B1961" s="325" t="s">
        <v>3699</v>
      </c>
      <c r="C1961" s="325" t="s">
        <v>3700</v>
      </c>
      <c r="D1961" s="325" t="s">
        <v>20</v>
      </c>
      <c r="E1961" s="326">
        <v>1</v>
      </c>
      <c r="F1961" s="331">
        <v>554</v>
      </c>
      <c r="G1961" s="328"/>
      <c r="H1961" s="328" t="s">
        <v>1147</v>
      </c>
      <c r="I1961" s="324" t="s">
        <v>21</v>
      </c>
    </row>
    <row r="1962" spans="1:9" ht="11.1" customHeight="1" outlineLevel="1">
      <c r="A1962" s="325" t="s">
        <v>1302</v>
      </c>
      <c r="B1962" s="325" t="s">
        <v>3699</v>
      </c>
      <c r="C1962" s="325" t="s">
        <v>3700</v>
      </c>
      <c r="D1962" s="325" t="s">
        <v>20</v>
      </c>
      <c r="E1962" s="326">
        <v>4</v>
      </c>
      <c r="F1962" s="327">
        <v>2315.44</v>
      </c>
      <c r="G1962" s="328"/>
      <c r="H1962" s="328" t="s">
        <v>1147</v>
      </c>
      <c r="I1962" s="324" t="s">
        <v>21</v>
      </c>
    </row>
    <row r="1963" spans="1:9" ht="11.1" customHeight="1" outlineLevel="1">
      <c r="A1963" s="325" t="s">
        <v>1067</v>
      </c>
      <c r="B1963" s="325" t="s">
        <v>3701</v>
      </c>
      <c r="C1963" s="325" t="s">
        <v>3702</v>
      </c>
      <c r="D1963" s="325" t="s">
        <v>20</v>
      </c>
      <c r="E1963" s="326">
        <v>1</v>
      </c>
      <c r="F1963" s="331">
        <v>554</v>
      </c>
      <c r="G1963" s="328"/>
      <c r="H1963" s="328" t="s">
        <v>1147</v>
      </c>
      <c r="I1963" s="324" t="s">
        <v>21</v>
      </c>
    </row>
    <row r="1964" spans="1:9" ht="11.1" customHeight="1" outlineLevel="1">
      <c r="A1964" s="325" t="s">
        <v>1302</v>
      </c>
      <c r="B1964" s="325" t="s">
        <v>3701</v>
      </c>
      <c r="C1964" s="325" t="s">
        <v>3702</v>
      </c>
      <c r="D1964" s="325" t="s">
        <v>20</v>
      </c>
      <c r="E1964" s="326">
        <v>12</v>
      </c>
      <c r="F1964" s="327">
        <v>5516.11</v>
      </c>
      <c r="G1964" s="328"/>
      <c r="H1964" s="328" t="s">
        <v>1147</v>
      </c>
      <c r="I1964" s="324" t="s">
        <v>21</v>
      </c>
    </row>
    <row r="1965" spans="1:9" ht="11.1" customHeight="1" outlineLevel="1">
      <c r="A1965" s="325" t="s">
        <v>1302</v>
      </c>
      <c r="B1965" s="325" t="s">
        <v>1146</v>
      </c>
      <c r="C1965" s="325" t="s">
        <v>730</v>
      </c>
      <c r="D1965" s="325" t="s">
        <v>20</v>
      </c>
      <c r="E1965" s="326">
        <v>2</v>
      </c>
      <c r="F1965" s="331">
        <v>439.33</v>
      </c>
      <c r="G1965" s="328"/>
      <c r="H1965" s="328" t="s">
        <v>1147</v>
      </c>
      <c r="I1965" s="324" t="s">
        <v>21</v>
      </c>
    </row>
    <row r="1966" spans="1:9" ht="11.1" customHeight="1" outlineLevel="1">
      <c r="A1966" s="325" t="s">
        <v>1067</v>
      </c>
      <c r="B1966" s="325" t="s">
        <v>1146</v>
      </c>
      <c r="C1966" s="325" t="s">
        <v>730</v>
      </c>
      <c r="D1966" s="325" t="s">
        <v>20</v>
      </c>
      <c r="E1966" s="326">
        <v>2</v>
      </c>
      <c r="F1966" s="331">
        <v>208</v>
      </c>
      <c r="G1966" s="328"/>
      <c r="H1966" s="328" t="s">
        <v>1147</v>
      </c>
      <c r="I1966" s="324" t="s">
        <v>21</v>
      </c>
    </row>
    <row r="1967" spans="1:9" ht="11.1" customHeight="1" outlineLevel="1">
      <c r="A1967" s="325" t="s">
        <v>1302</v>
      </c>
      <c r="B1967" s="325" t="s">
        <v>3703</v>
      </c>
      <c r="C1967" s="325" t="s">
        <v>3704</v>
      </c>
      <c r="D1967" s="325" t="s">
        <v>20</v>
      </c>
      <c r="E1967" s="326">
        <v>1</v>
      </c>
      <c r="F1967" s="331">
        <v>86.04</v>
      </c>
      <c r="G1967" s="328"/>
      <c r="H1967" s="328" t="s">
        <v>1147</v>
      </c>
      <c r="I1967" s="324" t="s">
        <v>21</v>
      </c>
    </row>
    <row r="1968" spans="1:9" ht="11.1" customHeight="1" outlineLevel="1">
      <c r="A1968" s="325" t="s">
        <v>1302</v>
      </c>
      <c r="B1968" s="325" t="s">
        <v>3705</v>
      </c>
      <c r="C1968" s="325" t="s">
        <v>3706</v>
      </c>
      <c r="D1968" s="325" t="s">
        <v>20</v>
      </c>
      <c r="E1968" s="326">
        <v>3</v>
      </c>
      <c r="F1968" s="331">
        <v>229.2</v>
      </c>
      <c r="G1968" s="328"/>
      <c r="H1968" s="328" t="s">
        <v>1147</v>
      </c>
      <c r="I1968" s="324" t="s">
        <v>21</v>
      </c>
    </row>
    <row r="1969" spans="1:9" ht="11.1" customHeight="1" outlineLevel="1">
      <c r="A1969" s="325" t="s">
        <v>1302</v>
      </c>
      <c r="B1969" s="325" t="s">
        <v>3707</v>
      </c>
      <c r="C1969" s="325" t="s">
        <v>3708</v>
      </c>
      <c r="D1969" s="325" t="s">
        <v>20</v>
      </c>
      <c r="E1969" s="326">
        <v>1</v>
      </c>
      <c r="F1969" s="331">
        <v>146.25</v>
      </c>
      <c r="G1969" s="328"/>
      <c r="H1969" s="328" t="s">
        <v>1147</v>
      </c>
      <c r="I1969" s="324" t="s">
        <v>21</v>
      </c>
    </row>
    <row r="1970" spans="1:9" ht="11.1" customHeight="1" outlineLevel="1">
      <c r="A1970" s="325" t="s">
        <v>1302</v>
      </c>
      <c r="B1970" s="325" t="s">
        <v>1242</v>
      </c>
      <c r="C1970" s="325" t="s">
        <v>1243</v>
      </c>
      <c r="D1970" s="325" t="s">
        <v>20</v>
      </c>
      <c r="E1970" s="326">
        <v>7</v>
      </c>
      <c r="F1970" s="327">
        <v>1188.23</v>
      </c>
      <c r="G1970" s="328"/>
      <c r="H1970" s="328" t="s">
        <v>1147</v>
      </c>
      <c r="I1970" s="324" t="s">
        <v>21</v>
      </c>
    </row>
    <row r="1971" spans="1:9" ht="11.1" customHeight="1" outlineLevel="1">
      <c r="A1971" s="325" t="s">
        <v>1302</v>
      </c>
      <c r="B1971" s="325" t="s">
        <v>3709</v>
      </c>
      <c r="C1971" s="325" t="s">
        <v>3710</v>
      </c>
      <c r="D1971" s="325" t="s">
        <v>20</v>
      </c>
      <c r="E1971" s="326">
        <v>7</v>
      </c>
      <c r="F1971" s="327">
        <v>3968.74</v>
      </c>
      <c r="G1971" s="328"/>
      <c r="H1971" s="328" t="s">
        <v>1147</v>
      </c>
      <c r="I1971" s="324" t="s">
        <v>21</v>
      </c>
    </row>
    <row r="1972" spans="1:9" ht="11.1" customHeight="1" outlineLevel="1">
      <c r="A1972" s="325" t="s">
        <v>1302</v>
      </c>
      <c r="B1972" s="325" t="s">
        <v>3711</v>
      </c>
      <c r="C1972" s="325" t="s">
        <v>3712</v>
      </c>
      <c r="D1972" s="325" t="s">
        <v>20</v>
      </c>
      <c r="E1972" s="326">
        <v>1</v>
      </c>
      <c r="F1972" s="331">
        <v>641.66999999999996</v>
      </c>
      <c r="G1972" s="328"/>
      <c r="H1972" s="328" t="s">
        <v>1147</v>
      </c>
      <c r="I1972" s="324" t="s">
        <v>21</v>
      </c>
    </row>
    <row r="1973" spans="1:9" ht="11.1" customHeight="1" outlineLevel="1">
      <c r="A1973" s="325" t="s">
        <v>1067</v>
      </c>
      <c r="B1973" s="325" t="s">
        <v>3713</v>
      </c>
      <c r="C1973" s="325" t="s">
        <v>3714</v>
      </c>
      <c r="D1973" s="325" t="s">
        <v>20</v>
      </c>
      <c r="E1973" s="326">
        <v>1</v>
      </c>
      <c r="F1973" s="331">
        <v>602</v>
      </c>
      <c r="G1973" s="328"/>
      <c r="H1973" s="328" t="s">
        <v>1147</v>
      </c>
      <c r="I1973" s="324" t="s">
        <v>21</v>
      </c>
    </row>
    <row r="1974" spans="1:9" ht="11.1" customHeight="1" outlineLevel="1">
      <c r="A1974" s="325" t="s">
        <v>1302</v>
      </c>
      <c r="B1974" s="325" t="s">
        <v>3715</v>
      </c>
      <c r="C1974" s="325" t="s">
        <v>3716</v>
      </c>
      <c r="D1974" s="325" t="s">
        <v>20</v>
      </c>
      <c r="E1974" s="326">
        <v>17</v>
      </c>
      <c r="F1974" s="331">
        <v>393.21</v>
      </c>
      <c r="G1974" s="328"/>
      <c r="H1974" s="328" t="s">
        <v>1147</v>
      </c>
      <c r="I1974" s="324" t="s">
        <v>21</v>
      </c>
    </row>
    <row r="1975" spans="1:9" ht="11.1" customHeight="1" outlineLevel="1">
      <c r="A1975" s="325" t="s">
        <v>1302</v>
      </c>
      <c r="B1975" s="325" t="s">
        <v>3717</v>
      </c>
      <c r="C1975" s="325" t="s">
        <v>3718</v>
      </c>
      <c r="D1975" s="325" t="s">
        <v>20</v>
      </c>
      <c r="E1975" s="326">
        <v>14</v>
      </c>
      <c r="F1975" s="331">
        <v>331.94</v>
      </c>
      <c r="G1975" s="328"/>
      <c r="H1975" s="328" t="s">
        <v>1147</v>
      </c>
      <c r="I1975" s="324" t="s">
        <v>21</v>
      </c>
    </row>
    <row r="1976" spans="1:9" ht="11.1" customHeight="1" outlineLevel="1">
      <c r="A1976" s="325" t="s">
        <v>1067</v>
      </c>
      <c r="B1976" s="325" t="s">
        <v>3717</v>
      </c>
      <c r="C1976" s="325" t="s">
        <v>3718</v>
      </c>
      <c r="D1976" s="325" t="s">
        <v>20</v>
      </c>
      <c r="E1976" s="326">
        <v>4</v>
      </c>
      <c r="F1976" s="331">
        <v>606.70000000000005</v>
      </c>
      <c r="G1976" s="328"/>
      <c r="H1976" s="328" t="s">
        <v>1147</v>
      </c>
      <c r="I1976" s="324" t="s">
        <v>21</v>
      </c>
    </row>
    <row r="1977" spans="1:9" ht="11.1" customHeight="1" outlineLevel="1">
      <c r="A1977" s="325" t="s">
        <v>1302</v>
      </c>
      <c r="B1977" s="325" t="s">
        <v>3719</v>
      </c>
      <c r="C1977" s="325" t="s">
        <v>3720</v>
      </c>
      <c r="D1977" s="325" t="s">
        <v>20</v>
      </c>
      <c r="E1977" s="326">
        <v>1</v>
      </c>
      <c r="F1977" s="331">
        <v>15</v>
      </c>
      <c r="G1977" s="328"/>
      <c r="H1977" s="328" t="s">
        <v>1147</v>
      </c>
      <c r="I1977" s="324" t="s">
        <v>21</v>
      </c>
    </row>
    <row r="1978" spans="1:9" ht="11.1" customHeight="1" outlineLevel="1">
      <c r="A1978" s="325" t="s">
        <v>1067</v>
      </c>
      <c r="B1978" s="325" t="s">
        <v>3719</v>
      </c>
      <c r="C1978" s="325" t="s">
        <v>3720</v>
      </c>
      <c r="D1978" s="325" t="s">
        <v>20</v>
      </c>
      <c r="E1978" s="326">
        <v>1</v>
      </c>
      <c r="F1978" s="331">
        <v>30</v>
      </c>
      <c r="G1978" s="328"/>
      <c r="H1978" s="328" t="s">
        <v>1147</v>
      </c>
      <c r="I1978" s="324" t="s">
        <v>21</v>
      </c>
    </row>
    <row r="1979" spans="1:9" ht="11.1" customHeight="1" outlineLevel="1">
      <c r="A1979" s="325" t="s">
        <v>1302</v>
      </c>
      <c r="B1979" s="325" t="s">
        <v>3721</v>
      </c>
      <c r="C1979" s="325" t="s">
        <v>3722</v>
      </c>
      <c r="D1979" s="325" t="s">
        <v>20</v>
      </c>
      <c r="E1979" s="326">
        <v>1</v>
      </c>
      <c r="F1979" s="331">
        <v>741</v>
      </c>
      <c r="G1979" s="328"/>
      <c r="H1979" s="328" t="s">
        <v>1147</v>
      </c>
      <c r="I1979" s="324" t="s">
        <v>21</v>
      </c>
    </row>
    <row r="1980" spans="1:9" ht="11.1" customHeight="1" outlineLevel="1">
      <c r="A1980" s="325" t="s">
        <v>1067</v>
      </c>
      <c r="B1980" s="325" t="s">
        <v>3723</v>
      </c>
      <c r="C1980" s="325" t="s">
        <v>3724</v>
      </c>
      <c r="D1980" s="325" t="s">
        <v>20</v>
      </c>
      <c r="E1980" s="326">
        <v>1</v>
      </c>
      <c r="F1980" s="331">
        <v>602</v>
      </c>
      <c r="G1980" s="328"/>
      <c r="H1980" s="328" t="s">
        <v>1147</v>
      </c>
      <c r="I1980" s="324" t="s">
        <v>21</v>
      </c>
    </row>
    <row r="1981" spans="1:9" ht="11.1" customHeight="1" outlineLevel="1">
      <c r="A1981" s="325" t="s">
        <v>1302</v>
      </c>
      <c r="B1981" s="325" t="s">
        <v>3725</v>
      </c>
      <c r="C1981" s="325" t="s">
        <v>3726</v>
      </c>
      <c r="D1981" s="325" t="s">
        <v>20</v>
      </c>
      <c r="E1981" s="326">
        <v>28</v>
      </c>
      <c r="F1981" s="327">
        <v>4386.76</v>
      </c>
      <c r="G1981" s="328"/>
      <c r="H1981" s="328" t="s">
        <v>1147</v>
      </c>
      <c r="I1981" s="324" t="s">
        <v>21</v>
      </c>
    </row>
    <row r="1982" spans="1:9" ht="11.1" customHeight="1" outlineLevel="1">
      <c r="A1982" s="325" t="s">
        <v>1067</v>
      </c>
      <c r="B1982" s="325" t="s">
        <v>3727</v>
      </c>
      <c r="C1982" s="325" t="s">
        <v>3728</v>
      </c>
      <c r="D1982" s="325" t="s">
        <v>1305</v>
      </c>
      <c r="E1982" s="326">
        <v>4</v>
      </c>
      <c r="F1982" s="331">
        <v>288</v>
      </c>
      <c r="G1982" s="328"/>
      <c r="H1982" s="328" t="s">
        <v>1147</v>
      </c>
      <c r="I1982" s="324" t="s">
        <v>21</v>
      </c>
    </row>
    <row r="1983" spans="1:9" ht="11.1" customHeight="1" outlineLevel="1">
      <c r="A1983" s="325" t="s">
        <v>1067</v>
      </c>
      <c r="B1983" s="325" t="s">
        <v>3729</v>
      </c>
      <c r="C1983" s="325" t="s">
        <v>3730</v>
      </c>
      <c r="D1983" s="325" t="s">
        <v>1305</v>
      </c>
      <c r="E1983" s="326">
        <v>2</v>
      </c>
      <c r="F1983" s="331">
        <v>178</v>
      </c>
      <c r="G1983" s="328"/>
      <c r="H1983" s="328" t="s">
        <v>1147</v>
      </c>
      <c r="I1983" s="324" t="s">
        <v>21</v>
      </c>
    </row>
    <row r="1984" spans="1:9" ht="11.1" customHeight="1" outlineLevel="1">
      <c r="A1984" s="325" t="s">
        <v>1067</v>
      </c>
      <c r="B1984" s="325" t="s">
        <v>3731</v>
      </c>
      <c r="C1984" s="325" t="s">
        <v>3732</v>
      </c>
      <c r="D1984" s="325" t="s">
        <v>1305</v>
      </c>
      <c r="E1984" s="326">
        <v>2</v>
      </c>
      <c r="F1984" s="331">
        <v>374</v>
      </c>
      <c r="G1984" s="328"/>
      <c r="H1984" s="328" t="s">
        <v>1147</v>
      </c>
      <c r="I1984" s="324" t="s">
        <v>21</v>
      </c>
    </row>
    <row r="1985" spans="1:9" ht="11.1" customHeight="1" outlineLevel="1">
      <c r="A1985" s="325" t="s">
        <v>1302</v>
      </c>
      <c r="B1985" s="325" t="s">
        <v>3733</v>
      </c>
      <c r="C1985" s="325" t="s">
        <v>3734</v>
      </c>
      <c r="D1985" s="325" t="s">
        <v>1305</v>
      </c>
      <c r="E1985" s="326">
        <v>2</v>
      </c>
      <c r="F1985" s="331">
        <v>346</v>
      </c>
      <c r="G1985" s="328"/>
      <c r="H1985" s="328" t="s">
        <v>1147</v>
      </c>
      <c r="I1985" s="324" t="s">
        <v>21</v>
      </c>
    </row>
    <row r="1986" spans="1:9" ht="11.1" customHeight="1" outlineLevel="1">
      <c r="A1986" s="325" t="s">
        <v>1067</v>
      </c>
      <c r="B1986" s="325" t="s">
        <v>3735</v>
      </c>
      <c r="C1986" s="325" t="s">
        <v>3736</v>
      </c>
      <c r="D1986" s="325" t="s">
        <v>20</v>
      </c>
      <c r="E1986" s="326">
        <v>1</v>
      </c>
      <c r="F1986" s="331">
        <v>546</v>
      </c>
      <c r="G1986" s="328"/>
      <c r="H1986" s="328" t="s">
        <v>1147</v>
      </c>
      <c r="I1986" s="324" t="s">
        <v>21</v>
      </c>
    </row>
    <row r="1987" spans="1:9" ht="11.1" customHeight="1" outlineLevel="1">
      <c r="A1987" s="325" t="s">
        <v>1067</v>
      </c>
      <c r="B1987" s="325" t="s">
        <v>3737</v>
      </c>
      <c r="C1987" s="325" t="s">
        <v>3738</v>
      </c>
      <c r="D1987" s="325" t="s">
        <v>295</v>
      </c>
      <c r="E1987" s="326">
        <v>5</v>
      </c>
      <c r="F1987" s="331">
        <v>170</v>
      </c>
      <c r="G1987" s="328"/>
      <c r="H1987" s="328" t="s">
        <v>1147</v>
      </c>
      <c r="I1987" s="324" t="s">
        <v>21</v>
      </c>
    </row>
    <row r="1988" spans="1:9" ht="11.1" customHeight="1" outlineLevel="1">
      <c r="A1988" s="325" t="s">
        <v>1302</v>
      </c>
      <c r="B1988" s="325" t="s">
        <v>3739</v>
      </c>
      <c r="C1988" s="325" t="s">
        <v>3740</v>
      </c>
      <c r="D1988" s="325" t="s">
        <v>20</v>
      </c>
      <c r="E1988" s="326">
        <v>1</v>
      </c>
      <c r="F1988" s="331">
        <v>241.33</v>
      </c>
      <c r="G1988" s="328"/>
      <c r="H1988" s="328" t="s">
        <v>1147</v>
      </c>
      <c r="I1988" s="324" t="s">
        <v>21</v>
      </c>
    </row>
    <row r="1989" spans="1:9" ht="11.1" customHeight="1" outlineLevel="1">
      <c r="A1989" s="325" t="s">
        <v>1302</v>
      </c>
      <c r="B1989" s="325" t="s">
        <v>3741</v>
      </c>
      <c r="C1989" s="325" t="s">
        <v>3742</v>
      </c>
      <c r="D1989" s="325" t="s">
        <v>20</v>
      </c>
      <c r="E1989" s="326">
        <v>1</v>
      </c>
      <c r="F1989" s="331">
        <v>62.5</v>
      </c>
      <c r="G1989" s="328"/>
      <c r="H1989" s="328" t="s">
        <v>1147</v>
      </c>
      <c r="I1989" s="324" t="s">
        <v>21</v>
      </c>
    </row>
    <row r="1990" spans="1:9" ht="11.1" customHeight="1" outlineLevel="1">
      <c r="A1990" s="325" t="s">
        <v>1302</v>
      </c>
      <c r="B1990" s="325" t="s">
        <v>1246</v>
      </c>
      <c r="C1990" s="325" t="s">
        <v>1247</v>
      </c>
      <c r="D1990" s="325" t="s">
        <v>20</v>
      </c>
      <c r="E1990" s="326">
        <v>2</v>
      </c>
      <c r="F1990" s="331">
        <v>263.5</v>
      </c>
      <c r="G1990" s="328"/>
      <c r="H1990" s="328" t="s">
        <v>1147</v>
      </c>
      <c r="I1990" s="324" t="s">
        <v>21</v>
      </c>
    </row>
    <row r="1991" spans="1:9" ht="11.1" customHeight="1" outlineLevel="1">
      <c r="A1991" s="325" t="s">
        <v>1067</v>
      </c>
      <c r="B1991" s="325" t="s">
        <v>1246</v>
      </c>
      <c r="C1991" s="325" t="s">
        <v>1247</v>
      </c>
      <c r="D1991" s="325" t="s">
        <v>20</v>
      </c>
      <c r="E1991" s="326">
        <v>3</v>
      </c>
      <c r="F1991" s="331">
        <v>590.79999999999995</v>
      </c>
      <c r="G1991" s="328"/>
      <c r="H1991" s="328" t="s">
        <v>1147</v>
      </c>
      <c r="I1991" s="324" t="s">
        <v>21</v>
      </c>
    </row>
    <row r="1992" spans="1:9" ht="11.1" customHeight="1" outlineLevel="1">
      <c r="A1992" s="325" t="s">
        <v>1302</v>
      </c>
      <c r="B1992" s="325" t="s">
        <v>3743</v>
      </c>
      <c r="C1992" s="325" t="s">
        <v>3744</v>
      </c>
      <c r="D1992" s="325" t="s">
        <v>20</v>
      </c>
      <c r="E1992" s="326">
        <v>1</v>
      </c>
      <c r="F1992" s="331">
        <v>77.48</v>
      </c>
      <c r="G1992" s="328"/>
      <c r="H1992" s="328" t="s">
        <v>1147</v>
      </c>
      <c r="I1992" s="324" t="s">
        <v>21</v>
      </c>
    </row>
    <row r="1993" spans="1:9" ht="11.1" customHeight="1" outlineLevel="1">
      <c r="A1993" s="325" t="s">
        <v>1067</v>
      </c>
      <c r="B1993" s="325" t="s">
        <v>3743</v>
      </c>
      <c r="C1993" s="325" t="s">
        <v>3744</v>
      </c>
      <c r="D1993" s="325" t="s">
        <v>20</v>
      </c>
      <c r="E1993" s="326">
        <v>13</v>
      </c>
      <c r="F1993" s="327">
        <v>1845</v>
      </c>
      <c r="G1993" s="328"/>
      <c r="H1993" s="328" t="s">
        <v>1147</v>
      </c>
      <c r="I1993" s="324" t="s">
        <v>21</v>
      </c>
    </row>
    <row r="1994" spans="1:9" ht="11.1" customHeight="1" outlineLevel="1">
      <c r="A1994" s="325" t="s">
        <v>1067</v>
      </c>
      <c r="B1994" s="325" t="s">
        <v>3745</v>
      </c>
      <c r="C1994" s="325" t="s">
        <v>3746</v>
      </c>
      <c r="D1994" s="325" t="s">
        <v>20</v>
      </c>
      <c r="E1994" s="326">
        <v>8</v>
      </c>
      <c r="F1994" s="331">
        <v>640</v>
      </c>
      <c r="G1994" s="328"/>
      <c r="H1994" s="328" t="s">
        <v>1147</v>
      </c>
      <c r="I1994" s="324" t="s">
        <v>21</v>
      </c>
    </row>
    <row r="1995" spans="1:9" ht="11.1" customHeight="1" outlineLevel="1">
      <c r="A1995" s="325" t="s">
        <v>1067</v>
      </c>
      <c r="B1995" s="325" t="s">
        <v>1536</v>
      </c>
      <c r="C1995" s="325" t="s">
        <v>1537</v>
      </c>
      <c r="D1995" s="325" t="s">
        <v>20</v>
      </c>
      <c r="E1995" s="326">
        <v>135</v>
      </c>
      <c r="F1995" s="327">
        <v>32609.58</v>
      </c>
      <c r="G1995" s="328"/>
      <c r="H1995" s="328" t="s">
        <v>1147</v>
      </c>
      <c r="I1995" s="324" t="s">
        <v>21</v>
      </c>
    </row>
    <row r="1996" spans="1:9" ht="11.1" customHeight="1" outlineLevel="1">
      <c r="A1996" s="325" t="s">
        <v>1302</v>
      </c>
      <c r="B1996" s="325" t="s">
        <v>1536</v>
      </c>
      <c r="C1996" s="325" t="s">
        <v>1537</v>
      </c>
      <c r="D1996" s="325" t="s">
        <v>20</v>
      </c>
      <c r="E1996" s="326">
        <v>6</v>
      </c>
      <c r="F1996" s="327">
        <v>1456.93</v>
      </c>
      <c r="G1996" s="328"/>
      <c r="H1996" s="328" t="s">
        <v>1147</v>
      </c>
      <c r="I1996" s="324" t="s">
        <v>21</v>
      </c>
    </row>
    <row r="1997" spans="1:9" ht="11.1" customHeight="1" outlineLevel="1">
      <c r="A1997" s="325" t="s">
        <v>1302</v>
      </c>
      <c r="B1997" s="325" t="s">
        <v>3747</v>
      </c>
      <c r="C1997" s="325" t="s">
        <v>3748</v>
      </c>
      <c r="D1997" s="325" t="s">
        <v>20</v>
      </c>
      <c r="E1997" s="326">
        <v>1</v>
      </c>
      <c r="F1997" s="331">
        <v>152.91</v>
      </c>
      <c r="G1997" s="328"/>
      <c r="H1997" s="328" t="s">
        <v>1147</v>
      </c>
      <c r="I1997" s="324" t="s">
        <v>21</v>
      </c>
    </row>
    <row r="1998" spans="1:9" ht="11.1" customHeight="1" outlineLevel="1">
      <c r="A1998" s="325" t="s">
        <v>1302</v>
      </c>
      <c r="B1998" s="325" t="s">
        <v>3232</v>
      </c>
      <c r="C1998" s="325" t="s">
        <v>3233</v>
      </c>
      <c r="D1998" s="325" t="s">
        <v>1305</v>
      </c>
      <c r="E1998" s="326">
        <v>10</v>
      </c>
      <c r="F1998" s="327">
        <v>1516</v>
      </c>
      <c r="G1998" s="328"/>
      <c r="H1998" s="328" t="s">
        <v>1147</v>
      </c>
      <c r="I1998" s="324" t="s">
        <v>21</v>
      </c>
    </row>
    <row r="1999" spans="1:9" ht="11.1" customHeight="1" outlineLevel="1">
      <c r="A1999" s="325" t="s">
        <v>1302</v>
      </c>
      <c r="B1999" s="325" t="s">
        <v>3749</v>
      </c>
      <c r="C1999" s="325" t="s">
        <v>3750</v>
      </c>
      <c r="D1999" s="325" t="s">
        <v>20</v>
      </c>
      <c r="E1999" s="326">
        <v>3</v>
      </c>
      <c r="F1999" s="331">
        <v>90</v>
      </c>
      <c r="G1999" s="328"/>
      <c r="H1999" s="328" t="s">
        <v>1147</v>
      </c>
      <c r="I1999" s="324" t="s">
        <v>21</v>
      </c>
    </row>
    <row r="2000" spans="1:9" ht="11.1" customHeight="1" outlineLevel="1">
      <c r="A2000" s="325" t="s">
        <v>1067</v>
      </c>
      <c r="B2000" s="325" t="s">
        <v>3751</v>
      </c>
      <c r="C2000" s="325" t="s">
        <v>3752</v>
      </c>
      <c r="D2000" s="325" t="s">
        <v>20</v>
      </c>
      <c r="E2000" s="326">
        <v>3</v>
      </c>
      <c r="F2000" s="331">
        <v>163</v>
      </c>
      <c r="G2000" s="328"/>
      <c r="H2000" s="328" t="s">
        <v>1147</v>
      </c>
      <c r="I2000" s="324" t="s">
        <v>21</v>
      </c>
    </row>
    <row r="2001" spans="1:9" ht="11.1" customHeight="1" outlineLevel="1">
      <c r="A2001" s="325" t="s">
        <v>1067</v>
      </c>
      <c r="B2001" s="325" t="s">
        <v>3753</v>
      </c>
      <c r="C2001" s="325" t="s">
        <v>3754</v>
      </c>
      <c r="D2001" s="325" t="s">
        <v>20</v>
      </c>
      <c r="E2001" s="326">
        <v>1</v>
      </c>
      <c r="F2001" s="331">
        <v>655.8</v>
      </c>
      <c r="G2001" s="328"/>
      <c r="H2001" s="328" t="s">
        <v>1147</v>
      </c>
      <c r="I2001" s="324" t="s">
        <v>21</v>
      </c>
    </row>
    <row r="2002" spans="1:9" ht="11.1" customHeight="1" outlineLevel="1">
      <c r="A2002" s="325" t="s">
        <v>1067</v>
      </c>
      <c r="B2002" s="325" t="s">
        <v>3755</v>
      </c>
      <c r="C2002" s="325" t="s">
        <v>3756</v>
      </c>
      <c r="D2002" s="325" t="s">
        <v>20</v>
      </c>
      <c r="E2002" s="326">
        <v>4</v>
      </c>
      <c r="F2002" s="327">
        <v>2114.39</v>
      </c>
      <c r="G2002" s="328"/>
      <c r="H2002" s="328" t="s">
        <v>1147</v>
      </c>
      <c r="I2002" s="324" t="s">
        <v>21</v>
      </c>
    </row>
    <row r="2003" spans="1:9" ht="11.1" customHeight="1" outlineLevel="1">
      <c r="A2003" s="325" t="s">
        <v>1067</v>
      </c>
      <c r="B2003" s="325" t="s">
        <v>3757</v>
      </c>
      <c r="C2003" s="325" t="s">
        <v>3758</v>
      </c>
      <c r="D2003" s="325" t="s">
        <v>20</v>
      </c>
      <c r="E2003" s="326">
        <v>1</v>
      </c>
      <c r="F2003" s="327">
        <v>1390.8</v>
      </c>
      <c r="G2003" s="328"/>
      <c r="H2003" s="328" t="s">
        <v>1147</v>
      </c>
      <c r="I2003" s="324" t="s">
        <v>21</v>
      </c>
    </row>
    <row r="2004" spans="1:9" ht="11.1" customHeight="1" outlineLevel="1">
      <c r="A2004" s="325" t="s">
        <v>1302</v>
      </c>
      <c r="B2004" s="325" t="s">
        <v>3757</v>
      </c>
      <c r="C2004" s="325" t="s">
        <v>3758</v>
      </c>
      <c r="D2004" s="325" t="s">
        <v>20</v>
      </c>
      <c r="E2004" s="326">
        <v>1</v>
      </c>
      <c r="F2004" s="331">
        <v>744.15</v>
      </c>
      <c r="G2004" s="328"/>
      <c r="H2004" s="328" t="s">
        <v>1147</v>
      </c>
      <c r="I2004" s="324" t="s">
        <v>21</v>
      </c>
    </row>
    <row r="2005" spans="1:9" ht="11.1" customHeight="1" outlineLevel="1">
      <c r="A2005" s="325" t="s">
        <v>1302</v>
      </c>
      <c r="B2005" s="325" t="s">
        <v>3759</v>
      </c>
      <c r="C2005" s="325" t="s">
        <v>3760</v>
      </c>
      <c r="D2005" s="325" t="s">
        <v>1305</v>
      </c>
      <c r="E2005" s="326">
        <v>1</v>
      </c>
      <c r="F2005" s="331">
        <v>51</v>
      </c>
      <c r="G2005" s="328"/>
      <c r="H2005" s="328" t="s">
        <v>1147</v>
      </c>
      <c r="I2005" s="324" t="s">
        <v>21</v>
      </c>
    </row>
    <row r="2006" spans="1:9" ht="11.1" customHeight="1" outlineLevel="1">
      <c r="A2006" s="325" t="s">
        <v>1302</v>
      </c>
      <c r="B2006" s="325" t="s">
        <v>3761</v>
      </c>
      <c r="C2006" s="325" t="s">
        <v>3762</v>
      </c>
      <c r="D2006" s="325" t="s">
        <v>20</v>
      </c>
      <c r="E2006" s="326">
        <v>2</v>
      </c>
      <c r="F2006" s="331">
        <v>330</v>
      </c>
      <c r="G2006" s="328"/>
      <c r="H2006" s="328" t="s">
        <v>1147</v>
      </c>
      <c r="I2006" s="324" t="s">
        <v>21</v>
      </c>
    </row>
    <row r="2007" spans="1:9" ht="11.1" customHeight="1" outlineLevel="1">
      <c r="A2007" s="325" t="s">
        <v>1302</v>
      </c>
      <c r="B2007" s="325" t="s">
        <v>3763</v>
      </c>
      <c r="C2007" s="325" t="s">
        <v>3764</v>
      </c>
      <c r="D2007" s="325" t="s">
        <v>20</v>
      </c>
      <c r="E2007" s="326">
        <v>7</v>
      </c>
      <c r="F2007" s="331">
        <v>729.4</v>
      </c>
      <c r="G2007" s="328"/>
      <c r="H2007" s="328" t="s">
        <v>1147</v>
      </c>
      <c r="I2007" s="324" t="s">
        <v>21</v>
      </c>
    </row>
    <row r="2008" spans="1:9" ht="11.1" customHeight="1" outlineLevel="1">
      <c r="A2008" s="325" t="s">
        <v>1067</v>
      </c>
      <c r="B2008" s="325" t="s">
        <v>3765</v>
      </c>
      <c r="C2008" s="325" t="s">
        <v>3766</v>
      </c>
      <c r="D2008" s="325" t="s">
        <v>20</v>
      </c>
      <c r="E2008" s="326">
        <v>5</v>
      </c>
      <c r="F2008" s="331">
        <v>965</v>
      </c>
      <c r="G2008" s="328"/>
      <c r="H2008" s="328" t="s">
        <v>1147</v>
      </c>
      <c r="I2008" s="324" t="s">
        <v>21</v>
      </c>
    </row>
    <row r="2009" spans="1:9" ht="11.1" customHeight="1" outlineLevel="1">
      <c r="A2009" s="325" t="s">
        <v>1302</v>
      </c>
      <c r="B2009" s="325" t="s">
        <v>3765</v>
      </c>
      <c r="C2009" s="325" t="s">
        <v>3766</v>
      </c>
      <c r="D2009" s="325" t="s">
        <v>20</v>
      </c>
      <c r="E2009" s="326">
        <v>3</v>
      </c>
      <c r="F2009" s="331">
        <v>390</v>
      </c>
      <c r="G2009" s="328"/>
      <c r="H2009" s="328" t="s">
        <v>1147</v>
      </c>
      <c r="I2009" s="324" t="s">
        <v>21</v>
      </c>
    </row>
    <row r="2010" spans="1:9" ht="11.1" customHeight="1" outlineLevel="1">
      <c r="A2010" s="325" t="s">
        <v>1302</v>
      </c>
      <c r="B2010" s="325" t="s">
        <v>3767</v>
      </c>
      <c r="C2010" s="325" t="s">
        <v>3768</v>
      </c>
      <c r="D2010" s="325" t="s">
        <v>20</v>
      </c>
      <c r="E2010" s="326">
        <v>12</v>
      </c>
      <c r="F2010" s="327">
        <v>1471.02</v>
      </c>
      <c r="G2010" s="328"/>
      <c r="H2010" s="328" t="s">
        <v>1147</v>
      </c>
      <c r="I2010" s="324" t="s">
        <v>21</v>
      </c>
    </row>
    <row r="2011" spans="1:9" ht="11.1" customHeight="1" outlineLevel="1">
      <c r="A2011" s="325" t="s">
        <v>1302</v>
      </c>
      <c r="B2011" s="325" t="s">
        <v>3769</v>
      </c>
      <c r="C2011" s="325" t="s">
        <v>3770</v>
      </c>
      <c r="D2011" s="325" t="s">
        <v>20</v>
      </c>
      <c r="E2011" s="326">
        <v>1</v>
      </c>
      <c r="F2011" s="331">
        <v>142.32</v>
      </c>
      <c r="G2011" s="328"/>
      <c r="H2011" s="328" t="s">
        <v>1147</v>
      </c>
      <c r="I2011" s="324" t="s">
        <v>21</v>
      </c>
    </row>
    <row r="2012" spans="1:9" ht="11.1" customHeight="1" outlineLevel="1">
      <c r="A2012" s="325" t="s">
        <v>1302</v>
      </c>
      <c r="B2012" s="325" t="s">
        <v>3771</v>
      </c>
      <c r="C2012" s="325" t="s">
        <v>3772</v>
      </c>
      <c r="D2012" s="325" t="s">
        <v>20</v>
      </c>
      <c r="E2012" s="326">
        <v>1</v>
      </c>
      <c r="F2012" s="331">
        <v>287.5</v>
      </c>
      <c r="G2012" s="328"/>
      <c r="H2012" s="328" t="s">
        <v>1147</v>
      </c>
      <c r="I2012" s="324" t="s">
        <v>21</v>
      </c>
    </row>
    <row r="2013" spans="1:9" ht="11.1" customHeight="1" outlineLevel="1">
      <c r="A2013" s="325" t="s">
        <v>1302</v>
      </c>
      <c r="B2013" s="325" t="s">
        <v>3773</v>
      </c>
      <c r="C2013" s="325" t="s">
        <v>3774</v>
      </c>
      <c r="D2013" s="325" t="s">
        <v>20</v>
      </c>
      <c r="E2013" s="326">
        <v>1</v>
      </c>
      <c r="F2013" s="331">
        <v>47</v>
      </c>
      <c r="G2013" s="328"/>
      <c r="H2013" s="328" t="s">
        <v>1147</v>
      </c>
      <c r="I2013" s="324" t="s">
        <v>21</v>
      </c>
    </row>
    <row r="2014" spans="1:9" ht="11.1" customHeight="1" outlineLevel="1">
      <c r="A2014" s="325" t="s">
        <v>1302</v>
      </c>
      <c r="B2014" s="325" t="s">
        <v>3775</v>
      </c>
      <c r="C2014" s="325" t="s">
        <v>3776</v>
      </c>
      <c r="D2014" s="325" t="s">
        <v>20</v>
      </c>
      <c r="E2014" s="326">
        <v>7</v>
      </c>
      <c r="F2014" s="331">
        <v>408.34</v>
      </c>
      <c r="G2014" s="328"/>
      <c r="H2014" s="328" t="s">
        <v>1147</v>
      </c>
      <c r="I2014" s="324" t="s">
        <v>21</v>
      </c>
    </row>
    <row r="2015" spans="1:9" ht="11.1" customHeight="1" outlineLevel="1">
      <c r="A2015" s="325" t="s">
        <v>1302</v>
      </c>
      <c r="B2015" s="325" t="s">
        <v>3777</v>
      </c>
      <c r="C2015" s="325" t="s">
        <v>3778</v>
      </c>
      <c r="D2015" s="325" t="s">
        <v>20</v>
      </c>
      <c r="E2015" s="326">
        <v>1</v>
      </c>
      <c r="F2015" s="327">
        <v>1063.3</v>
      </c>
      <c r="G2015" s="328"/>
      <c r="H2015" s="328" t="s">
        <v>1147</v>
      </c>
      <c r="I2015" s="324" t="s">
        <v>21</v>
      </c>
    </row>
    <row r="2016" spans="1:9" ht="11.1" customHeight="1" outlineLevel="1">
      <c r="A2016" s="325" t="s">
        <v>1302</v>
      </c>
      <c r="B2016" s="325" t="s">
        <v>3779</v>
      </c>
      <c r="C2016" s="325" t="s">
        <v>3780</v>
      </c>
      <c r="D2016" s="325" t="s">
        <v>20</v>
      </c>
      <c r="E2016" s="326">
        <v>1</v>
      </c>
      <c r="F2016" s="331">
        <v>700</v>
      </c>
      <c r="G2016" s="328"/>
      <c r="H2016" s="328" t="s">
        <v>1147</v>
      </c>
      <c r="I2016" s="324" t="s">
        <v>21</v>
      </c>
    </row>
    <row r="2017" spans="1:9" ht="11.1" customHeight="1" outlineLevel="1">
      <c r="A2017" s="325" t="s">
        <v>1302</v>
      </c>
      <c r="B2017" s="325" t="s">
        <v>3781</v>
      </c>
      <c r="C2017" s="325" t="s">
        <v>3782</v>
      </c>
      <c r="D2017" s="325" t="s">
        <v>20</v>
      </c>
      <c r="E2017" s="326">
        <v>9</v>
      </c>
      <c r="F2017" s="327">
        <v>3190.55</v>
      </c>
      <c r="G2017" s="328"/>
      <c r="H2017" s="328" t="s">
        <v>1147</v>
      </c>
      <c r="I2017" s="324" t="s">
        <v>21</v>
      </c>
    </row>
    <row r="2018" spans="1:9" ht="11.1" customHeight="1" outlineLevel="1">
      <c r="A2018" s="325" t="s">
        <v>1302</v>
      </c>
      <c r="B2018" s="325" t="s">
        <v>3783</v>
      </c>
      <c r="C2018" s="325" t="s">
        <v>3784</v>
      </c>
      <c r="D2018" s="325" t="s">
        <v>20</v>
      </c>
      <c r="E2018" s="326">
        <v>2</v>
      </c>
      <c r="F2018" s="331">
        <v>935.68</v>
      </c>
      <c r="G2018" s="328"/>
      <c r="H2018" s="328" t="s">
        <v>1147</v>
      </c>
      <c r="I2018" s="324" t="s">
        <v>21</v>
      </c>
    </row>
    <row r="2019" spans="1:9" ht="11.1" customHeight="1" outlineLevel="1">
      <c r="A2019" s="325" t="s">
        <v>1302</v>
      </c>
      <c r="B2019" s="325" t="s">
        <v>3785</v>
      </c>
      <c r="C2019" s="325" t="s">
        <v>3786</v>
      </c>
      <c r="D2019" s="325" t="s">
        <v>20</v>
      </c>
      <c r="E2019" s="326">
        <v>1</v>
      </c>
      <c r="F2019" s="331">
        <v>571.66999999999996</v>
      </c>
      <c r="G2019" s="328"/>
      <c r="H2019" s="328" t="s">
        <v>1147</v>
      </c>
      <c r="I2019" s="324" t="s">
        <v>21</v>
      </c>
    </row>
    <row r="2020" spans="1:9" ht="11.1" customHeight="1" outlineLevel="1">
      <c r="A2020" s="325" t="s">
        <v>1302</v>
      </c>
      <c r="B2020" s="325" t="s">
        <v>3787</v>
      </c>
      <c r="C2020" s="325" t="s">
        <v>3788</v>
      </c>
      <c r="D2020" s="325" t="s">
        <v>20</v>
      </c>
      <c r="E2020" s="326">
        <v>3</v>
      </c>
      <c r="F2020" s="327">
        <v>2475.3000000000002</v>
      </c>
      <c r="G2020" s="328"/>
      <c r="H2020" s="328" t="s">
        <v>1147</v>
      </c>
      <c r="I2020" s="324" t="s">
        <v>21</v>
      </c>
    </row>
    <row r="2021" spans="1:9" ht="11.1" customHeight="1" outlineLevel="1">
      <c r="A2021" s="325" t="s">
        <v>1302</v>
      </c>
      <c r="B2021" s="325" t="s">
        <v>3789</v>
      </c>
      <c r="C2021" s="325" t="s">
        <v>3790</v>
      </c>
      <c r="D2021" s="325" t="s">
        <v>20</v>
      </c>
      <c r="E2021" s="326">
        <v>2</v>
      </c>
      <c r="F2021" s="327">
        <v>1390.68</v>
      </c>
      <c r="G2021" s="328"/>
      <c r="H2021" s="328" t="s">
        <v>1147</v>
      </c>
      <c r="I2021" s="324" t="s">
        <v>21</v>
      </c>
    </row>
    <row r="2022" spans="1:9" ht="11.1" customHeight="1" outlineLevel="1">
      <c r="A2022" s="325" t="s">
        <v>1302</v>
      </c>
      <c r="B2022" s="325" t="s">
        <v>3791</v>
      </c>
      <c r="C2022" s="325" t="s">
        <v>3792</v>
      </c>
      <c r="D2022" s="325" t="s">
        <v>20</v>
      </c>
      <c r="E2022" s="326">
        <v>1</v>
      </c>
      <c r="F2022" s="331">
        <v>458.74</v>
      </c>
      <c r="G2022" s="328"/>
      <c r="H2022" s="328" t="s">
        <v>1147</v>
      </c>
      <c r="I2022" s="324" t="s">
        <v>21</v>
      </c>
    </row>
    <row r="2023" spans="1:9" ht="11.1" customHeight="1" outlineLevel="1">
      <c r="A2023" s="325" t="s">
        <v>1067</v>
      </c>
      <c r="B2023" s="325" t="s">
        <v>3793</v>
      </c>
      <c r="C2023" s="325" t="s">
        <v>3794</v>
      </c>
      <c r="D2023" s="325" t="s">
        <v>20</v>
      </c>
      <c r="E2023" s="326">
        <v>1</v>
      </c>
      <c r="F2023" s="331">
        <v>595.79999999999995</v>
      </c>
      <c r="G2023" s="328"/>
      <c r="H2023" s="328" t="s">
        <v>1147</v>
      </c>
      <c r="I2023" s="324" t="s">
        <v>21</v>
      </c>
    </row>
    <row r="2024" spans="1:9" ht="11.1" customHeight="1" outlineLevel="1">
      <c r="A2024" s="325" t="s">
        <v>1067</v>
      </c>
      <c r="B2024" s="325" t="s">
        <v>3795</v>
      </c>
      <c r="C2024" s="325" t="s">
        <v>3796</v>
      </c>
      <c r="D2024" s="325" t="s">
        <v>20</v>
      </c>
      <c r="E2024" s="326">
        <v>2</v>
      </c>
      <c r="F2024" s="327">
        <v>1415</v>
      </c>
      <c r="G2024" s="328"/>
      <c r="H2024" s="328" t="s">
        <v>1147</v>
      </c>
      <c r="I2024" s="324" t="s">
        <v>21</v>
      </c>
    </row>
    <row r="2025" spans="1:9" ht="11.1" customHeight="1" outlineLevel="1">
      <c r="A2025" s="325" t="s">
        <v>1302</v>
      </c>
      <c r="B2025" s="325" t="s">
        <v>3797</v>
      </c>
      <c r="C2025" s="325" t="s">
        <v>3798</v>
      </c>
      <c r="D2025" s="325" t="s">
        <v>20</v>
      </c>
      <c r="E2025" s="326">
        <v>13</v>
      </c>
      <c r="F2025" s="327">
        <v>7674.7</v>
      </c>
      <c r="G2025" s="328"/>
      <c r="H2025" s="328" t="s">
        <v>1147</v>
      </c>
      <c r="I2025" s="324" t="s">
        <v>21</v>
      </c>
    </row>
    <row r="2026" spans="1:9" ht="11.1" customHeight="1" outlineLevel="1">
      <c r="A2026" s="325" t="s">
        <v>1302</v>
      </c>
      <c r="B2026" s="325" t="s">
        <v>3799</v>
      </c>
      <c r="C2026" s="325" t="s">
        <v>3800</v>
      </c>
      <c r="D2026" s="325" t="s">
        <v>20</v>
      </c>
      <c r="E2026" s="326">
        <v>1</v>
      </c>
      <c r="F2026" s="331">
        <v>795</v>
      </c>
      <c r="G2026" s="328"/>
      <c r="H2026" s="328" t="s">
        <v>1147</v>
      </c>
      <c r="I2026" s="324" t="s">
        <v>21</v>
      </c>
    </row>
    <row r="2027" spans="1:9" ht="11.1" customHeight="1" outlineLevel="1">
      <c r="A2027" s="325" t="s">
        <v>1302</v>
      </c>
      <c r="B2027" s="325" t="s">
        <v>3801</v>
      </c>
      <c r="C2027" s="325" t="s">
        <v>3802</v>
      </c>
      <c r="D2027" s="325" t="s">
        <v>20</v>
      </c>
      <c r="E2027" s="326">
        <v>1</v>
      </c>
      <c r="F2027" s="331">
        <v>922</v>
      </c>
      <c r="G2027" s="328"/>
      <c r="H2027" s="328" t="s">
        <v>1147</v>
      </c>
      <c r="I2027" s="324" t="s">
        <v>21</v>
      </c>
    </row>
    <row r="2028" spans="1:9" ht="11.1" customHeight="1" outlineLevel="1">
      <c r="A2028" s="325" t="s">
        <v>1302</v>
      </c>
      <c r="B2028" s="325" t="s">
        <v>3803</v>
      </c>
      <c r="C2028" s="325" t="s">
        <v>3804</v>
      </c>
      <c r="D2028" s="325" t="s">
        <v>20</v>
      </c>
      <c r="E2028" s="326">
        <v>1</v>
      </c>
      <c r="F2028" s="327">
        <v>1111.5</v>
      </c>
      <c r="G2028" s="328"/>
      <c r="H2028" s="328" t="s">
        <v>1147</v>
      </c>
      <c r="I2028" s="324" t="s">
        <v>21</v>
      </c>
    </row>
    <row r="2029" spans="1:9" ht="11.1" customHeight="1" outlineLevel="1">
      <c r="A2029" s="325" t="s">
        <v>1067</v>
      </c>
      <c r="B2029" s="325" t="s">
        <v>3805</v>
      </c>
      <c r="C2029" s="325" t="s">
        <v>3806</v>
      </c>
      <c r="D2029" s="325" t="s">
        <v>20</v>
      </c>
      <c r="E2029" s="326">
        <v>1</v>
      </c>
      <c r="F2029" s="331">
        <v>574.20000000000005</v>
      </c>
      <c r="G2029" s="328"/>
      <c r="H2029" s="328" t="s">
        <v>1147</v>
      </c>
      <c r="I2029" s="324" t="s">
        <v>21</v>
      </c>
    </row>
    <row r="2030" spans="1:9" ht="11.1" customHeight="1" outlineLevel="1">
      <c r="A2030" s="325" t="s">
        <v>1302</v>
      </c>
      <c r="B2030" s="325" t="s">
        <v>3807</v>
      </c>
      <c r="C2030" s="325" t="s">
        <v>3808</v>
      </c>
      <c r="D2030" s="325" t="s">
        <v>20</v>
      </c>
      <c r="E2030" s="326">
        <v>1</v>
      </c>
      <c r="F2030" s="331">
        <v>765.4</v>
      </c>
      <c r="G2030" s="328"/>
      <c r="H2030" s="328" t="s">
        <v>1147</v>
      </c>
      <c r="I2030" s="324" t="s">
        <v>21</v>
      </c>
    </row>
    <row r="2031" spans="1:9" ht="11.1" customHeight="1" outlineLevel="1">
      <c r="A2031" s="325" t="s">
        <v>1302</v>
      </c>
      <c r="B2031" s="325" t="s">
        <v>3809</v>
      </c>
      <c r="C2031" s="325" t="s">
        <v>3810</v>
      </c>
      <c r="D2031" s="325" t="s">
        <v>20</v>
      </c>
      <c r="E2031" s="326">
        <v>5</v>
      </c>
      <c r="F2031" s="327">
        <v>1047.8599999999999</v>
      </c>
      <c r="G2031" s="328"/>
      <c r="H2031" s="328" t="s">
        <v>1147</v>
      </c>
      <c r="I2031" s="324" t="s">
        <v>21</v>
      </c>
    </row>
    <row r="2032" spans="1:9" ht="11.1" customHeight="1" outlineLevel="1">
      <c r="A2032" s="325" t="s">
        <v>1067</v>
      </c>
      <c r="B2032" s="325" t="s">
        <v>3811</v>
      </c>
      <c r="C2032" s="325" t="s">
        <v>3812</v>
      </c>
      <c r="D2032" s="325" t="s">
        <v>20</v>
      </c>
      <c r="E2032" s="326">
        <v>1</v>
      </c>
      <c r="F2032" s="331">
        <v>219</v>
      </c>
      <c r="G2032" s="328"/>
      <c r="H2032" s="328" t="s">
        <v>1147</v>
      </c>
      <c r="I2032" s="324" t="s">
        <v>21</v>
      </c>
    </row>
    <row r="2033" spans="1:9" ht="11.1" customHeight="1" outlineLevel="1">
      <c r="A2033" s="325" t="s">
        <v>1302</v>
      </c>
      <c r="B2033" s="325" t="s">
        <v>3813</v>
      </c>
      <c r="C2033" s="325" t="s">
        <v>3814</v>
      </c>
      <c r="D2033" s="325" t="s">
        <v>20</v>
      </c>
      <c r="E2033" s="326">
        <v>11</v>
      </c>
      <c r="F2033" s="331">
        <v>402.15</v>
      </c>
      <c r="G2033" s="328"/>
      <c r="H2033" s="160" t="s">
        <v>1159</v>
      </c>
      <c r="I2033" s="324" t="s">
        <v>21</v>
      </c>
    </row>
    <row r="2034" spans="1:9" ht="11.1" customHeight="1" outlineLevel="1">
      <c r="A2034" s="325" t="s">
        <v>1067</v>
      </c>
      <c r="B2034" s="325" t="s">
        <v>3815</v>
      </c>
      <c r="C2034" s="325" t="s">
        <v>3816</v>
      </c>
      <c r="D2034" s="325" t="s">
        <v>20</v>
      </c>
      <c r="E2034" s="326">
        <v>16</v>
      </c>
      <c r="F2034" s="327">
        <v>2225.7600000000002</v>
      </c>
      <c r="G2034" s="328"/>
      <c r="H2034" s="160" t="s">
        <v>1159</v>
      </c>
      <c r="I2034" s="324" t="s">
        <v>21</v>
      </c>
    </row>
    <row r="2035" spans="1:9" ht="11.1" customHeight="1" outlineLevel="1">
      <c r="A2035" s="325" t="s">
        <v>1302</v>
      </c>
      <c r="B2035" s="325" t="s">
        <v>3815</v>
      </c>
      <c r="C2035" s="325" t="s">
        <v>3816</v>
      </c>
      <c r="D2035" s="325" t="s">
        <v>20</v>
      </c>
      <c r="E2035" s="326">
        <v>16</v>
      </c>
      <c r="F2035" s="327">
        <v>2264.1999999999998</v>
      </c>
      <c r="G2035" s="328"/>
      <c r="H2035" s="160" t="s">
        <v>1159</v>
      </c>
      <c r="I2035" s="324" t="s">
        <v>21</v>
      </c>
    </row>
    <row r="2036" spans="1:9" ht="11.1" customHeight="1" outlineLevel="1">
      <c r="A2036" s="325" t="s">
        <v>1302</v>
      </c>
      <c r="B2036" s="325" t="s">
        <v>3817</v>
      </c>
      <c r="C2036" s="325" t="s">
        <v>3818</v>
      </c>
      <c r="D2036" s="325" t="s">
        <v>20</v>
      </c>
      <c r="E2036" s="326">
        <v>114</v>
      </c>
      <c r="F2036" s="327">
        <v>3638.1</v>
      </c>
      <c r="G2036" s="328"/>
      <c r="H2036" s="160" t="s">
        <v>1159</v>
      </c>
      <c r="I2036" s="324" t="s">
        <v>21</v>
      </c>
    </row>
    <row r="2037" spans="1:9" ht="11.1" customHeight="1" outlineLevel="1">
      <c r="A2037" s="325" t="s">
        <v>1067</v>
      </c>
      <c r="B2037" s="325" t="s">
        <v>3817</v>
      </c>
      <c r="C2037" s="325" t="s">
        <v>3818</v>
      </c>
      <c r="D2037" s="325" t="s">
        <v>20</v>
      </c>
      <c r="E2037" s="326">
        <v>90</v>
      </c>
      <c r="F2037" s="327">
        <v>1995</v>
      </c>
      <c r="G2037" s="328"/>
      <c r="H2037" s="160" t="s">
        <v>1159</v>
      </c>
      <c r="I2037" s="324" t="s">
        <v>21</v>
      </c>
    </row>
    <row r="2038" spans="1:9" ht="11.1" customHeight="1" outlineLevel="1">
      <c r="A2038" s="325" t="s">
        <v>1067</v>
      </c>
      <c r="B2038" s="325" t="s">
        <v>3819</v>
      </c>
      <c r="C2038" s="325" t="s">
        <v>3820</v>
      </c>
      <c r="D2038" s="325" t="s">
        <v>20</v>
      </c>
      <c r="E2038" s="326">
        <v>41</v>
      </c>
      <c r="F2038" s="327">
        <v>6075.85</v>
      </c>
      <c r="G2038" s="328"/>
      <c r="H2038" s="160" t="s">
        <v>1159</v>
      </c>
      <c r="I2038" s="324" t="s">
        <v>21</v>
      </c>
    </row>
    <row r="2039" spans="1:9" ht="11.1" customHeight="1" outlineLevel="1">
      <c r="A2039" s="325" t="s">
        <v>1302</v>
      </c>
      <c r="B2039" s="325" t="s">
        <v>3819</v>
      </c>
      <c r="C2039" s="325" t="s">
        <v>3820</v>
      </c>
      <c r="D2039" s="325" t="s">
        <v>20</v>
      </c>
      <c r="E2039" s="326">
        <v>7</v>
      </c>
      <c r="F2039" s="327">
        <v>1009.8</v>
      </c>
      <c r="G2039" s="328"/>
      <c r="H2039" s="160" t="s">
        <v>1159</v>
      </c>
      <c r="I2039" s="324" t="s">
        <v>21</v>
      </c>
    </row>
    <row r="2040" spans="1:9" ht="11.1" customHeight="1" outlineLevel="1">
      <c r="A2040" s="325" t="s">
        <v>1067</v>
      </c>
      <c r="B2040" s="325" t="s">
        <v>1262</v>
      </c>
      <c r="C2040" s="325" t="s">
        <v>1263</v>
      </c>
      <c r="D2040" s="325" t="s">
        <v>20</v>
      </c>
      <c r="E2040" s="326">
        <v>6</v>
      </c>
      <c r="F2040" s="327">
        <v>1407</v>
      </c>
      <c r="G2040" s="328"/>
      <c r="H2040" s="160" t="s">
        <v>1159</v>
      </c>
      <c r="I2040" s="324" t="s">
        <v>21</v>
      </c>
    </row>
    <row r="2041" spans="1:9" ht="11.1" customHeight="1" outlineLevel="1">
      <c r="A2041" s="325" t="s">
        <v>1302</v>
      </c>
      <c r="B2041" s="325" t="s">
        <v>1262</v>
      </c>
      <c r="C2041" s="325" t="s">
        <v>1263</v>
      </c>
      <c r="D2041" s="325" t="s">
        <v>20</v>
      </c>
      <c r="E2041" s="326">
        <v>7</v>
      </c>
      <c r="F2041" s="327">
        <v>1382.5</v>
      </c>
      <c r="G2041" s="328"/>
      <c r="H2041" s="160" t="s">
        <v>1159</v>
      </c>
      <c r="I2041" s="324" t="s">
        <v>21</v>
      </c>
    </row>
    <row r="2042" spans="1:9" ht="11.1" customHeight="1" outlineLevel="1">
      <c r="A2042" s="325" t="s">
        <v>1302</v>
      </c>
      <c r="B2042" s="325" t="s">
        <v>3821</v>
      </c>
      <c r="C2042" s="325" t="s">
        <v>3822</v>
      </c>
      <c r="D2042" s="325" t="s">
        <v>20</v>
      </c>
      <c r="E2042" s="326">
        <v>1</v>
      </c>
      <c r="F2042" s="331">
        <v>526.55999999999995</v>
      </c>
      <c r="G2042" s="328"/>
      <c r="H2042" s="160" t="s">
        <v>1159</v>
      </c>
      <c r="I2042" s="324" t="s">
        <v>21</v>
      </c>
    </row>
    <row r="2043" spans="1:9" ht="11.1" customHeight="1" outlineLevel="1">
      <c r="A2043" s="325" t="s">
        <v>1302</v>
      </c>
      <c r="B2043" s="325" t="s">
        <v>1264</v>
      </c>
      <c r="C2043" s="325" t="s">
        <v>1265</v>
      </c>
      <c r="D2043" s="325" t="s">
        <v>20</v>
      </c>
      <c r="E2043" s="326">
        <v>60</v>
      </c>
      <c r="F2043" s="327">
        <v>2749.8</v>
      </c>
      <c r="G2043" s="328"/>
      <c r="H2043" s="160" t="s">
        <v>1159</v>
      </c>
      <c r="I2043" s="324" t="s">
        <v>21</v>
      </c>
    </row>
    <row r="2044" spans="1:9" ht="11.1" customHeight="1" outlineLevel="1">
      <c r="A2044" s="325" t="s">
        <v>1067</v>
      </c>
      <c r="B2044" s="325" t="s">
        <v>1264</v>
      </c>
      <c r="C2044" s="325" t="s">
        <v>1265</v>
      </c>
      <c r="D2044" s="325" t="s">
        <v>20</v>
      </c>
      <c r="E2044" s="326">
        <v>27</v>
      </c>
      <c r="F2044" s="327">
        <v>2869</v>
      </c>
      <c r="G2044" s="328"/>
      <c r="H2044" s="160" t="s">
        <v>1159</v>
      </c>
      <c r="I2044" s="324" t="s">
        <v>21</v>
      </c>
    </row>
    <row r="2045" spans="1:9" ht="11.1" customHeight="1" outlineLevel="1">
      <c r="A2045" s="325" t="s">
        <v>1302</v>
      </c>
      <c r="B2045" s="325" t="s">
        <v>3823</v>
      </c>
      <c r="C2045" s="325" t="s">
        <v>3824</v>
      </c>
      <c r="D2045" s="325" t="s">
        <v>20</v>
      </c>
      <c r="E2045" s="326">
        <v>6</v>
      </c>
      <c r="F2045" s="331">
        <v>259.32</v>
      </c>
      <c r="G2045" s="328"/>
      <c r="H2045" s="328" t="s">
        <v>1147</v>
      </c>
      <c r="I2045" s="324" t="s">
        <v>21</v>
      </c>
    </row>
    <row r="2046" spans="1:9" ht="11.1" customHeight="1" outlineLevel="1">
      <c r="A2046" s="325" t="s">
        <v>1067</v>
      </c>
      <c r="B2046" s="325" t="s">
        <v>1266</v>
      </c>
      <c r="C2046" s="325" t="s">
        <v>1267</v>
      </c>
      <c r="D2046" s="325" t="s">
        <v>20</v>
      </c>
      <c r="E2046" s="326">
        <v>1</v>
      </c>
      <c r="F2046" s="331">
        <v>36.700000000000003</v>
      </c>
      <c r="G2046" s="328"/>
      <c r="H2046" s="328" t="s">
        <v>1147</v>
      </c>
      <c r="I2046" s="324" t="s">
        <v>21</v>
      </c>
    </row>
    <row r="2047" spans="1:9" ht="11.1" customHeight="1" outlineLevel="1">
      <c r="A2047" s="325" t="s">
        <v>1302</v>
      </c>
      <c r="B2047" s="325" t="s">
        <v>1266</v>
      </c>
      <c r="C2047" s="325" t="s">
        <v>1267</v>
      </c>
      <c r="D2047" s="325" t="s">
        <v>20</v>
      </c>
      <c r="E2047" s="326">
        <v>5</v>
      </c>
      <c r="F2047" s="331">
        <v>178.6</v>
      </c>
      <c r="G2047" s="328"/>
      <c r="H2047" s="328" t="s">
        <v>1147</v>
      </c>
      <c r="I2047" s="324" t="s">
        <v>21</v>
      </c>
    </row>
    <row r="2048" spans="1:9" ht="11.1" customHeight="1" outlineLevel="1">
      <c r="A2048" s="325" t="s">
        <v>1067</v>
      </c>
      <c r="B2048" s="325" t="s">
        <v>3825</v>
      </c>
      <c r="C2048" s="325" t="s">
        <v>3826</v>
      </c>
      <c r="D2048" s="325" t="s">
        <v>20</v>
      </c>
      <c r="E2048" s="326">
        <v>20</v>
      </c>
      <c r="F2048" s="331">
        <v>650</v>
      </c>
      <c r="G2048" s="328"/>
      <c r="H2048" s="328" t="s">
        <v>1147</v>
      </c>
      <c r="I2048" s="324" t="s">
        <v>21</v>
      </c>
    </row>
    <row r="2049" spans="1:9" ht="11.1" customHeight="1" outlineLevel="1">
      <c r="A2049" s="325" t="s">
        <v>1302</v>
      </c>
      <c r="B2049" s="325" t="s">
        <v>3825</v>
      </c>
      <c r="C2049" s="325" t="s">
        <v>3826</v>
      </c>
      <c r="D2049" s="325" t="s">
        <v>20</v>
      </c>
      <c r="E2049" s="326">
        <v>52</v>
      </c>
      <c r="F2049" s="327">
        <v>2217.83</v>
      </c>
      <c r="G2049" s="328"/>
      <c r="H2049" s="328" t="s">
        <v>1147</v>
      </c>
      <c r="I2049" s="324" t="s">
        <v>21</v>
      </c>
    </row>
    <row r="2050" spans="1:9" ht="11.1" customHeight="1" outlineLevel="1">
      <c r="A2050" s="325" t="s">
        <v>1302</v>
      </c>
      <c r="B2050" s="325" t="s">
        <v>3827</v>
      </c>
      <c r="C2050" s="325" t="s">
        <v>3828</v>
      </c>
      <c r="D2050" s="325" t="s">
        <v>20</v>
      </c>
      <c r="E2050" s="326">
        <v>7</v>
      </c>
      <c r="F2050" s="331">
        <v>276.58</v>
      </c>
      <c r="G2050" s="328"/>
      <c r="H2050" s="328" t="s">
        <v>1147</v>
      </c>
      <c r="I2050" s="324" t="s">
        <v>21</v>
      </c>
    </row>
    <row r="2051" spans="1:9" ht="11.1" customHeight="1" outlineLevel="1">
      <c r="A2051" s="325" t="s">
        <v>1302</v>
      </c>
      <c r="B2051" s="325" t="s">
        <v>3829</v>
      </c>
      <c r="C2051" s="325" t="s">
        <v>3830</v>
      </c>
      <c r="D2051" s="325" t="s">
        <v>20</v>
      </c>
      <c r="E2051" s="326">
        <v>4</v>
      </c>
      <c r="F2051" s="331">
        <v>93.32</v>
      </c>
      <c r="G2051" s="328"/>
      <c r="H2051" s="328" t="s">
        <v>1147</v>
      </c>
      <c r="I2051" s="324" t="s">
        <v>21</v>
      </c>
    </row>
    <row r="2052" spans="1:9" ht="11.1" customHeight="1" outlineLevel="1">
      <c r="A2052" s="325" t="s">
        <v>1302</v>
      </c>
      <c r="B2052" s="325" t="s">
        <v>3831</v>
      </c>
      <c r="C2052" s="325" t="s">
        <v>3832</v>
      </c>
      <c r="D2052" s="325" t="s">
        <v>20</v>
      </c>
      <c r="E2052" s="326">
        <v>1</v>
      </c>
      <c r="F2052" s="327">
        <v>1183</v>
      </c>
      <c r="G2052" s="328"/>
      <c r="H2052" s="328" t="s">
        <v>1147</v>
      </c>
      <c r="I2052" s="324" t="s">
        <v>21</v>
      </c>
    </row>
    <row r="2053" spans="1:9" ht="11.1" customHeight="1" outlineLevel="1">
      <c r="A2053" s="325" t="s">
        <v>1067</v>
      </c>
      <c r="B2053" s="325" t="s">
        <v>3833</v>
      </c>
      <c r="C2053" s="325" t="s">
        <v>3834</v>
      </c>
      <c r="D2053" s="325" t="s">
        <v>20</v>
      </c>
      <c r="E2053" s="326">
        <v>1</v>
      </c>
      <c r="F2053" s="331">
        <v>270</v>
      </c>
      <c r="G2053" s="328"/>
      <c r="H2053" s="328" t="s">
        <v>1147</v>
      </c>
      <c r="I2053" s="324" t="s">
        <v>21</v>
      </c>
    </row>
    <row r="2054" spans="1:9" ht="11.1" customHeight="1" outlineLevel="1">
      <c r="A2054" s="325" t="s">
        <v>1067</v>
      </c>
      <c r="B2054" s="325" t="s">
        <v>3835</v>
      </c>
      <c r="C2054" s="325" t="s">
        <v>3836</v>
      </c>
      <c r="D2054" s="325" t="s">
        <v>20</v>
      </c>
      <c r="E2054" s="326">
        <v>1</v>
      </c>
      <c r="F2054" s="331">
        <v>194.2</v>
      </c>
      <c r="G2054" s="328"/>
      <c r="H2054" s="328" t="s">
        <v>1147</v>
      </c>
      <c r="I2054" s="324" t="s">
        <v>21</v>
      </c>
    </row>
    <row r="2055" spans="1:9" ht="11.1" customHeight="1" outlineLevel="1">
      <c r="A2055" s="325" t="s">
        <v>1067</v>
      </c>
      <c r="B2055" s="325" t="s">
        <v>3837</v>
      </c>
      <c r="C2055" s="325" t="s">
        <v>3838</v>
      </c>
      <c r="D2055" s="325" t="s">
        <v>20</v>
      </c>
      <c r="E2055" s="326">
        <v>1</v>
      </c>
      <c r="F2055" s="331">
        <v>791.7</v>
      </c>
      <c r="G2055" s="328"/>
      <c r="H2055" s="328" t="s">
        <v>1147</v>
      </c>
      <c r="I2055" s="324" t="s">
        <v>21</v>
      </c>
    </row>
    <row r="2056" spans="1:9" ht="11.1" customHeight="1" outlineLevel="1">
      <c r="A2056" s="325" t="s">
        <v>1302</v>
      </c>
      <c r="B2056" s="325" t="s">
        <v>3839</v>
      </c>
      <c r="C2056" s="325" t="s">
        <v>3840</v>
      </c>
      <c r="D2056" s="325" t="s">
        <v>20</v>
      </c>
      <c r="E2056" s="326">
        <v>3</v>
      </c>
      <c r="F2056" s="331">
        <v>791.03</v>
      </c>
      <c r="G2056" s="328"/>
      <c r="H2056" s="328" t="s">
        <v>1147</v>
      </c>
      <c r="I2056" s="324" t="s">
        <v>21</v>
      </c>
    </row>
    <row r="2057" spans="1:9" ht="11.1" customHeight="1" outlineLevel="1">
      <c r="A2057" s="325" t="s">
        <v>1067</v>
      </c>
      <c r="B2057" s="325" t="s">
        <v>3839</v>
      </c>
      <c r="C2057" s="325" t="s">
        <v>3840</v>
      </c>
      <c r="D2057" s="325" t="s">
        <v>20</v>
      </c>
      <c r="E2057" s="326">
        <v>3</v>
      </c>
      <c r="F2057" s="331">
        <v>801.91</v>
      </c>
      <c r="G2057" s="328"/>
      <c r="H2057" s="328" t="s">
        <v>1147</v>
      </c>
      <c r="I2057" s="324" t="s">
        <v>21</v>
      </c>
    </row>
    <row r="2058" spans="1:9" ht="11.1" customHeight="1" outlineLevel="1">
      <c r="A2058" s="325" t="s">
        <v>1067</v>
      </c>
      <c r="B2058" s="325" t="s">
        <v>3841</v>
      </c>
      <c r="C2058" s="325" t="s">
        <v>3842</v>
      </c>
      <c r="D2058" s="325" t="s">
        <v>20</v>
      </c>
      <c r="E2058" s="326">
        <v>2</v>
      </c>
      <c r="F2058" s="327">
        <v>2583.4</v>
      </c>
      <c r="G2058" s="328"/>
      <c r="H2058" s="328" t="s">
        <v>1147</v>
      </c>
      <c r="I2058" s="324" t="s">
        <v>21</v>
      </c>
    </row>
    <row r="2059" spans="1:9" ht="11.1" customHeight="1" outlineLevel="1">
      <c r="A2059" s="325" t="s">
        <v>1067</v>
      </c>
      <c r="B2059" s="325" t="s">
        <v>3843</v>
      </c>
      <c r="C2059" s="325" t="s">
        <v>3844</v>
      </c>
      <c r="D2059" s="325" t="s">
        <v>20</v>
      </c>
      <c r="E2059" s="326">
        <v>1</v>
      </c>
      <c r="F2059" s="331">
        <v>37.130000000000003</v>
      </c>
      <c r="G2059" s="328"/>
      <c r="H2059" s="328" t="s">
        <v>1147</v>
      </c>
      <c r="I2059" s="324" t="s">
        <v>21</v>
      </c>
    </row>
    <row r="2060" spans="1:9" ht="11.1" customHeight="1" outlineLevel="1">
      <c r="A2060" s="325" t="s">
        <v>1302</v>
      </c>
      <c r="B2060" s="325" t="s">
        <v>3845</v>
      </c>
      <c r="C2060" s="325" t="s">
        <v>3846</v>
      </c>
      <c r="D2060" s="325" t="s">
        <v>1519</v>
      </c>
      <c r="E2060" s="326">
        <v>1</v>
      </c>
      <c r="F2060" s="331">
        <v>26.8</v>
      </c>
      <c r="G2060" s="328"/>
      <c r="H2060" s="328" t="s">
        <v>1147</v>
      </c>
      <c r="I2060" s="324" t="s">
        <v>21</v>
      </c>
    </row>
    <row r="2061" spans="1:9" ht="11.1" customHeight="1" outlineLevel="1">
      <c r="A2061" s="325" t="s">
        <v>1067</v>
      </c>
      <c r="B2061" s="325" t="s">
        <v>3845</v>
      </c>
      <c r="C2061" s="325" t="s">
        <v>3846</v>
      </c>
      <c r="D2061" s="325" t="s">
        <v>1519</v>
      </c>
      <c r="E2061" s="326">
        <v>25</v>
      </c>
      <c r="F2061" s="327">
        <v>1312.5</v>
      </c>
      <c r="G2061" s="328"/>
      <c r="H2061" s="328" t="s">
        <v>1147</v>
      </c>
      <c r="I2061" s="324" t="s">
        <v>21</v>
      </c>
    </row>
    <row r="2062" spans="1:9" ht="11.1" customHeight="1" outlineLevel="1">
      <c r="A2062" s="325" t="s">
        <v>1067</v>
      </c>
      <c r="B2062" s="325" t="s">
        <v>3847</v>
      </c>
      <c r="C2062" s="325" t="s">
        <v>3848</v>
      </c>
      <c r="D2062" s="325" t="s">
        <v>20</v>
      </c>
      <c r="E2062" s="326">
        <v>2</v>
      </c>
      <c r="F2062" s="331">
        <v>569.03</v>
      </c>
      <c r="G2062" s="328"/>
      <c r="H2062" s="328" t="s">
        <v>1147</v>
      </c>
      <c r="I2062" s="324" t="s">
        <v>21</v>
      </c>
    </row>
    <row r="2063" spans="1:9" ht="11.1" customHeight="1" outlineLevel="1">
      <c r="A2063" s="325" t="s">
        <v>1302</v>
      </c>
      <c r="B2063" s="325" t="s">
        <v>3847</v>
      </c>
      <c r="C2063" s="325" t="s">
        <v>3848</v>
      </c>
      <c r="D2063" s="325" t="s">
        <v>20</v>
      </c>
      <c r="E2063" s="326">
        <v>2</v>
      </c>
      <c r="F2063" s="331">
        <v>603.47</v>
      </c>
      <c r="G2063" s="328"/>
      <c r="H2063" s="328" t="s">
        <v>1147</v>
      </c>
      <c r="I2063" s="324" t="s">
        <v>21</v>
      </c>
    </row>
    <row r="2064" spans="1:9" ht="11.1" customHeight="1" outlineLevel="1">
      <c r="A2064" s="325" t="s">
        <v>1302</v>
      </c>
      <c r="B2064" s="325" t="s">
        <v>3849</v>
      </c>
      <c r="C2064" s="325" t="s">
        <v>3850</v>
      </c>
      <c r="D2064" s="325" t="s">
        <v>20</v>
      </c>
      <c r="E2064" s="326">
        <v>1</v>
      </c>
      <c r="F2064" s="331">
        <v>340</v>
      </c>
      <c r="G2064" s="328"/>
      <c r="H2064" s="328" t="s">
        <v>1147</v>
      </c>
      <c r="I2064" s="324" t="s">
        <v>21</v>
      </c>
    </row>
    <row r="2065" spans="1:9" ht="11.1" customHeight="1" outlineLevel="1">
      <c r="A2065" s="325" t="s">
        <v>1067</v>
      </c>
      <c r="B2065" s="325" t="s">
        <v>3849</v>
      </c>
      <c r="C2065" s="325" t="s">
        <v>3850</v>
      </c>
      <c r="D2065" s="325" t="s">
        <v>20</v>
      </c>
      <c r="E2065" s="326">
        <v>6</v>
      </c>
      <c r="F2065" s="327">
        <v>1476.8</v>
      </c>
      <c r="G2065" s="328"/>
      <c r="H2065" s="328" t="s">
        <v>1147</v>
      </c>
      <c r="I2065" s="324" t="s">
        <v>21</v>
      </c>
    </row>
    <row r="2066" spans="1:9" ht="11.1" customHeight="1" outlineLevel="1">
      <c r="A2066" s="325" t="s">
        <v>1067</v>
      </c>
      <c r="B2066" s="325" t="s">
        <v>3851</v>
      </c>
      <c r="C2066" s="325" t="s">
        <v>3852</v>
      </c>
      <c r="D2066" s="325" t="s">
        <v>20</v>
      </c>
      <c r="E2066" s="326">
        <v>103</v>
      </c>
      <c r="F2066" s="327">
        <v>4844.3999999999996</v>
      </c>
      <c r="G2066" s="328"/>
      <c r="H2066" s="328" t="s">
        <v>1147</v>
      </c>
      <c r="I2066" s="324" t="s">
        <v>21</v>
      </c>
    </row>
    <row r="2067" spans="1:9" ht="11.1" customHeight="1" outlineLevel="1">
      <c r="A2067" s="325" t="s">
        <v>1302</v>
      </c>
      <c r="B2067" s="325" t="s">
        <v>3851</v>
      </c>
      <c r="C2067" s="325" t="s">
        <v>3852</v>
      </c>
      <c r="D2067" s="325" t="s">
        <v>20</v>
      </c>
      <c r="E2067" s="326">
        <v>52</v>
      </c>
      <c r="F2067" s="327">
        <v>1319.57</v>
      </c>
      <c r="G2067" s="328"/>
      <c r="H2067" s="328" t="s">
        <v>1147</v>
      </c>
      <c r="I2067" s="324" t="s">
        <v>21</v>
      </c>
    </row>
    <row r="2068" spans="1:9" ht="11.1" customHeight="1" outlineLevel="1">
      <c r="A2068" s="325" t="s">
        <v>1067</v>
      </c>
      <c r="B2068" s="325" t="s">
        <v>3853</v>
      </c>
      <c r="C2068" s="325" t="s">
        <v>3854</v>
      </c>
      <c r="D2068" s="325" t="s">
        <v>20</v>
      </c>
      <c r="E2068" s="326">
        <v>5</v>
      </c>
      <c r="F2068" s="331">
        <v>290</v>
      </c>
      <c r="G2068" s="328"/>
      <c r="H2068" s="328" t="s">
        <v>1147</v>
      </c>
      <c r="I2068" s="324" t="s">
        <v>21</v>
      </c>
    </row>
    <row r="2069" spans="1:9" ht="11.1" customHeight="1" outlineLevel="1">
      <c r="A2069" s="325" t="s">
        <v>1302</v>
      </c>
      <c r="B2069" s="325" t="s">
        <v>3853</v>
      </c>
      <c r="C2069" s="325" t="s">
        <v>3854</v>
      </c>
      <c r="D2069" s="325" t="s">
        <v>20</v>
      </c>
      <c r="E2069" s="326">
        <v>1</v>
      </c>
      <c r="F2069" s="331">
        <v>96.37</v>
      </c>
      <c r="G2069" s="328"/>
      <c r="H2069" s="328" t="s">
        <v>1147</v>
      </c>
      <c r="I2069" s="324" t="s">
        <v>21</v>
      </c>
    </row>
    <row r="2070" spans="1:9" ht="11.1" customHeight="1" outlineLevel="1">
      <c r="A2070" s="325" t="s">
        <v>1302</v>
      </c>
      <c r="B2070" s="325" t="s">
        <v>3855</v>
      </c>
      <c r="C2070" s="325" t="s">
        <v>3856</v>
      </c>
      <c r="D2070" s="325" t="s">
        <v>20</v>
      </c>
      <c r="E2070" s="326">
        <v>7</v>
      </c>
      <c r="F2070" s="331">
        <v>483</v>
      </c>
      <c r="G2070" s="328"/>
      <c r="H2070" s="328" t="s">
        <v>1147</v>
      </c>
      <c r="I2070" s="324" t="s">
        <v>21</v>
      </c>
    </row>
    <row r="2071" spans="1:9" ht="11.1" customHeight="1" outlineLevel="1">
      <c r="A2071" s="325" t="s">
        <v>1302</v>
      </c>
      <c r="B2071" s="325" t="s">
        <v>3857</v>
      </c>
      <c r="C2071" s="325" t="s">
        <v>3858</v>
      </c>
      <c r="D2071" s="325" t="s">
        <v>1305</v>
      </c>
      <c r="E2071" s="326">
        <v>1</v>
      </c>
      <c r="F2071" s="331">
        <v>72.709999999999994</v>
      </c>
      <c r="G2071" s="328"/>
      <c r="H2071" s="328" t="s">
        <v>1147</v>
      </c>
      <c r="I2071" s="324" t="s">
        <v>21</v>
      </c>
    </row>
    <row r="2072" spans="1:9" ht="11.1" customHeight="1" outlineLevel="1">
      <c r="A2072" s="325" t="s">
        <v>1067</v>
      </c>
      <c r="B2072" s="325" t="s">
        <v>3859</v>
      </c>
      <c r="C2072" s="325" t="s">
        <v>3860</v>
      </c>
      <c r="D2072" s="325" t="s">
        <v>20</v>
      </c>
      <c r="E2072" s="326">
        <v>1</v>
      </c>
      <c r="F2072" s="331">
        <v>39.17</v>
      </c>
      <c r="G2072" s="328"/>
      <c r="H2072" s="328" t="s">
        <v>1147</v>
      </c>
      <c r="I2072" s="324" t="s">
        <v>21</v>
      </c>
    </row>
    <row r="2073" spans="1:9" ht="11.1" customHeight="1" outlineLevel="1">
      <c r="A2073" s="325" t="s">
        <v>1067</v>
      </c>
      <c r="B2073" s="325" t="s">
        <v>3861</v>
      </c>
      <c r="C2073" s="325" t="s">
        <v>3862</v>
      </c>
      <c r="D2073" s="325" t="s">
        <v>20</v>
      </c>
      <c r="E2073" s="326">
        <v>1</v>
      </c>
      <c r="F2073" s="331">
        <v>338.3</v>
      </c>
      <c r="G2073" s="328"/>
      <c r="H2073" s="328" t="s">
        <v>1147</v>
      </c>
      <c r="I2073" s="324" t="s">
        <v>21</v>
      </c>
    </row>
    <row r="2074" spans="1:9" ht="11.1" customHeight="1" outlineLevel="1">
      <c r="A2074" s="325" t="s">
        <v>1302</v>
      </c>
      <c r="B2074" s="325" t="s">
        <v>3861</v>
      </c>
      <c r="C2074" s="325" t="s">
        <v>3862</v>
      </c>
      <c r="D2074" s="325" t="s">
        <v>20</v>
      </c>
      <c r="E2074" s="326">
        <v>1</v>
      </c>
      <c r="F2074" s="331">
        <v>372</v>
      </c>
      <c r="G2074" s="328"/>
      <c r="H2074" s="328" t="s">
        <v>1147</v>
      </c>
      <c r="I2074" s="324" t="s">
        <v>21</v>
      </c>
    </row>
    <row r="2075" spans="1:9" ht="11.1" customHeight="1" outlineLevel="1">
      <c r="A2075" s="325" t="s">
        <v>1067</v>
      </c>
      <c r="B2075" s="325" t="s">
        <v>2206</v>
      </c>
      <c r="C2075" s="325" t="s">
        <v>2207</v>
      </c>
      <c r="D2075" s="325" t="s">
        <v>20</v>
      </c>
      <c r="E2075" s="326">
        <v>2</v>
      </c>
      <c r="F2075" s="331">
        <v>310</v>
      </c>
      <c r="G2075" s="328"/>
      <c r="H2075" s="328" t="s">
        <v>1147</v>
      </c>
      <c r="I2075" s="324" t="s">
        <v>21</v>
      </c>
    </row>
    <row r="2076" spans="1:9" ht="11.1" customHeight="1" outlineLevel="1">
      <c r="A2076" s="325" t="s">
        <v>1302</v>
      </c>
      <c r="B2076" s="325" t="s">
        <v>3863</v>
      </c>
      <c r="C2076" s="325" t="s">
        <v>3864</v>
      </c>
      <c r="D2076" s="325" t="s">
        <v>20</v>
      </c>
      <c r="E2076" s="326">
        <v>7</v>
      </c>
      <c r="F2076" s="327">
        <v>1124.1600000000001</v>
      </c>
      <c r="G2076" s="328"/>
      <c r="H2076" s="328" t="s">
        <v>1147</v>
      </c>
      <c r="I2076" s="324" t="s">
        <v>21</v>
      </c>
    </row>
    <row r="2077" spans="1:9" ht="11.1" customHeight="1" outlineLevel="1">
      <c r="A2077" s="325" t="s">
        <v>1067</v>
      </c>
      <c r="B2077" s="325" t="s">
        <v>3863</v>
      </c>
      <c r="C2077" s="325" t="s">
        <v>3864</v>
      </c>
      <c r="D2077" s="325" t="s">
        <v>20</v>
      </c>
      <c r="E2077" s="326">
        <v>2</v>
      </c>
      <c r="F2077" s="331">
        <v>294</v>
      </c>
      <c r="G2077" s="328"/>
      <c r="H2077" s="328" t="s">
        <v>1147</v>
      </c>
      <c r="I2077" s="324" t="s">
        <v>21</v>
      </c>
    </row>
    <row r="2078" spans="1:9" ht="11.1" customHeight="1" outlineLevel="1">
      <c r="A2078" s="325" t="s">
        <v>1302</v>
      </c>
      <c r="B2078" s="325" t="s">
        <v>3865</v>
      </c>
      <c r="C2078" s="325" t="s">
        <v>3866</v>
      </c>
      <c r="D2078" s="325" t="s">
        <v>20</v>
      </c>
      <c r="E2078" s="326">
        <v>1</v>
      </c>
      <c r="F2078" s="331">
        <v>107.08</v>
      </c>
      <c r="G2078" s="328"/>
      <c r="H2078" s="328" t="s">
        <v>1147</v>
      </c>
      <c r="I2078" s="324" t="s">
        <v>21</v>
      </c>
    </row>
    <row r="2079" spans="1:9" ht="11.1" customHeight="1" outlineLevel="1">
      <c r="A2079" s="325" t="s">
        <v>1067</v>
      </c>
      <c r="B2079" s="325" t="s">
        <v>1272</v>
      </c>
      <c r="C2079" s="325" t="s">
        <v>1273</v>
      </c>
      <c r="D2079" s="325" t="s">
        <v>20</v>
      </c>
      <c r="E2079" s="326">
        <v>146</v>
      </c>
      <c r="F2079" s="327">
        <v>7687.58</v>
      </c>
      <c r="G2079" s="328"/>
      <c r="H2079" s="328" t="s">
        <v>1147</v>
      </c>
      <c r="I2079" s="324" t="s">
        <v>21</v>
      </c>
    </row>
    <row r="2080" spans="1:9" ht="11.1" customHeight="1" outlineLevel="1">
      <c r="A2080" s="325" t="s">
        <v>1302</v>
      </c>
      <c r="B2080" s="325" t="s">
        <v>1272</v>
      </c>
      <c r="C2080" s="325" t="s">
        <v>1273</v>
      </c>
      <c r="D2080" s="325" t="s">
        <v>20</v>
      </c>
      <c r="E2080" s="326">
        <v>13</v>
      </c>
      <c r="F2080" s="331">
        <v>551.97</v>
      </c>
      <c r="G2080" s="328"/>
      <c r="H2080" s="328" t="s">
        <v>1147</v>
      </c>
      <c r="I2080" s="324" t="s">
        <v>21</v>
      </c>
    </row>
    <row r="2081" spans="1:9" ht="11.1" customHeight="1" outlineLevel="1">
      <c r="A2081" s="325" t="s">
        <v>1302</v>
      </c>
      <c r="B2081" s="325" t="s">
        <v>3867</v>
      </c>
      <c r="C2081" s="325" t="s">
        <v>3868</v>
      </c>
      <c r="D2081" s="325" t="s">
        <v>20</v>
      </c>
      <c r="E2081" s="326">
        <v>1</v>
      </c>
      <c r="F2081" s="331">
        <v>99.2</v>
      </c>
      <c r="G2081" s="328"/>
      <c r="H2081" s="328" t="s">
        <v>1147</v>
      </c>
      <c r="I2081" s="324" t="s">
        <v>21</v>
      </c>
    </row>
    <row r="2082" spans="1:9" ht="11.1" customHeight="1" outlineLevel="1">
      <c r="A2082" s="325" t="s">
        <v>1302</v>
      </c>
      <c r="B2082" s="325" t="s">
        <v>3869</v>
      </c>
      <c r="C2082" s="325" t="s">
        <v>3870</v>
      </c>
      <c r="D2082" s="325" t="s">
        <v>20</v>
      </c>
      <c r="E2082" s="326">
        <v>4</v>
      </c>
      <c r="F2082" s="331">
        <v>118.06</v>
      </c>
      <c r="G2082" s="328"/>
      <c r="H2082" s="328" t="s">
        <v>1147</v>
      </c>
      <c r="I2082" s="324" t="s">
        <v>21</v>
      </c>
    </row>
    <row r="2083" spans="1:9" ht="11.1" customHeight="1" outlineLevel="1">
      <c r="A2083" s="325" t="s">
        <v>1302</v>
      </c>
      <c r="B2083" s="325" t="s">
        <v>3871</v>
      </c>
      <c r="C2083" s="325" t="s">
        <v>3872</v>
      </c>
      <c r="D2083" s="325" t="s">
        <v>20</v>
      </c>
      <c r="E2083" s="326">
        <v>3</v>
      </c>
      <c r="F2083" s="327">
        <v>2343.84</v>
      </c>
      <c r="G2083" s="328"/>
      <c r="H2083" s="328" t="s">
        <v>1147</v>
      </c>
      <c r="I2083" s="324" t="s">
        <v>21</v>
      </c>
    </row>
    <row r="2084" spans="1:9" ht="11.1" customHeight="1" outlineLevel="1">
      <c r="A2084" s="325" t="s">
        <v>1067</v>
      </c>
      <c r="B2084" s="325" t="s">
        <v>3873</v>
      </c>
      <c r="C2084" s="325" t="s">
        <v>3874</v>
      </c>
      <c r="D2084" s="325" t="s">
        <v>20</v>
      </c>
      <c r="E2084" s="326">
        <v>2</v>
      </c>
      <c r="F2084" s="331">
        <v>318</v>
      </c>
      <c r="G2084" s="328"/>
      <c r="H2084" s="328" t="s">
        <v>1147</v>
      </c>
      <c r="I2084" s="324" t="s">
        <v>21</v>
      </c>
    </row>
    <row r="2085" spans="1:9" ht="11.1" customHeight="1" outlineLevel="1">
      <c r="A2085" s="325" t="s">
        <v>1302</v>
      </c>
      <c r="B2085" s="325" t="s">
        <v>3873</v>
      </c>
      <c r="C2085" s="325" t="s">
        <v>3874</v>
      </c>
      <c r="D2085" s="325" t="s">
        <v>20</v>
      </c>
      <c r="E2085" s="326">
        <v>1</v>
      </c>
      <c r="F2085" s="331">
        <v>117.53</v>
      </c>
      <c r="G2085" s="328"/>
      <c r="H2085" s="328" t="s">
        <v>1147</v>
      </c>
      <c r="I2085" s="324" t="s">
        <v>21</v>
      </c>
    </row>
    <row r="2086" spans="1:9" ht="11.1" customHeight="1" outlineLevel="1">
      <c r="A2086" s="325" t="s">
        <v>1302</v>
      </c>
      <c r="B2086" s="325" t="s">
        <v>3875</v>
      </c>
      <c r="C2086" s="325" t="s">
        <v>3876</v>
      </c>
      <c r="D2086" s="325" t="s">
        <v>20</v>
      </c>
      <c r="E2086" s="326">
        <v>1</v>
      </c>
      <c r="F2086" s="331">
        <v>189</v>
      </c>
      <c r="G2086" s="328"/>
      <c r="H2086" s="328" t="s">
        <v>1147</v>
      </c>
      <c r="I2086" s="324" t="s">
        <v>21</v>
      </c>
    </row>
    <row r="2087" spans="1:9" ht="11.1" customHeight="1" outlineLevel="1">
      <c r="A2087" s="325" t="s">
        <v>1302</v>
      </c>
      <c r="B2087" s="325" t="s">
        <v>3877</v>
      </c>
      <c r="C2087" s="325" t="s">
        <v>3878</v>
      </c>
      <c r="D2087" s="325" t="s">
        <v>20</v>
      </c>
      <c r="E2087" s="326">
        <v>2</v>
      </c>
      <c r="F2087" s="331">
        <v>17.399999999999999</v>
      </c>
      <c r="G2087" s="328"/>
      <c r="H2087" s="328" t="s">
        <v>1147</v>
      </c>
      <c r="I2087" s="324" t="s">
        <v>21</v>
      </c>
    </row>
    <row r="2088" spans="1:9" ht="11.1" customHeight="1" outlineLevel="1">
      <c r="A2088" s="325" t="s">
        <v>1067</v>
      </c>
      <c r="B2088" s="325" t="s">
        <v>3879</v>
      </c>
      <c r="C2088" s="325" t="s">
        <v>3880</v>
      </c>
      <c r="D2088" s="325" t="s">
        <v>20</v>
      </c>
      <c r="E2088" s="326">
        <v>2</v>
      </c>
      <c r="F2088" s="331">
        <v>723.4</v>
      </c>
      <c r="G2088" s="328"/>
      <c r="H2088" s="328" t="s">
        <v>1147</v>
      </c>
      <c r="I2088" s="324" t="s">
        <v>21</v>
      </c>
    </row>
    <row r="2089" spans="1:9" ht="11.1" customHeight="1" outlineLevel="1">
      <c r="A2089" s="325" t="s">
        <v>1302</v>
      </c>
      <c r="B2089" s="325" t="s">
        <v>3881</v>
      </c>
      <c r="C2089" s="325" t="s">
        <v>3882</v>
      </c>
      <c r="D2089" s="325" t="s">
        <v>20</v>
      </c>
      <c r="E2089" s="326">
        <v>3</v>
      </c>
      <c r="F2089" s="331">
        <v>464.38</v>
      </c>
      <c r="G2089" s="328"/>
      <c r="H2089" s="328" t="s">
        <v>1147</v>
      </c>
      <c r="I2089" s="324" t="s">
        <v>21</v>
      </c>
    </row>
    <row r="2090" spans="1:9" ht="11.1" customHeight="1" outlineLevel="1">
      <c r="A2090" s="325" t="s">
        <v>1302</v>
      </c>
      <c r="B2090" s="325" t="s">
        <v>3883</v>
      </c>
      <c r="C2090" s="325" t="s">
        <v>3884</v>
      </c>
      <c r="D2090" s="325" t="s">
        <v>20</v>
      </c>
      <c r="E2090" s="326">
        <v>1</v>
      </c>
      <c r="F2090" s="331">
        <v>40.85</v>
      </c>
      <c r="G2090" s="328"/>
      <c r="H2090" s="328" t="s">
        <v>1147</v>
      </c>
      <c r="I2090" s="324" t="s">
        <v>21</v>
      </c>
    </row>
    <row r="2091" spans="1:9" ht="11.1" customHeight="1" outlineLevel="1">
      <c r="A2091" s="325" t="s">
        <v>1302</v>
      </c>
      <c r="B2091" s="325" t="s">
        <v>3885</v>
      </c>
      <c r="C2091" s="325" t="s">
        <v>3886</v>
      </c>
      <c r="D2091" s="325" t="s">
        <v>20</v>
      </c>
      <c r="E2091" s="326">
        <v>2</v>
      </c>
      <c r="F2091" s="331">
        <v>341.67</v>
      </c>
      <c r="G2091" s="328"/>
      <c r="H2091" s="328" t="s">
        <v>1147</v>
      </c>
      <c r="I2091" s="324" t="s">
        <v>21</v>
      </c>
    </row>
    <row r="2092" spans="1:9" ht="11.1" customHeight="1" outlineLevel="1">
      <c r="A2092" s="325" t="s">
        <v>1067</v>
      </c>
      <c r="B2092" s="325" t="s">
        <v>3885</v>
      </c>
      <c r="C2092" s="325" t="s">
        <v>3886</v>
      </c>
      <c r="D2092" s="325" t="s">
        <v>20</v>
      </c>
      <c r="E2092" s="326">
        <v>1</v>
      </c>
      <c r="F2092" s="331">
        <v>170.83</v>
      </c>
      <c r="G2092" s="328"/>
      <c r="H2092" s="328" t="s">
        <v>1147</v>
      </c>
      <c r="I2092" s="324" t="s">
        <v>21</v>
      </c>
    </row>
    <row r="2093" spans="1:9" ht="21.95" customHeight="1" outlineLevel="1">
      <c r="A2093" s="325" t="s">
        <v>1302</v>
      </c>
      <c r="B2093" s="325" t="s">
        <v>3887</v>
      </c>
      <c r="C2093" s="325" t="s">
        <v>3888</v>
      </c>
      <c r="D2093" s="325" t="s">
        <v>20</v>
      </c>
      <c r="E2093" s="326">
        <v>2</v>
      </c>
      <c r="F2093" s="331">
        <v>566.11</v>
      </c>
      <c r="G2093" s="328"/>
      <c r="H2093" s="328" t="s">
        <v>1147</v>
      </c>
      <c r="I2093" s="324" t="s">
        <v>21</v>
      </c>
    </row>
    <row r="2094" spans="1:9" ht="21.95" customHeight="1" outlineLevel="1">
      <c r="A2094" s="325" t="s">
        <v>1067</v>
      </c>
      <c r="B2094" s="325" t="s">
        <v>3887</v>
      </c>
      <c r="C2094" s="325" t="s">
        <v>3888</v>
      </c>
      <c r="D2094" s="325" t="s">
        <v>20</v>
      </c>
      <c r="E2094" s="326">
        <v>1</v>
      </c>
      <c r="F2094" s="331">
        <v>255</v>
      </c>
      <c r="G2094" s="328"/>
      <c r="H2094" s="328" t="s">
        <v>1147</v>
      </c>
      <c r="I2094" s="324" t="s">
        <v>21</v>
      </c>
    </row>
    <row r="2095" spans="1:9" ht="11.1" customHeight="1" outlineLevel="1">
      <c r="A2095" s="325" t="s">
        <v>1067</v>
      </c>
      <c r="B2095" s="325" t="s">
        <v>3889</v>
      </c>
      <c r="C2095" s="325" t="s">
        <v>3890</v>
      </c>
      <c r="D2095" s="325" t="s">
        <v>20</v>
      </c>
      <c r="E2095" s="326">
        <v>2</v>
      </c>
      <c r="F2095" s="327">
        <v>22000</v>
      </c>
      <c r="G2095" s="328"/>
      <c r="H2095" s="328" t="s">
        <v>1147</v>
      </c>
      <c r="I2095" s="324" t="s">
        <v>21</v>
      </c>
    </row>
    <row r="2096" spans="1:9" ht="11.1" customHeight="1" outlineLevel="1">
      <c r="A2096" s="325" t="s">
        <v>1067</v>
      </c>
      <c r="B2096" s="325" t="s">
        <v>3891</v>
      </c>
      <c r="C2096" s="325" t="s">
        <v>3892</v>
      </c>
      <c r="D2096" s="325" t="s">
        <v>20</v>
      </c>
      <c r="E2096" s="326">
        <v>1</v>
      </c>
      <c r="F2096" s="331">
        <v>135</v>
      </c>
      <c r="G2096" s="328"/>
      <c r="H2096" s="328" t="s">
        <v>1147</v>
      </c>
      <c r="I2096" s="324" t="s">
        <v>21</v>
      </c>
    </row>
    <row r="2097" spans="1:9" ht="11.1" customHeight="1" outlineLevel="1">
      <c r="A2097" s="325" t="s">
        <v>1302</v>
      </c>
      <c r="B2097" s="325" t="s">
        <v>3893</v>
      </c>
      <c r="C2097" s="325" t="s">
        <v>3894</v>
      </c>
      <c r="D2097" s="325" t="s">
        <v>20</v>
      </c>
      <c r="E2097" s="326">
        <v>4</v>
      </c>
      <c r="F2097" s="331">
        <v>879.67</v>
      </c>
      <c r="G2097" s="328"/>
      <c r="H2097" s="328" t="s">
        <v>1147</v>
      </c>
      <c r="I2097" s="324" t="s">
        <v>21</v>
      </c>
    </row>
    <row r="2098" spans="1:9" ht="11.1" customHeight="1" outlineLevel="1">
      <c r="A2098" s="325" t="s">
        <v>1302</v>
      </c>
      <c r="B2098" s="325" t="s">
        <v>3895</v>
      </c>
      <c r="C2098" s="325" t="s">
        <v>3896</v>
      </c>
      <c r="D2098" s="325" t="s">
        <v>20</v>
      </c>
      <c r="E2098" s="326">
        <v>1</v>
      </c>
      <c r="F2098" s="327">
        <v>1280.83</v>
      </c>
      <c r="G2098" s="328"/>
      <c r="H2098" s="328" t="s">
        <v>1147</v>
      </c>
      <c r="I2098" s="324" t="s">
        <v>21</v>
      </c>
    </row>
    <row r="2099" spans="1:9" ht="11.1" customHeight="1" outlineLevel="1">
      <c r="A2099" s="325" t="s">
        <v>1302</v>
      </c>
      <c r="B2099" s="325" t="s">
        <v>3897</v>
      </c>
      <c r="C2099" s="325" t="s">
        <v>3898</v>
      </c>
      <c r="D2099" s="325" t="s">
        <v>20</v>
      </c>
      <c r="E2099" s="326">
        <v>1</v>
      </c>
      <c r="F2099" s="331">
        <v>168</v>
      </c>
      <c r="G2099" s="328"/>
      <c r="H2099" s="328" t="s">
        <v>1147</v>
      </c>
      <c r="I2099" s="324" t="s">
        <v>21</v>
      </c>
    </row>
    <row r="2100" spans="1:9" ht="11.1" customHeight="1" outlineLevel="1">
      <c r="A2100" s="325" t="s">
        <v>1302</v>
      </c>
      <c r="B2100" s="325" t="s">
        <v>3899</v>
      </c>
      <c r="C2100" s="325" t="s">
        <v>3900</v>
      </c>
      <c r="D2100" s="325" t="s">
        <v>20</v>
      </c>
      <c r="E2100" s="326">
        <v>1</v>
      </c>
      <c r="F2100" s="331">
        <v>83.33</v>
      </c>
      <c r="G2100" s="328"/>
      <c r="H2100" s="328" t="s">
        <v>1147</v>
      </c>
      <c r="I2100" s="324" t="s">
        <v>21</v>
      </c>
    </row>
    <row r="2101" spans="1:9" ht="11.1" customHeight="1" outlineLevel="1">
      <c r="A2101" s="325" t="s">
        <v>1302</v>
      </c>
      <c r="B2101" s="325" t="s">
        <v>3901</v>
      </c>
      <c r="C2101" s="325" t="s">
        <v>3902</v>
      </c>
      <c r="D2101" s="325" t="s">
        <v>20</v>
      </c>
      <c r="E2101" s="326">
        <v>1</v>
      </c>
      <c r="F2101" s="327">
        <v>1190</v>
      </c>
      <c r="G2101" s="328"/>
      <c r="H2101" s="328" t="s">
        <v>1147</v>
      </c>
      <c r="I2101" s="324" t="s">
        <v>21</v>
      </c>
    </row>
    <row r="2102" spans="1:9" ht="11.1" customHeight="1" outlineLevel="1">
      <c r="A2102" s="325" t="s">
        <v>1302</v>
      </c>
      <c r="B2102" s="325" t="s">
        <v>3903</v>
      </c>
      <c r="C2102" s="325" t="s">
        <v>3904</v>
      </c>
      <c r="D2102" s="325" t="s">
        <v>20</v>
      </c>
      <c r="E2102" s="326">
        <v>1</v>
      </c>
      <c r="F2102" s="331">
        <v>77.5</v>
      </c>
      <c r="G2102" s="328"/>
      <c r="H2102" s="328" t="s">
        <v>1147</v>
      </c>
      <c r="I2102" s="324" t="s">
        <v>21</v>
      </c>
    </row>
    <row r="2103" spans="1:9" ht="11.1" customHeight="1" outlineLevel="1">
      <c r="A2103" s="325" t="s">
        <v>1067</v>
      </c>
      <c r="B2103" s="325" t="s">
        <v>3905</v>
      </c>
      <c r="C2103" s="325" t="s">
        <v>3906</v>
      </c>
      <c r="D2103" s="325" t="s">
        <v>20</v>
      </c>
      <c r="E2103" s="326">
        <v>1</v>
      </c>
      <c r="F2103" s="331">
        <v>97</v>
      </c>
      <c r="G2103" s="328"/>
      <c r="H2103" s="328" t="s">
        <v>1147</v>
      </c>
      <c r="I2103" s="324" t="s">
        <v>21</v>
      </c>
    </row>
    <row r="2104" spans="1:9" ht="11.1" customHeight="1" outlineLevel="1">
      <c r="A2104" s="325" t="s">
        <v>1067</v>
      </c>
      <c r="B2104" s="325" t="s">
        <v>3907</v>
      </c>
      <c r="C2104" s="325" t="s">
        <v>3908</v>
      </c>
      <c r="D2104" s="325" t="s">
        <v>20</v>
      </c>
      <c r="E2104" s="326">
        <v>1</v>
      </c>
      <c r="F2104" s="331">
        <v>585</v>
      </c>
      <c r="G2104" s="328"/>
      <c r="H2104" s="328" t="s">
        <v>1147</v>
      </c>
      <c r="I2104" s="324" t="s">
        <v>21</v>
      </c>
    </row>
    <row r="2105" spans="1:9" ht="11.1" customHeight="1" outlineLevel="1">
      <c r="A2105" s="325" t="s">
        <v>1302</v>
      </c>
      <c r="B2105" s="325" t="s">
        <v>3907</v>
      </c>
      <c r="C2105" s="325" t="s">
        <v>3908</v>
      </c>
      <c r="D2105" s="325" t="s">
        <v>20</v>
      </c>
      <c r="E2105" s="326">
        <v>2</v>
      </c>
      <c r="F2105" s="331">
        <v>921.33</v>
      </c>
      <c r="G2105" s="328"/>
      <c r="H2105" s="328" t="s">
        <v>1147</v>
      </c>
      <c r="I2105" s="324" t="s">
        <v>21</v>
      </c>
    </row>
    <row r="2106" spans="1:9" ht="11.1" customHeight="1" outlineLevel="1">
      <c r="A2106" s="325" t="s">
        <v>1302</v>
      </c>
      <c r="B2106" s="325" t="s">
        <v>3909</v>
      </c>
      <c r="C2106" s="325" t="s">
        <v>3910</v>
      </c>
      <c r="D2106" s="325" t="s">
        <v>20</v>
      </c>
      <c r="E2106" s="326">
        <v>1</v>
      </c>
      <c r="F2106" s="331">
        <v>14</v>
      </c>
      <c r="G2106" s="328"/>
      <c r="H2106" s="328" t="s">
        <v>1147</v>
      </c>
      <c r="I2106" s="324" t="s">
        <v>21</v>
      </c>
    </row>
    <row r="2107" spans="1:9" ht="11.1" customHeight="1" outlineLevel="1">
      <c r="A2107" s="325" t="s">
        <v>1302</v>
      </c>
      <c r="B2107" s="325" t="s">
        <v>3911</v>
      </c>
      <c r="C2107" s="325" t="s">
        <v>3912</v>
      </c>
      <c r="D2107" s="325" t="s">
        <v>20</v>
      </c>
      <c r="E2107" s="326">
        <v>1</v>
      </c>
      <c r="F2107" s="331">
        <v>112</v>
      </c>
      <c r="G2107" s="328"/>
      <c r="H2107" s="328" t="s">
        <v>1147</v>
      </c>
      <c r="I2107" s="324" t="s">
        <v>21</v>
      </c>
    </row>
    <row r="2108" spans="1:9" ht="11.1" customHeight="1" outlineLevel="1">
      <c r="A2108" s="325" t="s">
        <v>1302</v>
      </c>
      <c r="B2108" s="325" t="s">
        <v>3913</v>
      </c>
      <c r="C2108" s="325" t="s">
        <v>3914</v>
      </c>
      <c r="D2108" s="325" t="s">
        <v>20</v>
      </c>
      <c r="E2108" s="326">
        <v>4</v>
      </c>
      <c r="F2108" s="331">
        <v>58.8</v>
      </c>
      <c r="G2108" s="328"/>
      <c r="H2108" s="328" t="s">
        <v>1147</v>
      </c>
      <c r="I2108" s="324" t="s">
        <v>21</v>
      </c>
    </row>
    <row r="2109" spans="1:9" ht="11.1" customHeight="1" outlineLevel="1">
      <c r="A2109" s="325" t="s">
        <v>1302</v>
      </c>
      <c r="B2109" s="325" t="s">
        <v>3915</v>
      </c>
      <c r="C2109" s="325" t="s">
        <v>3916</v>
      </c>
      <c r="D2109" s="325" t="s">
        <v>20</v>
      </c>
      <c r="E2109" s="326">
        <v>20</v>
      </c>
      <c r="F2109" s="331">
        <v>294</v>
      </c>
      <c r="G2109" s="328"/>
      <c r="H2109" s="328" t="s">
        <v>1147</v>
      </c>
      <c r="I2109" s="324" t="s">
        <v>21</v>
      </c>
    </row>
    <row r="2110" spans="1:9" ht="11.1" customHeight="1" outlineLevel="1">
      <c r="A2110" s="325" t="s">
        <v>1302</v>
      </c>
      <c r="B2110" s="325" t="s">
        <v>3917</v>
      </c>
      <c r="C2110" s="325" t="s">
        <v>3918</v>
      </c>
      <c r="D2110" s="325" t="s">
        <v>20</v>
      </c>
      <c r="E2110" s="326">
        <v>2</v>
      </c>
      <c r="F2110" s="331">
        <v>29.49</v>
      </c>
      <c r="G2110" s="328"/>
      <c r="H2110" s="328" t="s">
        <v>1147</v>
      </c>
      <c r="I2110" s="324" t="s">
        <v>21</v>
      </c>
    </row>
    <row r="2111" spans="1:9" ht="11.1" customHeight="1" outlineLevel="1">
      <c r="A2111" s="325" t="s">
        <v>1302</v>
      </c>
      <c r="B2111" s="325" t="s">
        <v>3919</v>
      </c>
      <c r="C2111" s="325" t="s">
        <v>3920</v>
      </c>
      <c r="D2111" s="325" t="s">
        <v>20</v>
      </c>
      <c r="E2111" s="326">
        <v>10</v>
      </c>
      <c r="F2111" s="331">
        <v>211</v>
      </c>
      <c r="G2111" s="328"/>
      <c r="H2111" s="328" t="s">
        <v>1147</v>
      </c>
      <c r="I2111" s="324" t="s">
        <v>21</v>
      </c>
    </row>
    <row r="2112" spans="1:9" ht="11.1" customHeight="1" outlineLevel="1">
      <c r="A2112" s="325" t="s">
        <v>1302</v>
      </c>
      <c r="B2112" s="325" t="s">
        <v>3921</v>
      </c>
      <c r="C2112" s="325" t="s">
        <v>3922</v>
      </c>
      <c r="D2112" s="325" t="s">
        <v>20</v>
      </c>
      <c r="E2112" s="326">
        <v>10</v>
      </c>
      <c r="F2112" s="331">
        <v>206</v>
      </c>
      <c r="G2112" s="328"/>
      <c r="H2112" s="328" t="s">
        <v>1147</v>
      </c>
      <c r="I2112" s="324" t="s">
        <v>21</v>
      </c>
    </row>
    <row r="2113" spans="1:9" ht="11.1" customHeight="1" outlineLevel="1">
      <c r="A2113" s="325" t="s">
        <v>1302</v>
      </c>
      <c r="B2113" s="325" t="s">
        <v>3923</v>
      </c>
      <c r="C2113" s="325" t="s">
        <v>3924</v>
      </c>
      <c r="D2113" s="325" t="s">
        <v>20</v>
      </c>
      <c r="E2113" s="326">
        <v>18</v>
      </c>
      <c r="F2113" s="331">
        <v>375.74</v>
      </c>
      <c r="G2113" s="328"/>
      <c r="H2113" s="328" t="s">
        <v>1147</v>
      </c>
      <c r="I2113" s="324" t="s">
        <v>21</v>
      </c>
    </row>
    <row r="2114" spans="1:9" ht="11.1" customHeight="1" outlineLevel="1">
      <c r="A2114" s="325" t="s">
        <v>1302</v>
      </c>
      <c r="B2114" s="325" t="s">
        <v>3925</v>
      </c>
      <c r="C2114" s="325" t="s">
        <v>3926</v>
      </c>
      <c r="D2114" s="325" t="s">
        <v>20</v>
      </c>
      <c r="E2114" s="326">
        <v>3</v>
      </c>
      <c r="F2114" s="331">
        <v>58.5</v>
      </c>
      <c r="G2114" s="328"/>
      <c r="H2114" s="328" t="s">
        <v>1147</v>
      </c>
      <c r="I2114" s="324" t="s">
        <v>21</v>
      </c>
    </row>
    <row r="2115" spans="1:9" ht="11.1" customHeight="1" outlineLevel="1">
      <c r="A2115" s="325" t="s">
        <v>1302</v>
      </c>
      <c r="B2115" s="325" t="s">
        <v>3927</v>
      </c>
      <c r="C2115" s="325" t="s">
        <v>3928</v>
      </c>
      <c r="D2115" s="325" t="s">
        <v>20</v>
      </c>
      <c r="E2115" s="326">
        <v>1</v>
      </c>
      <c r="F2115" s="331">
        <v>440.8</v>
      </c>
      <c r="G2115" s="328"/>
      <c r="H2115" s="328" t="s">
        <v>1147</v>
      </c>
      <c r="I2115" s="324" t="s">
        <v>21</v>
      </c>
    </row>
    <row r="2116" spans="1:9" ht="11.1" customHeight="1" outlineLevel="1">
      <c r="A2116" s="325" t="s">
        <v>1067</v>
      </c>
      <c r="B2116" s="325" t="s">
        <v>3927</v>
      </c>
      <c r="C2116" s="325" t="s">
        <v>3928</v>
      </c>
      <c r="D2116" s="325" t="s">
        <v>20</v>
      </c>
      <c r="E2116" s="326">
        <v>2</v>
      </c>
      <c r="F2116" s="331">
        <v>881.6</v>
      </c>
      <c r="G2116" s="328"/>
      <c r="H2116" s="328" t="s">
        <v>1147</v>
      </c>
      <c r="I2116" s="324" t="s">
        <v>21</v>
      </c>
    </row>
    <row r="2117" spans="1:9" ht="11.1" customHeight="1" outlineLevel="1">
      <c r="A2117" s="325" t="s">
        <v>1067</v>
      </c>
      <c r="B2117" s="325" t="s">
        <v>3929</v>
      </c>
      <c r="C2117" s="325" t="s">
        <v>3930</v>
      </c>
      <c r="D2117" s="325" t="s">
        <v>20</v>
      </c>
      <c r="E2117" s="326">
        <v>1</v>
      </c>
      <c r="F2117" s="331">
        <v>46</v>
      </c>
      <c r="G2117" s="328"/>
      <c r="H2117" s="328" t="s">
        <v>1147</v>
      </c>
      <c r="I2117" s="324" t="s">
        <v>21</v>
      </c>
    </row>
    <row r="2118" spans="1:9" ht="11.1" customHeight="1" outlineLevel="1">
      <c r="A2118" s="325" t="s">
        <v>1067</v>
      </c>
      <c r="B2118" s="325" t="s">
        <v>3931</v>
      </c>
      <c r="C2118" s="325" t="s">
        <v>3932</v>
      </c>
      <c r="D2118" s="325" t="s">
        <v>20</v>
      </c>
      <c r="E2118" s="326">
        <v>17</v>
      </c>
      <c r="F2118" s="327">
        <v>1130.6199999999999</v>
      </c>
      <c r="G2118" s="328"/>
      <c r="H2118" s="328" t="s">
        <v>1147</v>
      </c>
      <c r="I2118" s="324" t="s">
        <v>21</v>
      </c>
    </row>
    <row r="2119" spans="1:9" ht="11.1" customHeight="1" outlineLevel="1">
      <c r="A2119" s="325" t="s">
        <v>1302</v>
      </c>
      <c r="B2119" s="325" t="s">
        <v>3931</v>
      </c>
      <c r="C2119" s="325" t="s">
        <v>3932</v>
      </c>
      <c r="D2119" s="325" t="s">
        <v>20</v>
      </c>
      <c r="E2119" s="326">
        <v>4</v>
      </c>
      <c r="F2119" s="331">
        <v>172.27</v>
      </c>
      <c r="G2119" s="328"/>
      <c r="H2119" s="328" t="s">
        <v>1147</v>
      </c>
      <c r="I2119" s="324" t="s">
        <v>21</v>
      </c>
    </row>
    <row r="2120" spans="1:9" ht="11.1" customHeight="1" outlineLevel="1">
      <c r="A2120" s="325" t="s">
        <v>1067</v>
      </c>
      <c r="B2120" s="325" t="s">
        <v>3933</v>
      </c>
      <c r="C2120" s="325" t="s">
        <v>3934</v>
      </c>
      <c r="D2120" s="325" t="s">
        <v>20</v>
      </c>
      <c r="E2120" s="326">
        <v>27</v>
      </c>
      <c r="F2120" s="327">
        <v>1785</v>
      </c>
      <c r="G2120" s="328"/>
      <c r="H2120" s="328" t="s">
        <v>1147</v>
      </c>
      <c r="I2120" s="324" t="s">
        <v>21</v>
      </c>
    </row>
    <row r="2121" spans="1:9" ht="11.1" customHeight="1" outlineLevel="1">
      <c r="A2121" s="325" t="s">
        <v>1302</v>
      </c>
      <c r="B2121" s="325" t="s">
        <v>3933</v>
      </c>
      <c r="C2121" s="325" t="s">
        <v>3934</v>
      </c>
      <c r="D2121" s="325" t="s">
        <v>20</v>
      </c>
      <c r="E2121" s="326">
        <v>17</v>
      </c>
      <c r="F2121" s="331">
        <v>960.16</v>
      </c>
      <c r="G2121" s="328"/>
      <c r="H2121" s="328" t="s">
        <v>1147</v>
      </c>
      <c r="I2121" s="324" t="s">
        <v>21</v>
      </c>
    </row>
    <row r="2122" spans="1:9" ht="11.1" customHeight="1" outlineLevel="1">
      <c r="A2122" s="325" t="s">
        <v>1302</v>
      </c>
      <c r="B2122" s="325" t="s">
        <v>3935</v>
      </c>
      <c r="C2122" s="325" t="s">
        <v>3936</v>
      </c>
      <c r="D2122" s="325" t="s">
        <v>20</v>
      </c>
      <c r="E2122" s="326">
        <v>14</v>
      </c>
      <c r="F2122" s="327">
        <v>1596.97</v>
      </c>
      <c r="G2122" s="328"/>
      <c r="H2122" s="328" t="s">
        <v>1147</v>
      </c>
      <c r="I2122" s="324" t="s">
        <v>21</v>
      </c>
    </row>
    <row r="2123" spans="1:9" ht="11.1" customHeight="1" outlineLevel="1">
      <c r="A2123" s="325" t="s">
        <v>1067</v>
      </c>
      <c r="B2123" s="325" t="s">
        <v>3935</v>
      </c>
      <c r="C2123" s="325" t="s">
        <v>3936</v>
      </c>
      <c r="D2123" s="325" t="s">
        <v>20</v>
      </c>
      <c r="E2123" s="326">
        <v>52</v>
      </c>
      <c r="F2123" s="327">
        <v>5781.79</v>
      </c>
      <c r="G2123" s="328"/>
      <c r="H2123" s="328" t="s">
        <v>1147</v>
      </c>
      <c r="I2123" s="324" t="s">
        <v>21</v>
      </c>
    </row>
    <row r="2124" spans="1:9" ht="11.1" customHeight="1" outlineLevel="1">
      <c r="A2124" s="325" t="s">
        <v>1302</v>
      </c>
      <c r="B2124" s="325" t="s">
        <v>3937</v>
      </c>
      <c r="C2124" s="325" t="s">
        <v>3938</v>
      </c>
      <c r="D2124" s="325" t="s">
        <v>20</v>
      </c>
      <c r="E2124" s="326">
        <v>1</v>
      </c>
      <c r="F2124" s="331">
        <v>394.6</v>
      </c>
      <c r="G2124" s="328"/>
      <c r="H2124" s="328" t="s">
        <v>1147</v>
      </c>
      <c r="I2124" s="324" t="s">
        <v>21</v>
      </c>
    </row>
    <row r="2125" spans="1:9" ht="11.1" customHeight="1" outlineLevel="1">
      <c r="A2125" s="325" t="s">
        <v>1067</v>
      </c>
      <c r="B2125" s="325" t="s">
        <v>3939</v>
      </c>
      <c r="C2125" s="325" t="s">
        <v>3940</v>
      </c>
      <c r="D2125" s="325" t="s">
        <v>20</v>
      </c>
      <c r="E2125" s="326">
        <v>2</v>
      </c>
      <c r="F2125" s="331">
        <v>388</v>
      </c>
      <c r="G2125" s="328"/>
      <c r="H2125" s="328" t="s">
        <v>1147</v>
      </c>
      <c r="I2125" s="324" t="s">
        <v>21</v>
      </c>
    </row>
    <row r="2126" spans="1:9" ht="11.1" customHeight="1" outlineLevel="1">
      <c r="A2126" s="325" t="s">
        <v>1302</v>
      </c>
      <c r="B2126" s="325" t="s">
        <v>3939</v>
      </c>
      <c r="C2126" s="325" t="s">
        <v>3940</v>
      </c>
      <c r="D2126" s="325" t="s">
        <v>20</v>
      </c>
      <c r="E2126" s="326">
        <v>1</v>
      </c>
      <c r="F2126" s="331">
        <v>229</v>
      </c>
      <c r="G2126" s="328"/>
      <c r="H2126" s="328" t="s">
        <v>1147</v>
      </c>
      <c r="I2126" s="324" t="s">
        <v>21</v>
      </c>
    </row>
    <row r="2127" spans="1:9" ht="11.1" customHeight="1" outlineLevel="1">
      <c r="A2127" s="325" t="s">
        <v>1302</v>
      </c>
      <c r="B2127" s="325" t="s">
        <v>3941</v>
      </c>
      <c r="C2127" s="325" t="s">
        <v>3942</v>
      </c>
      <c r="D2127" s="325" t="s">
        <v>20</v>
      </c>
      <c r="E2127" s="326">
        <v>12</v>
      </c>
      <c r="F2127" s="327">
        <v>1065.6600000000001</v>
      </c>
      <c r="G2127" s="328"/>
      <c r="H2127" s="328" t="s">
        <v>1147</v>
      </c>
      <c r="I2127" s="324" t="s">
        <v>21</v>
      </c>
    </row>
    <row r="2128" spans="1:9" ht="11.1" customHeight="1" outlineLevel="1">
      <c r="A2128" s="325" t="s">
        <v>1302</v>
      </c>
      <c r="B2128" s="325" t="s">
        <v>3943</v>
      </c>
      <c r="C2128" s="325" t="s">
        <v>3944</v>
      </c>
      <c r="D2128" s="325" t="s">
        <v>20</v>
      </c>
      <c r="E2128" s="326">
        <v>1</v>
      </c>
      <c r="F2128" s="331">
        <v>36.67</v>
      </c>
      <c r="G2128" s="328"/>
      <c r="H2128" s="328" t="s">
        <v>1147</v>
      </c>
      <c r="I2128" s="324" t="s">
        <v>21</v>
      </c>
    </row>
    <row r="2129" spans="1:9" ht="11.1" customHeight="1" outlineLevel="1">
      <c r="A2129" s="325" t="s">
        <v>1302</v>
      </c>
      <c r="B2129" s="325" t="s">
        <v>3945</v>
      </c>
      <c r="C2129" s="325" t="s">
        <v>3946</v>
      </c>
      <c r="D2129" s="325" t="s">
        <v>20</v>
      </c>
      <c r="E2129" s="326">
        <v>4</v>
      </c>
      <c r="F2129" s="327">
        <v>1122.81</v>
      </c>
      <c r="G2129" s="328"/>
      <c r="H2129" s="328" t="s">
        <v>1147</v>
      </c>
      <c r="I2129" s="324" t="s">
        <v>21</v>
      </c>
    </row>
    <row r="2130" spans="1:9" ht="11.1" customHeight="1" outlineLevel="1">
      <c r="A2130" s="325" t="s">
        <v>1067</v>
      </c>
      <c r="B2130" s="325" t="s">
        <v>3945</v>
      </c>
      <c r="C2130" s="325" t="s">
        <v>3946</v>
      </c>
      <c r="D2130" s="325" t="s">
        <v>20</v>
      </c>
      <c r="E2130" s="326">
        <v>3</v>
      </c>
      <c r="F2130" s="327">
        <v>1545.51</v>
      </c>
      <c r="G2130" s="328"/>
      <c r="H2130" s="328" t="s">
        <v>1147</v>
      </c>
      <c r="I2130" s="324" t="s">
        <v>21</v>
      </c>
    </row>
    <row r="2131" spans="1:9" ht="11.1" customHeight="1" outlineLevel="1">
      <c r="A2131" s="325" t="s">
        <v>1302</v>
      </c>
      <c r="B2131" s="325" t="s">
        <v>3947</v>
      </c>
      <c r="C2131" s="325" t="s">
        <v>3948</v>
      </c>
      <c r="D2131" s="325" t="s">
        <v>20</v>
      </c>
      <c r="E2131" s="326">
        <v>1</v>
      </c>
      <c r="F2131" s="331">
        <v>437.91</v>
      </c>
      <c r="G2131" s="328"/>
      <c r="H2131" s="328" t="s">
        <v>1147</v>
      </c>
      <c r="I2131" s="324" t="s">
        <v>21</v>
      </c>
    </row>
    <row r="2132" spans="1:9" ht="11.1" customHeight="1" outlineLevel="1">
      <c r="A2132" s="325" t="s">
        <v>1302</v>
      </c>
      <c r="B2132" s="325" t="s">
        <v>3949</v>
      </c>
      <c r="C2132" s="325" t="s">
        <v>3950</v>
      </c>
      <c r="D2132" s="325" t="s">
        <v>20</v>
      </c>
      <c r="E2132" s="326">
        <v>1</v>
      </c>
      <c r="F2132" s="331">
        <v>280.81</v>
      </c>
      <c r="G2132" s="328"/>
      <c r="H2132" s="328" t="s">
        <v>1147</v>
      </c>
      <c r="I2132" s="324" t="s">
        <v>21</v>
      </c>
    </row>
    <row r="2133" spans="1:9" ht="11.1" customHeight="1" outlineLevel="1">
      <c r="A2133" s="325" t="s">
        <v>1067</v>
      </c>
      <c r="B2133" s="325" t="s">
        <v>3951</v>
      </c>
      <c r="C2133" s="325" t="s">
        <v>3952</v>
      </c>
      <c r="D2133" s="325" t="s">
        <v>20</v>
      </c>
      <c r="E2133" s="326">
        <v>9</v>
      </c>
      <c r="F2133" s="327">
        <v>1008</v>
      </c>
      <c r="G2133" s="328"/>
      <c r="H2133" s="328" t="s">
        <v>1147</v>
      </c>
      <c r="I2133" s="324" t="s">
        <v>21</v>
      </c>
    </row>
    <row r="2134" spans="1:9" ht="11.1" customHeight="1" outlineLevel="1">
      <c r="A2134" s="325" t="s">
        <v>1302</v>
      </c>
      <c r="B2134" s="325" t="s">
        <v>3951</v>
      </c>
      <c r="C2134" s="325" t="s">
        <v>3952</v>
      </c>
      <c r="D2134" s="325" t="s">
        <v>20</v>
      </c>
      <c r="E2134" s="326">
        <v>59</v>
      </c>
      <c r="F2134" s="327">
        <v>4593.3100000000004</v>
      </c>
      <c r="G2134" s="328"/>
      <c r="H2134" s="328" t="s">
        <v>1147</v>
      </c>
      <c r="I2134" s="324" t="s">
        <v>21</v>
      </c>
    </row>
    <row r="2135" spans="1:9" ht="11.1" customHeight="1" outlineLevel="1">
      <c r="A2135" s="325" t="s">
        <v>1302</v>
      </c>
      <c r="B2135" s="325" t="s">
        <v>3953</v>
      </c>
      <c r="C2135" s="325" t="s">
        <v>3954</v>
      </c>
      <c r="D2135" s="325" t="s">
        <v>20</v>
      </c>
      <c r="E2135" s="326">
        <v>1</v>
      </c>
      <c r="F2135" s="331">
        <v>163.33000000000001</v>
      </c>
      <c r="G2135" s="328"/>
      <c r="H2135" s="328" t="s">
        <v>1147</v>
      </c>
      <c r="I2135" s="324" t="s">
        <v>21</v>
      </c>
    </row>
    <row r="2136" spans="1:9" ht="11.1" customHeight="1" outlineLevel="1">
      <c r="A2136" s="325" t="s">
        <v>1302</v>
      </c>
      <c r="B2136" s="325" t="s">
        <v>3955</v>
      </c>
      <c r="C2136" s="325" t="s">
        <v>3956</v>
      </c>
      <c r="D2136" s="325" t="s">
        <v>20</v>
      </c>
      <c r="E2136" s="326">
        <v>2</v>
      </c>
      <c r="F2136" s="331">
        <v>28.34</v>
      </c>
      <c r="G2136" s="328"/>
      <c r="H2136" s="328" t="s">
        <v>1147</v>
      </c>
      <c r="I2136" s="324" t="s">
        <v>21</v>
      </c>
    </row>
    <row r="2137" spans="1:9" ht="11.1" customHeight="1" outlineLevel="1">
      <c r="A2137" s="325" t="s">
        <v>1302</v>
      </c>
      <c r="B2137" s="325" t="s">
        <v>3957</v>
      </c>
      <c r="C2137" s="325" t="s">
        <v>3958</v>
      </c>
      <c r="D2137" s="325" t="s">
        <v>20</v>
      </c>
      <c r="E2137" s="326">
        <v>1</v>
      </c>
      <c r="F2137" s="331">
        <v>11</v>
      </c>
      <c r="G2137" s="328"/>
      <c r="H2137" s="328" t="s">
        <v>1147</v>
      </c>
      <c r="I2137" s="324" t="s">
        <v>21</v>
      </c>
    </row>
    <row r="2138" spans="1:9" ht="11.1" customHeight="1" outlineLevel="1">
      <c r="A2138" s="325" t="s">
        <v>1302</v>
      </c>
      <c r="B2138" s="325" t="s">
        <v>3959</v>
      </c>
      <c r="C2138" s="325" t="s">
        <v>3960</v>
      </c>
      <c r="D2138" s="325" t="s">
        <v>20</v>
      </c>
      <c r="E2138" s="326">
        <v>29</v>
      </c>
      <c r="F2138" s="327">
        <v>1770.64</v>
      </c>
      <c r="G2138" s="328"/>
      <c r="H2138" s="328" t="s">
        <v>1147</v>
      </c>
      <c r="I2138" s="324" t="s">
        <v>21</v>
      </c>
    </row>
    <row r="2139" spans="1:9" ht="11.1" customHeight="1" outlineLevel="1">
      <c r="A2139" s="325" t="s">
        <v>1302</v>
      </c>
      <c r="B2139" s="325" t="s">
        <v>3961</v>
      </c>
      <c r="C2139" s="325" t="s">
        <v>3962</v>
      </c>
      <c r="D2139" s="325" t="s">
        <v>261</v>
      </c>
      <c r="E2139" s="326">
        <v>1</v>
      </c>
      <c r="F2139" s="331">
        <v>82</v>
      </c>
      <c r="G2139" s="328"/>
      <c r="H2139" s="328" t="s">
        <v>1147</v>
      </c>
      <c r="I2139" s="324" t="s">
        <v>21</v>
      </c>
    </row>
    <row r="2140" spans="1:9" ht="11.1" customHeight="1" outlineLevel="1">
      <c r="A2140" s="325" t="s">
        <v>1302</v>
      </c>
      <c r="B2140" s="325" t="s">
        <v>3963</v>
      </c>
      <c r="C2140" s="325" t="s">
        <v>3964</v>
      </c>
      <c r="D2140" s="325" t="s">
        <v>20</v>
      </c>
      <c r="E2140" s="326">
        <v>1</v>
      </c>
      <c r="F2140" s="331">
        <v>649</v>
      </c>
      <c r="G2140" s="328"/>
      <c r="H2140" s="328" t="s">
        <v>1147</v>
      </c>
      <c r="I2140" s="324" t="s">
        <v>21</v>
      </c>
    </row>
    <row r="2141" spans="1:9" ht="11.1" customHeight="1" outlineLevel="1">
      <c r="A2141" s="325" t="s">
        <v>1302</v>
      </c>
      <c r="B2141" s="325" t="s">
        <v>3965</v>
      </c>
      <c r="C2141" s="325" t="s">
        <v>3966</v>
      </c>
      <c r="D2141" s="325" t="s">
        <v>20</v>
      </c>
      <c r="E2141" s="326">
        <v>18</v>
      </c>
      <c r="F2141" s="327">
        <v>1873.53</v>
      </c>
      <c r="G2141" s="328"/>
      <c r="H2141" s="328" t="s">
        <v>1147</v>
      </c>
      <c r="I2141" s="324" t="s">
        <v>21</v>
      </c>
    </row>
    <row r="2142" spans="1:9" ht="11.1" customHeight="1" outlineLevel="1">
      <c r="A2142" s="325" t="s">
        <v>1067</v>
      </c>
      <c r="B2142" s="325" t="s">
        <v>3965</v>
      </c>
      <c r="C2142" s="325" t="s">
        <v>3966</v>
      </c>
      <c r="D2142" s="325" t="s">
        <v>20</v>
      </c>
      <c r="E2142" s="326">
        <v>33</v>
      </c>
      <c r="F2142" s="327">
        <v>3148.48</v>
      </c>
      <c r="G2142" s="328"/>
      <c r="H2142" s="328" t="s">
        <v>1147</v>
      </c>
      <c r="I2142" s="324" t="s">
        <v>21</v>
      </c>
    </row>
    <row r="2143" spans="1:9" ht="11.1" customHeight="1" outlineLevel="1">
      <c r="A2143" s="325" t="s">
        <v>1302</v>
      </c>
      <c r="B2143" s="325" t="s">
        <v>3967</v>
      </c>
      <c r="C2143" s="325" t="s">
        <v>3968</v>
      </c>
      <c r="D2143" s="325" t="s">
        <v>20</v>
      </c>
      <c r="E2143" s="326">
        <v>1</v>
      </c>
      <c r="F2143" s="331">
        <v>98</v>
      </c>
      <c r="G2143" s="328"/>
      <c r="H2143" s="328" t="s">
        <v>1147</v>
      </c>
      <c r="I2143" s="324" t="s">
        <v>21</v>
      </c>
    </row>
    <row r="2144" spans="1:9" ht="11.1" customHeight="1" outlineLevel="1">
      <c r="A2144" s="325" t="s">
        <v>1302</v>
      </c>
      <c r="B2144" s="325" t="s">
        <v>3969</v>
      </c>
      <c r="C2144" s="325" t="s">
        <v>3970</v>
      </c>
      <c r="D2144" s="325" t="s">
        <v>20</v>
      </c>
      <c r="E2144" s="326">
        <v>11</v>
      </c>
      <c r="F2144" s="331">
        <v>723.25</v>
      </c>
      <c r="G2144" s="328"/>
      <c r="H2144" s="328" t="s">
        <v>1147</v>
      </c>
      <c r="I2144" s="324" t="s">
        <v>21</v>
      </c>
    </row>
    <row r="2145" spans="1:9" ht="11.1" customHeight="1" outlineLevel="1">
      <c r="A2145" s="325" t="s">
        <v>1302</v>
      </c>
      <c r="B2145" s="325" t="s">
        <v>2240</v>
      </c>
      <c r="C2145" s="325" t="s">
        <v>2241</v>
      </c>
      <c r="D2145" s="325" t="s">
        <v>20</v>
      </c>
      <c r="E2145" s="326">
        <v>5</v>
      </c>
      <c r="F2145" s="327">
        <v>18935</v>
      </c>
      <c r="G2145" s="328"/>
      <c r="H2145" s="328" t="s">
        <v>1147</v>
      </c>
      <c r="I2145" s="324" t="s">
        <v>21</v>
      </c>
    </row>
    <row r="2146" spans="1:9" ht="11.1" customHeight="1" outlineLevel="1">
      <c r="A2146" s="325" t="s">
        <v>1302</v>
      </c>
      <c r="B2146" s="325" t="s">
        <v>1278</v>
      </c>
      <c r="C2146" s="325" t="s">
        <v>1279</v>
      </c>
      <c r="D2146" s="325" t="s">
        <v>20</v>
      </c>
      <c r="E2146" s="326">
        <v>1</v>
      </c>
      <c r="F2146" s="331">
        <v>306.67</v>
      </c>
      <c r="G2146" s="328"/>
      <c r="H2146" s="328" t="s">
        <v>1147</v>
      </c>
      <c r="I2146" s="324" t="s">
        <v>21</v>
      </c>
    </row>
    <row r="2147" spans="1:9" ht="11.1" customHeight="1" outlineLevel="1">
      <c r="A2147" s="325" t="s">
        <v>1302</v>
      </c>
      <c r="B2147" s="325" t="s">
        <v>3971</v>
      </c>
      <c r="C2147" s="325" t="s">
        <v>3972</v>
      </c>
      <c r="D2147" s="325" t="s">
        <v>20</v>
      </c>
      <c r="E2147" s="326">
        <v>1</v>
      </c>
      <c r="F2147" s="331">
        <v>82.67</v>
      </c>
      <c r="G2147" s="328"/>
      <c r="H2147" s="328" t="s">
        <v>1147</v>
      </c>
      <c r="I2147" s="324" t="s">
        <v>21</v>
      </c>
    </row>
    <row r="2148" spans="1:9" ht="11.1" customHeight="1" outlineLevel="1">
      <c r="A2148" s="325" t="s">
        <v>1302</v>
      </c>
      <c r="B2148" s="325" t="s">
        <v>3973</v>
      </c>
      <c r="C2148" s="325" t="s">
        <v>3974</v>
      </c>
      <c r="D2148" s="325" t="s">
        <v>20</v>
      </c>
      <c r="E2148" s="326">
        <v>8</v>
      </c>
      <c r="F2148" s="331">
        <v>268.08</v>
      </c>
      <c r="G2148" s="328"/>
      <c r="H2148" s="328" t="s">
        <v>1147</v>
      </c>
      <c r="I2148" s="324" t="s">
        <v>21</v>
      </c>
    </row>
    <row r="2149" spans="1:9" ht="11.1" customHeight="1" outlineLevel="1">
      <c r="A2149" s="325" t="s">
        <v>1067</v>
      </c>
      <c r="B2149" s="325" t="s">
        <v>3973</v>
      </c>
      <c r="C2149" s="325" t="s">
        <v>3974</v>
      </c>
      <c r="D2149" s="325" t="s">
        <v>20</v>
      </c>
      <c r="E2149" s="326">
        <v>63</v>
      </c>
      <c r="F2149" s="327">
        <v>1157.1500000000001</v>
      </c>
      <c r="G2149" s="328"/>
      <c r="H2149" s="328" t="s">
        <v>1147</v>
      </c>
      <c r="I2149" s="324" t="s">
        <v>21</v>
      </c>
    </row>
    <row r="2150" spans="1:9" ht="11.1" customHeight="1" outlineLevel="1">
      <c r="A2150" s="325" t="s">
        <v>1302</v>
      </c>
      <c r="B2150" s="325" t="s">
        <v>3975</v>
      </c>
      <c r="C2150" s="325" t="s">
        <v>3976</v>
      </c>
      <c r="D2150" s="325" t="s">
        <v>20</v>
      </c>
      <c r="E2150" s="326">
        <v>2</v>
      </c>
      <c r="F2150" s="331">
        <v>254</v>
      </c>
      <c r="G2150" s="328"/>
      <c r="H2150" s="328" t="s">
        <v>1147</v>
      </c>
      <c r="I2150" s="324" t="s">
        <v>21</v>
      </c>
    </row>
    <row r="2151" spans="1:9" ht="11.1" customHeight="1" outlineLevel="1">
      <c r="A2151" s="325" t="s">
        <v>1302</v>
      </c>
      <c r="B2151" s="325" t="s">
        <v>3977</v>
      </c>
      <c r="C2151" s="325" t="s">
        <v>3978</v>
      </c>
      <c r="D2151" s="325" t="s">
        <v>20</v>
      </c>
      <c r="E2151" s="326">
        <v>24</v>
      </c>
      <c r="F2151" s="327">
        <v>2528.83</v>
      </c>
      <c r="G2151" s="328"/>
      <c r="H2151" s="328" t="s">
        <v>1147</v>
      </c>
      <c r="I2151" s="324" t="s">
        <v>21</v>
      </c>
    </row>
    <row r="2152" spans="1:9" ht="11.1" customHeight="1" outlineLevel="1">
      <c r="A2152" s="325" t="s">
        <v>1302</v>
      </c>
      <c r="B2152" s="325" t="s">
        <v>3979</v>
      </c>
      <c r="C2152" s="325" t="s">
        <v>3980</v>
      </c>
      <c r="D2152" s="325" t="s">
        <v>20</v>
      </c>
      <c r="E2152" s="326">
        <v>1</v>
      </c>
      <c r="F2152" s="331">
        <v>120.79</v>
      </c>
      <c r="G2152" s="328"/>
      <c r="H2152" s="328" t="s">
        <v>1147</v>
      </c>
      <c r="I2152" s="324" t="s">
        <v>21</v>
      </c>
    </row>
    <row r="2153" spans="1:9" ht="11.1" customHeight="1" outlineLevel="1">
      <c r="A2153" s="325" t="s">
        <v>1302</v>
      </c>
      <c r="B2153" s="325" t="s">
        <v>3981</v>
      </c>
      <c r="C2153" s="325" t="s">
        <v>3982</v>
      </c>
      <c r="D2153" s="325" t="s">
        <v>20</v>
      </c>
      <c r="E2153" s="326">
        <v>4</v>
      </c>
      <c r="F2153" s="331">
        <v>82.29</v>
      </c>
      <c r="G2153" s="328"/>
      <c r="H2153" s="328" t="s">
        <v>1147</v>
      </c>
      <c r="I2153" s="324" t="s">
        <v>21</v>
      </c>
    </row>
    <row r="2154" spans="1:9" ht="11.1" customHeight="1" outlineLevel="1">
      <c r="A2154" s="325" t="s">
        <v>1302</v>
      </c>
      <c r="B2154" s="325" t="s">
        <v>3983</v>
      </c>
      <c r="C2154" s="325" t="s">
        <v>3984</v>
      </c>
      <c r="D2154" s="325" t="s">
        <v>20</v>
      </c>
      <c r="E2154" s="326">
        <v>1</v>
      </c>
      <c r="F2154" s="331">
        <v>30</v>
      </c>
      <c r="G2154" s="328"/>
      <c r="H2154" s="328" t="s">
        <v>1147</v>
      </c>
      <c r="I2154" s="324" t="s">
        <v>21</v>
      </c>
    </row>
    <row r="2155" spans="1:9" ht="11.1" customHeight="1" outlineLevel="1">
      <c r="A2155" s="325" t="s">
        <v>1302</v>
      </c>
      <c r="B2155" s="325" t="s">
        <v>3985</v>
      </c>
      <c r="C2155" s="325" t="s">
        <v>3986</v>
      </c>
      <c r="D2155" s="325" t="s">
        <v>20</v>
      </c>
      <c r="E2155" s="326">
        <v>1</v>
      </c>
      <c r="F2155" s="331">
        <v>157.5</v>
      </c>
      <c r="G2155" s="328"/>
      <c r="H2155" s="328" t="s">
        <v>1147</v>
      </c>
      <c r="I2155" s="324" t="s">
        <v>21</v>
      </c>
    </row>
    <row r="2156" spans="1:9" ht="11.1" customHeight="1" outlineLevel="1">
      <c r="A2156" s="325" t="s">
        <v>1302</v>
      </c>
      <c r="B2156" s="325" t="s">
        <v>3987</v>
      </c>
      <c r="C2156" s="325" t="s">
        <v>3988</v>
      </c>
      <c r="D2156" s="325" t="s">
        <v>20</v>
      </c>
      <c r="E2156" s="326">
        <v>1</v>
      </c>
      <c r="F2156" s="331">
        <v>165</v>
      </c>
      <c r="G2156" s="328"/>
      <c r="H2156" s="328" t="s">
        <v>1147</v>
      </c>
      <c r="I2156" s="324" t="s">
        <v>21</v>
      </c>
    </row>
    <row r="2157" spans="1:9" ht="11.1" customHeight="1" outlineLevel="1">
      <c r="A2157" s="325" t="s">
        <v>1302</v>
      </c>
      <c r="B2157" s="325" t="s">
        <v>3989</v>
      </c>
      <c r="C2157" s="325" t="s">
        <v>3990</v>
      </c>
      <c r="D2157" s="325" t="s">
        <v>20</v>
      </c>
      <c r="E2157" s="326">
        <v>2</v>
      </c>
      <c r="F2157" s="331">
        <v>371.66</v>
      </c>
      <c r="G2157" s="328"/>
      <c r="H2157" s="328" t="s">
        <v>1147</v>
      </c>
      <c r="I2157" s="324" t="s">
        <v>21</v>
      </c>
    </row>
    <row r="2158" spans="1:9" ht="11.1" customHeight="1" outlineLevel="1">
      <c r="A2158" s="325" t="s">
        <v>1302</v>
      </c>
      <c r="B2158" s="325" t="s">
        <v>3991</v>
      </c>
      <c r="C2158" s="325" t="s">
        <v>3992</v>
      </c>
      <c r="D2158" s="325" t="s">
        <v>20</v>
      </c>
      <c r="E2158" s="326">
        <v>2</v>
      </c>
      <c r="F2158" s="331">
        <v>480</v>
      </c>
      <c r="G2158" s="328"/>
      <c r="H2158" s="328" t="s">
        <v>1147</v>
      </c>
      <c r="I2158" s="324" t="s">
        <v>21</v>
      </c>
    </row>
    <row r="2159" spans="1:9" ht="11.1" customHeight="1" outlineLevel="1">
      <c r="A2159" s="325" t="s">
        <v>1067</v>
      </c>
      <c r="B2159" s="325" t="s">
        <v>3993</v>
      </c>
      <c r="C2159" s="325" t="s">
        <v>3994</v>
      </c>
      <c r="D2159" s="325" t="s">
        <v>1305</v>
      </c>
      <c r="E2159" s="326">
        <v>8</v>
      </c>
      <c r="F2159" s="327">
        <v>1285.46</v>
      </c>
      <c r="G2159" s="328"/>
      <c r="H2159" s="328" t="s">
        <v>1147</v>
      </c>
      <c r="I2159" s="324" t="s">
        <v>21</v>
      </c>
    </row>
    <row r="2160" spans="1:9" ht="11.1" customHeight="1" outlineLevel="1">
      <c r="A2160" s="325" t="s">
        <v>1302</v>
      </c>
      <c r="B2160" s="325" t="s">
        <v>3995</v>
      </c>
      <c r="C2160" s="325" t="s">
        <v>3996</v>
      </c>
      <c r="D2160" s="325" t="s">
        <v>20</v>
      </c>
      <c r="E2160" s="326">
        <v>2</v>
      </c>
      <c r="F2160" s="327">
        <v>1069.06</v>
      </c>
      <c r="G2160" s="328"/>
      <c r="H2160" s="328" t="s">
        <v>1147</v>
      </c>
      <c r="I2160" s="324" t="s">
        <v>21</v>
      </c>
    </row>
    <row r="2161" spans="1:9" ht="11.1" customHeight="1" outlineLevel="1">
      <c r="A2161" s="325" t="s">
        <v>1302</v>
      </c>
      <c r="B2161" s="325" t="s">
        <v>3997</v>
      </c>
      <c r="C2161" s="325" t="s">
        <v>3998</v>
      </c>
      <c r="D2161" s="325" t="s">
        <v>20</v>
      </c>
      <c r="E2161" s="326">
        <v>1</v>
      </c>
      <c r="F2161" s="331">
        <v>360</v>
      </c>
      <c r="G2161" s="328"/>
      <c r="H2161" s="328" t="s">
        <v>1147</v>
      </c>
      <c r="I2161" s="324" t="s">
        <v>21</v>
      </c>
    </row>
    <row r="2162" spans="1:9" ht="11.1" customHeight="1" outlineLevel="1">
      <c r="A2162" s="325" t="s">
        <v>1302</v>
      </c>
      <c r="B2162" s="325" t="s">
        <v>3999</v>
      </c>
      <c r="C2162" s="325" t="s">
        <v>4000</v>
      </c>
      <c r="D2162" s="325" t="s">
        <v>20</v>
      </c>
      <c r="E2162" s="326">
        <v>1</v>
      </c>
      <c r="F2162" s="331">
        <v>17.489999999999998</v>
      </c>
      <c r="G2162" s="328"/>
      <c r="H2162" s="328" t="s">
        <v>1147</v>
      </c>
      <c r="I2162" s="324" t="s">
        <v>21</v>
      </c>
    </row>
    <row r="2163" spans="1:9" ht="11.1" customHeight="1" outlineLevel="1">
      <c r="A2163" s="325" t="s">
        <v>1302</v>
      </c>
      <c r="B2163" s="325" t="s">
        <v>4001</v>
      </c>
      <c r="C2163" s="325" t="s">
        <v>4002</v>
      </c>
      <c r="D2163" s="325" t="s">
        <v>20</v>
      </c>
      <c r="E2163" s="326">
        <v>6</v>
      </c>
      <c r="F2163" s="331">
        <v>558.69000000000005</v>
      </c>
      <c r="G2163" s="328"/>
      <c r="H2163" s="328" t="s">
        <v>1147</v>
      </c>
      <c r="I2163" s="324" t="s">
        <v>21</v>
      </c>
    </row>
    <row r="2164" spans="1:9" ht="11.1" customHeight="1" outlineLevel="1">
      <c r="A2164" s="325" t="s">
        <v>1302</v>
      </c>
      <c r="B2164" s="325" t="s">
        <v>4003</v>
      </c>
      <c r="C2164" s="325" t="s">
        <v>4004</v>
      </c>
      <c r="D2164" s="325" t="s">
        <v>20</v>
      </c>
      <c r="E2164" s="326">
        <v>2</v>
      </c>
      <c r="F2164" s="331">
        <v>591.66</v>
      </c>
      <c r="G2164" s="328"/>
      <c r="H2164" s="328" t="s">
        <v>1147</v>
      </c>
      <c r="I2164" s="324" t="s">
        <v>21</v>
      </c>
    </row>
    <row r="2165" spans="1:9" ht="11.1" customHeight="1" outlineLevel="1">
      <c r="A2165" s="325" t="s">
        <v>1067</v>
      </c>
      <c r="B2165" s="325" t="s">
        <v>4005</v>
      </c>
      <c r="C2165" s="325" t="s">
        <v>4006</v>
      </c>
      <c r="D2165" s="325" t="s">
        <v>20</v>
      </c>
      <c r="E2165" s="326">
        <v>61</v>
      </c>
      <c r="F2165" s="327">
        <v>13183.22</v>
      </c>
      <c r="G2165" s="328"/>
      <c r="H2165" s="328" t="s">
        <v>1147</v>
      </c>
      <c r="I2165" s="324" t="s">
        <v>21</v>
      </c>
    </row>
    <row r="2166" spans="1:9" ht="11.1" customHeight="1" outlineLevel="1">
      <c r="A2166" s="325" t="s">
        <v>1067</v>
      </c>
      <c r="B2166" s="325" t="s">
        <v>4007</v>
      </c>
      <c r="C2166" s="325" t="s">
        <v>4008</v>
      </c>
      <c r="D2166" s="325" t="s">
        <v>20</v>
      </c>
      <c r="E2166" s="326">
        <v>27</v>
      </c>
      <c r="F2166" s="327">
        <v>6184.12</v>
      </c>
      <c r="G2166" s="328"/>
      <c r="H2166" s="328" t="s">
        <v>1147</v>
      </c>
      <c r="I2166" s="324" t="s">
        <v>21</v>
      </c>
    </row>
    <row r="2167" spans="1:9" ht="11.1" customHeight="1" outlineLevel="1">
      <c r="A2167" s="325" t="s">
        <v>1302</v>
      </c>
      <c r="B2167" s="325" t="s">
        <v>4007</v>
      </c>
      <c r="C2167" s="325" t="s">
        <v>4008</v>
      </c>
      <c r="D2167" s="325" t="s">
        <v>20</v>
      </c>
      <c r="E2167" s="326">
        <v>23</v>
      </c>
      <c r="F2167" s="327">
        <v>5299.4</v>
      </c>
      <c r="G2167" s="328"/>
      <c r="H2167" s="328" t="s">
        <v>1147</v>
      </c>
      <c r="I2167" s="324" t="s">
        <v>21</v>
      </c>
    </row>
    <row r="2168" spans="1:9" ht="11.1" customHeight="1" outlineLevel="1">
      <c r="A2168" s="325" t="s">
        <v>1302</v>
      </c>
      <c r="B2168" s="325" t="s">
        <v>4009</v>
      </c>
      <c r="C2168" s="325" t="s">
        <v>4010</v>
      </c>
      <c r="D2168" s="325" t="s">
        <v>20</v>
      </c>
      <c r="E2168" s="326">
        <v>1</v>
      </c>
      <c r="F2168" s="331">
        <v>101.1</v>
      </c>
      <c r="G2168" s="328"/>
      <c r="H2168" s="328" t="s">
        <v>1147</v>
      </c>
      <c r="I2168" s="324" t="s">
        <v>21</v>
      </c>
    </row>
    <row r="2169" spans="1:9" ht="11.1" customHeight="1" outlineLevel="1">
      <c r="A2169" s="325" t="s">
        <v>1302</v>
      </c>
      <c r="B2169" s="325" t="s">
        <v>4011</v>
      </c>
      <c r="C2169" s="325" t="s">
        <v>4012</v>
      </c>
      <c r="D2169" s="325" t="s">
        <v>20</v>
      </c>
      <c r="E2169" s="326">
        <v>1</v>
      </c>
      <c r="F2169" s="331">
        <v>198</v>
      </c>
      <c r="G2169" s="328"/>
      <c r="H2169" s="328" t="s">
        <v>1147</v>
      </c>
      <c r="I2169" s="324" t="s">
        <v>21</v>
      </c>
    </row>
    <row r="2170" spans="1:9" ht="11.1" customHeight="1" outlineLevel="1">
      <c r="A2170" s="325" t="s">
        <v>1067</v>
      </c>
      <c r="B2170" s="325" t="s">
        <v>4013</v>
      </c>
      <c r="C2170" s="325" t="s">
        <v>4014</v>
      </c>
      <c r="D2170" s="325" t="s">
        <v>20</v>
      </c>
      <c r="E2170" s="326">
        <v>1</v>
      </c>
      <c r="F2170" s="331">
        <v>399</v>
      </c>
      <c r="G2170" s="328"/>
      <c r="H2170" s="328" t="s">
        <v>1147</v>
      </c>
      <c r="I2170" s="324" t="s">
        <v>21</v>
      </c>
    </row>
    <row r="2171" spans="1:9" ht="11.1" customHeight="1" outlineLevel="1">
      <c r="A2171" s="325" t="s">
        <v>1302</v>
      </c>
      <c r="B2171" s="325" t="s">
        <v>4013</v>
      </c>
      <c r="C2171" s="325" t="s">
        <v>4014</v>
      </c>
      <c r="D2171" s="325" t="s">
        <v>20</v>
      </c>
      <c r="E2171" s="326">
        <v>5</v>
      </c>
      <c r="F2171" s="331">
        <v>831.1</v>
      </c>
      <c r="G2171" s="328"/>
      <c r="H2171" s="328" t="s">
        <v>1147</v>
      </c>
      <c r="I2171" s="324" t="s">
        <v>21</v>
      </c>
    </row>
    <row r="2172" spans="1:9" ht="11.1" customHeight="1" outlineLevel="1">
      <c r="A2172" s="325" t="s">
        <v>1302</v>
      </c>
      <c r="B2172" s="325" t="s">
        <v>4015</v>
      </c>
      <c r="C2172" s="325" t="s">
        <v>4016</v>
      </c>
      <c r="D2172" s="325" t="s">
        <v>20</v>
      </c>
      <c r="E2172" s="326">
        <v>1</v>
      </c>
      <c r="F2172" s="331">
        <v>211.5</v>
      </c>
      <c r="G2172" s="328"/>
      <c r="H2172" s="328" t="s">
        <v>1147</v>
      </c>
      <c r="I2172" s="324" t="s">
        <v>21</v>
      </c>
    </row>
    <row r="2173" spans="1:9" ht="11.1" customHeight="1" outlineLevel="1">
      <c r="A2173" s="325" t="s">
        <v>1302</v>
      </c>
      <c r="B2173" s="325" t="s">
        <v>4017</v>
      </c>
      <c r="C2173" s="325" t="s">
        <v>4018</v>
      </c>
      <c r="D2173" s="325" t="s">
        <v>20</v>
      </c>
      <c r="E2173" s="326">
        <v>17</v>
      </c>
      <c r="F2173" s="327">
        <v>5686.2</v>
      </c>
      <c r="G2173" s="328"/>
      <c r="H2173" s="328" t="s">
        <v>1147</v>
      </c>
      <c r="I2173" s="324" t="s">
        <v>21</v>
      </c>
    </row>
    <row r="2174" spans="1:9" ht="11.1" customHeight="1" outlineLevel="1">
      <c r="A2174" s="325" t="s">
        <v>1067</v>
      </c>
      <c r="B2174" s="325" t="s">
        <v>4017</v>
      </c>
      <c r="C2174" s="325" t="s">
        <v>4018</v>
      </c>
      <c r="D2174" s="325" t="s">
        <v>20</v>
      </c>
      <c r="E2174" s="326">
        <v>4</v>
      </c>
      <c r="F2174" s="327">
        <v>1474.3</v>
      </c>
      <c r="G2174" s="328"/>
      <c r="H2174" s="328" t="s">
        <v>1147</v>
      </c>
      <c r="I2174" s="324" t="s">
        <v>21</v>
      </c>
    </row>
    <row r="2175" spans="1:9" ht="11.1" customHeight="1" outlineLevel="1">
      <c r="A2175" s="325" t="s">
        <v>1302</v>
      </c>
      <c r="B2175" s="325" t="s">
        <v>4019</v>
      </c>
      <c r="C2175" s="325" t="s">
        <v>4020</v>
      </c>
      <c r="D2175" s="325" t="s">
        <v>20</v>
      </c>
      <c r="E2175" s="326">
        <v>11</v>
      </c>
      <c r="F2175" s="327">
        <v>3177.42</v>
      </c>
      <c r="G2175" s="328"/>
      <c r="H2175" s="328" t="s">
        <v>1147</v>
      </c>
      <c r="I2175" s="324" t="s">
        <v>21</v>
      </c>
    </row>
    <row r="2176" spans="1:9" ht="11.1" customHeight="1" outlineLevel="1">
      <c r="A2176" s="325" t="s">
        <v>1067</v>
      </c>
      <c r="B2176" s="325" t="s">
        <v>4021</v>
      </c>
      <c r="C2176" s="325" t="s">
        <v>4022</v>
      </c>
      <c r="D2176" s="325" t="s">
        <v>20</v>
      </c>
      <c r="E2176" s="326">
        <v>1</v>
      </c>
      <c r="F2176" s="331">
        <v>207.5</v>
      </c>
      <c r="G2176" s="328"/>
      <c r="H2176" s="328" t="s">
        <v>1147</v>
      </c>
      <c r="I2176" s="324" t="s">
        <v>21</v>
      </c>
    </row>
    <row r="2177" spans="1:9" ht="11.1" customHeight="1" outlineLevel="1">
      <c r="A2177" s="325" t="s">
        <v>1302</v>
      </c>
      <c r="B2177" s="325" t="s">
        <v>4023</v>
      </c>
      <c r="C2177" s="325" t="s">
        <v>4024</v>
      </c>
      <c r="D2177" s="325" t="s">
        <v>20</v>
      </c>
      <c r="E2177" s="326">
        <v>1</v>
      </c>
      <c r="F2177" s="331">
        <v>507</v>
      </c>
      <c r="G2177" s="328"/>
      <c r="H2177" s="328" t="s">
        <v>1147</v>
      </c>
      <c r="I2177" s="324" t="s">
        <v>21</v>
      </c>
    </row>
    <row r="2178" spans="1:9" ht="11.1" customHeight="1" outlineLevel="1">
      <c r="A2178" s="325" t="s">
        <v>1302</v>
      </c>
      <c r="B2178" s="325" t="s">
        <v>4025</v>
      </c>
      <c r="C2178" s="325" t="s">
        <v>4026</v>
      </c>
      <c r="D2178" s="325" t="s">
        <v>20</v>
      </c>
      <c r="E2178" s="326">
        <v>1</v>
      </c>
      <c r="F2178" s="331">
        <v>587.5</v>
      </c>
      <c r="G2178" s="328"/>
      <c r="H2178" s="328" t="s">
        <v>1147</v>
      </c>
      <c r="I2178" s="324" t="s">
        <v>21</v>
      </c>
    </row>
    <row r="2179" spans="1:9" ht="11.1" customHeight="1" outlineLevel="1">
      <c r="A2179" s="325" t="s">
        <v>1302</v>
      </c>
      <c r="B2179" s="325" t="s">
        <v>4027</v>
      </c>
      <c r="C2179" s="325" t="s">
        <v>4028</v>
      </c>
      <c r="D2179" s="325" t="s">
        <v>20</v>
      </c>
      <c r="E2179" s="326">
        <v>1</v>
      </c>
      <c r="F2179" s="327">
        <v>1385</v>
      </c>
      <c r="G2179" s="328"/>
      <c r="H2179" s="328" t="s">
        <v>1147</v>
      </c>
      <c r="I2179" s="324" t="s">
        <v>21</v>
      </c>
    </row>
    <row r="2180" spans="1:9" ht="11.1" customHeight="1" outlineLevel="1">
      <c r="A2180" s="325" t="s">
        <v>1302</v>
      </c>
      <c r="B2180" s="325" t="s">
        <v>4029</v>
      </c>
      <c r="C2180" s="325" t="s">
        <v>4030</v>
      </c>
      <c r="D2180" s="325" t="s">
        <v>20</v>
      </c>
      <c r="E2180" s="326">
        <v>1</v>
      </c>
      <c r="F2180" s="327">
        <v>1310</v>
      </c>
      <c r="G2180" s="328"/>
      <c r="H2180" s="328" t="s">
        <v>1147</v>
      </c>
      <c r="I2180" s="324" t="s">
        <v>21</v>
      </c>
    </row>
    <row r="2181" spans="1:9" ht="11.1" customHeight="1" outlineLevel="1">
      <c r="A2181" s="325" t="s">
        <v>1067</v>
      </c>
      <c r="B2181" s="325" t="s">
        <v>2265</v>
      </c>
      <c r="C2181" s="325" t="s">
        <v>2266</v>
      </c>
      <c r="D2181" s="325" t="s">
        <v>1519</v>
      </c>
      <c r="E2181" s="326">
        <v>50</v>
      </c>
      <c r="F2181" s="327">
        <v>1800</v>
      </c>
      <c r="G2181" s="328"/>
      <c r="H2181" s="328" t="s">
        <v>1147</v>
      </c>
      <c r="I2181" s="324" t="s">
        <v>21</v>
      </c>
    </row>
    <row r="2182" spans="1:9" ht="11.1" customHeight="1" outlineLevel="1">
      <c r="A2182" s="325" t="s">
        <v>1302</v>
      </c>
      <c r="B2182" s="325" t="s">
        <v>2265</v>
      </c>
      <c r="C2182" s="325" t="s">
        <v>2266</v>
      </c>
      <c r="D2182" s="325" t="s">
        <v>1519</v>
      </c>
      <c r="E2182" s="326">
        <v>320</v>
      </c>
      <c r="F2182" s="327">
        <v>18858.84</v>
      </c>
      <c r="G2182" s="328"/>
      <c r="H2182" s="328" t="s">
        <v>1147</v>
      </c>
      <c r="I2182" s="324" t="s">
        <v>21</v>
      </c>
    </row>
    <row r="2183" spans="1:9" ht="11.1" customHeight="1" outlineLevel="1">
      <c r="A2183" s="325" t="s">
        <v>1302</v>
      </c>
      <c r="B2183" s="325" t="s">
        <v>4031</v>
      </c>
      <c r="C2183" s="325" t="s">
        <v>4032</v>
      </c>
      <c r="D2183" s="325" t="s">
        <v>20</v>
      </c>
      <c r="E2183" s="326">
        <v>4</v>
      </c>
      <c r="F2183" s="331">
        <v>889.11</v>
      </c>
      <c r="G2183" s="328"/>
      <c r="H2183" s="328" t="s">
        <v>1147</v>
      </c>
      <c r="I2183" s="324" t="s">
        <v>21</v>
      </c>
    </row>
    <row r="2184" spans="1:9" ht="11.1" customHeight="1" outlineLevel="1">
      <c r="A2184" s="325" t="s">
        <v>1067</v>
      </c>
      <c r="B2184" s="325" t="s">
        <v>4031</v>
      </c>
      <c r="C2184" s="325" t="s">
        <v>4032</v>
      </c>
      <c r="D2184" s="325" t="s">
        <v>20</v>
      </c>
      <c r="E2184" s="326">
        <v>3</v>
      </c>
      <c r="F2184" s="331">
        <v>839.3</v>
      </c>
      <c r="G2184" s="328"/>
      <c r="H2184" s="328" t="s">
        <v>1147</v>
      </c>
      <c r="I2184" s="324" t="s">
        <v>21</v>
      </c>
    </row>
    <row r="2185" spans="1:9" ht="11.1" customHeight="1" outlineLevel="1">
      <c r="A2185" s="325" t="s">
        <v>1302</v>
      </c>
      <c r="B2185" s="325" t="s">
        <v>4033</v>
      </c>
      <c r="C2185" s="325" t="s">
        <v>4034</v>
      </c>
      <c r="D2185" s="325" t="s">
        <v>20</v>
      </c>
      <c r="E2185" s="326">
        <v>1</v>
      </c>
      <c r="F2185" s="331">
        <v>90.8</v>
      </c>
      <c r="G2185" s="328"/>
      <c r="H2185" s="328" t="s">
        <v>1147</v>
      </c>
      <c r="I2185" s="324" t="s">
        <v>21</v>
      </c>
    </row>
    <row r="2186" spans="1:9" ht="11.1" customHeight="1" outlineLevel="1">
      <c r="A2186" s="325" t="s">
        <v>1302</v>
      </c>
      <c r="B2186" s="325" t="s">
        <v>4035</v>
      </c>
      <c r="C2186" s="325" t="s">
        <v>4036</v>
      </c>
      <c r="D2186" s="325" t="s">
        <v>20</v>
      </c>
      <c r="E2186" s="326">
        <v>1</v>
      </c>
      <c r="F2186" s="331">
        <v>39.22</v>
      </c>
      <c r="G2186" s="328"/>
      <c r="H2186" s="328" t="s">
        <v>1147</v>
      </c>
      <c r="I2186" s="324" t="s">
        <v>21</v>
      </c>
    </row>
    <row r="2187" spans="1:9" ht="11.1" customHeight="1" outlineLevel="1">
      <c r="A2187" s="325" t="s">
        <v>1067</v>
      </c>
      <c r="B2187" s="325" t="s">
        <v>4035</v>
      </c>
      <c r="C2187" s="325" t="s">
        <v>4036</v>
      </c>
      <c r="D2187" s="325" t="s">
        <v>20</v>
      </c>
      <c r="E2187" s="326">
        <v>32</v>
      </c>
      <c r="F2187" s="331">
        <v>995.4</v>
      </c>
      <c r="G2187" s="328"/>
      <c r="H2187" s="328" t="s">
        <v>1147</v>
      </c>
      <c r="I2187" s="324" t="s">
        <v>21</v>
      </c>
    </row>
    <row r="2188" spans="1:9" ht="11.1" customHeight="1" outlineLevel="1">
      <c r="A2188" s="325" t="s">
        <v>1302</v>
      </c>
      <c r="B2188" s="325" t="s">
        <v>4037</v>
      </c>
      <c r="C2188" s="325" t="s">
        <v>4038</v>
      </c>
      <c r="D2188" s="325" t="s">
        <v>20</v>
      </c>
      <c r="E2188" s="326">
        <v>6</v>
      </c>
      <c r="F2188" s="331">
        <v>881.85</v>
      </c>
      <c r="G2188" s="328"/>
      <c r="H2188" s="328" t="s">
        <v>1147</v>
      </c>
      <c r="I2188" s="324" t="s">
        <v>21</v>
      </c>
    </row>
    <row r="2189" spans="1:9" ht="11.1" customHeight="1" outlineLevel="1">
      <c r="A2189" s="325" t="s">
        <v>1302</v>
      </c>
      <c r="B2189" s="325" t="s">
        <v>4039</v>
      </c>
      <c r="C2189" s="325" t="s">
        <v>4040</v>
      </c>
      <c r="D2189" s="325" t="s">
        <v>20</v>
      </c>
      <c r="E2189" s="326">
        <v>1</v>
      </c>
      <c r="F2189" s="331">
        <v>22.5</v>
      </c>
      <c r="G2189" s="328"/>
      <c r="H2189" s="328" t="s">
        <v>1147</v>
      </c>
      <c r="I2189" s="324" t="s">
        <v>21</v>
      </c>
    </row>
    <row r="2190" spans="1:9" ht="11.1" customHeight="1" outlineLevel="1">
      <c r="A2190" s="325" t="s">
        <v>1302</v>
      </c>
      <c r="B2190" s="325" t="s">
        <v>4041</v>
      </c>
      <c r="C2190" s="325" t="s">
        <v>4042</v>
      </c>
      <c r="D2190" s="325" t="s">
        <v>20</v>
      </c>
      <c r="E2190" s="326">
        <v>1</v>
      </c>
      <c r="F2190" s="331">
        <v>433.19</v>
      </c>
      <c r="G2190" s="328"/>
      <c r="H2190" s="328" t="s">
        <v>1147</v>
      </c>
      <c r="I2190" s="324" t="s">
        <v>21</v>
      </c>
    </row>
    <row r="2191" spans="1:9" ht="11.1" customHeight="1" outlineLevel="1">
      <c r="A2191" s="325" t="s">
        <v>1067</v>
      </c>
      <c r="B2191" s="325" t="s">
        <v>4041</v>
      </c>
      <c r="C2191" s="325" t="s">
        <v>4042</v>
      </c>
      <c r="D2191" s="325" t="s">
        <v>20</v>
      </c>
      <c r="E2191" s="326">
        <v>2</v>
      </c>
      <c r="F2191" s="331">
        <v>887.67</v>
      </c>
      <c r="G2191" s="328"/>
      <c r="H2191" s="328" t="s">
        <v>1147</v>
      </c>
      <c r="I2191" s="324" t="s">
        <v>21</v>
      </c>
    </row>
    <row r="2192" spans="1:9" ht="11.1" customHeight="1" outlineLevel="1">
      <c r="A2192" s="325" t="s">
        <v>1302</v>
      </c>
      <c r="B2192" s="325" t="s">
        <v>4043</v>
      </c>
      <c r="C2192" s="325" t="s">
        <v>4044</v>
      </c>
      <c r="D2192" s="325" t="s">
        <v>20</v>
      </c>
      <c r="E2192" s="326">
        <v>1</v>
      </c>
      <c r="F2192" s="331">
        <v>691</v>
      </c>
      <c r="G2192" s="328"/>
      <c r="H2192" s="328" t="s">
        <v>1147</v>
      </c>
      <c r="I2192" s="324" t="s">
        <v>21</v>
      </c>
    </row>
    <row r="2193" spans="1:9" ht="11.1" customHeight="1" outlineLevel="1">
      <c r="A2193" s="325" t="s">
        <v>1302</v>
      </c>
      <c r="B2193" s="325" t="s">
        <v>4045</v>
      </c>
      <c r="C2193" s="325" t="s">
        <v>4046</v>
      </c>
      <c r="D2193" s="325" t="s">
        <v>20</v>
      </c>
      <c r="E2193" s="326">
        <v>3</v>
      </c>
      <c r="F2193" s="331">
        <v>472.5</v>
      </c>
      <c r="G2193" s="328"/>
      <c r="H2193" s="328" t="s">
        <v>1147</v>
      </c>
      <c r="I2193" s="324" t="s">
        <v>21</v>
      </c>
    </row>
    <row r="2194" spans="1:9" ht="11.1" customHeight="1" outlineLevel="1">
      <c r="A2194" s="325" t="s">
        <v>1302</v>
      </c>
      <c r="B2194" s="325" t="s">
        <v>4047</v>
      </c>
      <c r="C2194" s="325" t="s">
        <v>4048</v>
      </c>
      <c r="D2194" s="325" t="s">
        <v>20</v>
      </c>
      <c r="E2194" s="326">
        <v>4</v>
      </c>
      <c r="F2194" s="327">
        <v>1186.68</v>
      </c>
      <c r="G2194" s="328"/>
      <c r="H2194" s="328" t="s">
        <v>1147</v>
      </c>
      <c r="I2194" s="324" t="s">
        <v>21</v>
      </c>
    </row>
    <row r="2195" spans="1:9" ht="11.1" customHeight="1" outlineLevel="1">
      <c r="A2195" s="325" t="s">
        <v>1302</v>
      </c>
      <c r="B2195" s="325" t="s">
        <v>4049</v>
      </c>
      <c r="C2195" s="325" t="s">
        <v>4050</v>
      </c>
      <c r="D2195" s="325" t="s">
        <v>20</v>
      </c>
      <c r="E2195" s="326">
        <v>3</v>
      </c>
      <c r="F2195" s="327">
        <v>1393.42</v>
      </c>
      <c r="G2195" s="328"/>
      <c r="H2195" s="328" t="s">
        <v>1147</v>
      </c>
      <c r="I2195" s="324" t="s">
        <v>21</v>
      </c>
    </row>
    <row r="2196" spans="1:9" ht="11.1" customHeight="1" outlineLevel="1">
      <c r="A2196" s="325" t="s">
        <v>1302</v>
      </c>
      <c r="B2196" s="325" t="s">
        <v>1280</v>
      </c>
      <c r="C2196" s="325" t="s">
        <v>1281</v>
      </c>
      <c r="D2196" s="325" t="s">
        <v>20</v>
      </c>
      <c r="E2196" s="326">
        <v>2</v>
      </c>
      <c r="F2196" s="331">
        <v>378.34</v>
      </c>
      <c r="G2196" s="328"/>
      <c r="H2196" s="328" t="s">
        <v>1147</v>
      </c>
      <c r="I2196" s="324" t="s">
        <v>21</v>
      </c>
    </row>
    <row r="2197" spans="1:9" ht="11.1" customHeight="1" outlineLevel="1">
      <c r="A2197" s="325" t="s">
        <v>1067</v>
      </c>
      <c r="B2197" s="325" t="s">
        <v>1280</v>
      </c>
      <c r="C2197" s="325" t="s">
        <v>1281</v>
      </c>
      <c r="D2197" s="325" t="s">
        <v>20</v>
      </c>
      <c r="E2197" s="326">
        <v>5</v>
      </c>
      <c r="F2197" s="331">
        <v>875</v>
      </c>
      <c r="G2197" s="328"/>
      <c r="H2197" s="328" t="s">
        <v>1147</v>
      </c>
      <c r="I2197" s="324" t="s">
        <v>21</v>
      </c>
    </row>
    <row r="2198" spans="1:9" ht="11.1" customHeight="1" outlineLevel="1">
      <c r="A2198" s="325" t="s">
        <v>1067</v>
      </c>
      <c r="B2198" s="325" t="s">
        <v>4051</v>
      </c>
      <c r="C2198" s="325" t="s">
        <v>4052</v>
      </c>
      <c r="D2198" s="325" t="s">
        <v>20</v>
      </c>
      <c r="E2198" s="326">
        <v>1</v>
      </c>
      <c r="F2198" s="331">
        <v>694</v>
      </c>
      <c r="G2198" s="328"/>
      <c r="H2198" s="328" t="s">
        <v>1147</v>
      </c>
      <c r="I2198" s="324" t="s">
        <v>21</v>
      </c>
    </row>
    <row r="2199" spans="1:9" ht="11.1" customHeight="1" outlineLevel="1">
      <c r="A2199" s="325" t="s">
        <v>1302</v>
      </c>
      <c r="B2199" s="325" t="s">
        <v>4053</v>
      </c>
      <c r="C2199" s="325" t="s">
        <v>4054</v>
      </c>
      <c r="D2199" s="325" t="s">
        <v>20</v>
      </c>
      <c r="E2199" s="326">
        <v>6</v>
      </c>
      <c r="F2199" s="331">
        <v>6</v>
      </c>
      <c r="G2199" s="328"/>
      <c r="H2199" s="328" t="s">
        <v>1147</v>
      </c>
      <c r="I2199" s="324" t="s">
        <v>21</v>
      </c>
    </row>
    <row r="2200" spans="1:9" ht="11.1" customHeight="1" outlineLevel="1">
      <c r="A2200" s="325" t="s">
        <v>1302</v>
      </c>
      <c r="B2200" s="325" t="s">
        <v>4055</v>
      </c>
      <c r="C2200" s="325" t="s">
        <v>4056</v>
      </c>
      <c r="D2200" s="325" t="s">
        <v>20</v>
      </c>
      <c r="E2200" s="326">
        <v>3</v>
      </c>
      <c r="F2200" s="327">
        <v>1698</v>
      </c>
      <c r="G2200" s="328"/>
      <c r="H2200" s="328" t="s">
        <v>1147</v>
      </c>
      <c r="I2200" s="324" t="s">
        <v>21</v>
      </c>
    </row>
    <row r="2201" spans="1:9" ht="11.1" customHeight="1" outlineLevel="1">
      <c r="A2201" s="325" t="s">
        <v>1067</v>
      </c>
      <c r="B2201" s="325" t="s">
        <v>4055</v>
      </c>
      <c r="C2201" s="325" t="s">
        <v>4056</v>
      </c>
      <c r="D2201" s="325" t="s">
        <v>20</v>
      </c>
      <c r="E2201" s="326">
        <v>1</v>
      </c>
      <c r="F2201" s="327">
        <v>1075</v>
      </c>
      <c r="G2201" s="328"/>
      <c r="H2201" s="328" t="s">
        <v>1147</v>
      </c>
      <c r="I2201" s="324" t="s">
        <v>21</v>
      </c>
    </row>
    <row r="2202" spans="1:9" ht="11.1" customHeight="1" outlineLevel="1">
      <c r="A2202" s="325" t="s">
        <v>1067</v>
      </c>
      <c r="B2202" s="325" t="s">
        <v>4057</v>
      </c>
      <c r="C2202" s="325" t="s">
        <v>992</v>
      </c>
      <c r="D2202" s="325" t="s">
        <v>20</v>
      </c>
      <c r="E2202" s="326">
        <v>47</v>
      </c>
      <c r="F2202" s="327">
        <v>11951.75</v>
      </c>
      <c r="G2202" s="328"/>
      <c r="H2202" s="328" t="s">
        <v>1147</v>
      </c>
      <c r="I2202" s="324" t="s">
        <v>21</v>
      </c>
    </row>
    <row r="2203" spans="1:9" ht="11.1" customHeight="1" outlineLevel="1">
      <c r="A2203" s="325" t="s">
        <v>1302</v>
      </c>
      <c r="B2203" s="325" t="s">
        <v>4058</v>
      </c>
      <c r="C2203" s="325" t="s">
        <v>4059</v>
      </c>
      <c r="D2203" s="325" t="s">
        <v>20</v>
      </c>
      <c r="E2203" s="326">
        <v>1</v>
      </c>
      <c r="F2203" s="331">
        <v>27</v>
      </c>
      <c r="G2203" s="328"/>
      <c r="H2203" s="328" t="s">
        <v>1147</v>
      </c>
      <c r="I2203" s="324" t="s">
        <v>21</v>
      </c>
    </row>
    <row r="2204" spans="1:9" ht="11.1" customHeight="1" outlineLevel="1">
      <c r="A2204" s="325" t="s">
        <v>1302</v>
      </c>
      <c r="B2204" s="325" t="s">
        <v>2293</v>
      </c>
      <c r="C2204" s="325" t="s">
        <v>2294</v>
      </c>
      <c r="D2204" s="325" t="s">
        <v>20</v>
      </c>
      <c r="E2204" s="326">
        <v>1</v>
      </c>
      <c r="F2204" s="331">
        <v>840</v>
      </c>
      <c r="G2204" s="328"/>
      <c r="H2204" s="328" t="s">
        <v>1147</v>
      </c>
      <c r="I2204" s="324" t="s">
        <v>21</v>
      </c>
    </row>
    <row r="2205" spans="1:9" ht="11.1" customHeight="1" outlineLevel="1">
      <c r="A2205" s="325" t="s">
        <v>1302</v>
      </c>
      <c r="B2205" s="325" t="s">
        <v>4060</v>
      </c>
      <c r="C2205" s="325" t="s">
        <v>4061</v>
      </c>
      <c r="D2205" s="325" t="s">
        <v>20</v>
      </c>
      <c r="E2205" s="326">
        <v>1</v>
      </c>
      <c r="F2205" s="331">
        <v>799</v>
      </c>
      <c r="G2205" s="328"/>
      <c r="H2205" s="328" t="s">
        <v>1147</v>
      </c>
      <c r="I2205" s="324" t="s">
        <v>21</v>
      </c>
    </row>
    <row r="2206" spans="1:9" ht="11.1" customHeight="1" outlineLevel="1">
      <c r="A2206" s="325" t="s">
        <v>1067</v>
      </c>
      <c r="B2206" s="325" t="s">
        <v>4060</v>
      </c>
      <c r="C2206" s="325" t="s">
        <v>4061</v>
      </c>
      <c r="D2206" s="325" t="s">
        <v>20</v>
      </c>
      <c r="E2206" s="326">
        <v>1</v>
      </c>
      <c r="F2206" s="331">
        <v>724</v>
      </c>
      <c r="G2206" s="328"/>
      <c r="H2206" s="328" t="s">
        <v>1147</v>
      </c>
      <c r="I2206" s="324" t="s">
        <v>21</v>
      </c>
    </row>
    <row r="2207" spans="1:9" ht="11.1" customHeight="1" outlineLevel="1">
      <c r="A2207" s="325" t="s">
        <v>1302</v>
      </c>
      <c r="B2207" s="325" t="s">
        <v>4062</v>
      </c>
      <c r="C2207" s="325" t="s">
        <v>4063</v>
      </c>
      <c r="D2207" s="325" t="s">
        <v>20</v>
      </c>
      <c r="E2207" s="326">
        <v>1</v>
      </c>
      <c r="F2207" s="331">
        <v>921</v>
      </c>
      <c r="G2207" s="328"/>
      <c r="H2207" s="328" t="s">
        <v>1147</v>
      </c>
      <c r="I2207" s="324" t="s">
        <v>21</v>
      </c>
    </row>
    <row r="2208" spans="1:9" ht="11.1" customHeight="1" outlineLevel="1">
      <c r="A2208" s="325" t="s">
        <v>1302</v>
      </c>
      <c r="B2208" s="325" t="s">
        <v>4064</v>
      </c>
      <c r="C2208" s="325" t="s">
        <v>4065</v>
      </c>
      <c r="D2208" s="325" t="s">
        <v>20</v>
      </c>
      <c r="E2208" s="326">
        <v>3</v>
      </c>
      <c r="F2208" s="327">
        <v>1161</v>
      </c>
      <c r="G2208" s="328"/>
      <c r="H2208" s="328" t="s">
        <v>1147</v>
      </c>
      <c r="I2208" s="324" t="s">
        <v>21</v>
      </c>
    </row>
    <row r="2209" spans="1:9" ht="11.1" customHeight="1" outlineLevel="1">
      <c r="A2209" s="325" t="s">
        <v>1302</v>
      </c>
      <c r="B2209" s="325" t="s">
        <v>4066</v>
      </c>
      <c r="C2209" s="325" t="s">
        <v>4067</v>
      </c>
      <c r="D2209" s="325" t="s">
        <v>20</v>
      </c>
      <c r="E2209" s="326">
        <v>2</v>
      </c>
      <c r="F2209" s="331">
        <v>440.67</v>
      </c>
      <c r="G2209" s="328"/>
      <c r="H2209" s="328" t="s">
        <v>1147</v>
      </c>
      <c r="I2209" s="324" t="s">
        <v>21</v>
      </c>
    </row>
    <row r="2210" spans="1:9" ht="11.1" customHeight="1" outlineLevel="1">
      <c r="A2210" s="325" t="s">
        <v>1302</v>
      </c>
      <c r="B2210" s="325" t="s">
        <v>4068</v>
      </c>
      <c r="C2210" s="325" t="s">
        <v>4069</v>
      </c>
      <c r="D2210" s="325" t="s">
        <v>20</v>
      </c>
      <c r="E2210" s="326">
        <v>1</v>
      </c>
      <c r="F2210" s="327">
        <v>1165</v>
      </c>
      <c r="G2210" s="328"/>
      <c r="H2210" s="328" t="s">
        <v>1147</v>
      </c>
      <c r="I2210" s="324" t="s">
        <v>21</v>
      </c>
    </row>
    <row r="2211" spans="1:9" ht="11.1" customHeight="1" outlineLevel="1">
      <c r="A2211" s="325" t="s">
        <v>1302</v>
      </c>
      <c r="B2211" s="325" t="s">
        <v>4070</v>
      </c>
      <c r="C2211" s="325" t="s">
        <v>4071</v>
      </c>
      <c r="D2211" s="325" t="s">
        <v>20</v>
      </c>
      <c r="E2211" s="326">
        <v>2</v>
      </c>
      <c r="F2211" s="327">
        <v>1656.67</v>
      </c>
      <c r="G2211" s="328"/>
      <c r="H2211" s="328" t="s">
        <v>1147</v>
      </c>
      <c r="I2211" s="324" t="s">
        <v>21</v>
      </c>
    </row>
    <row r="2212" spans="1:9" ht="11.1" customHeight="1" outlineLevel="1">
      <c r="A2212" s="325" t="s">
        <v>1302</v>
      </c>
      <c r="B2212" s="325" t="s">
        <v>4072</v>
      </c>
      <c r="C2212" s="325" t="s">
        <v>4073</v>
      </c>
      <c r="D2212" s="325" t="s">
        <v>20</v>
      </c>
      <c r="E2212" s="326">
        <v>1</v>
      </c>
      <c r="F2212" s="327">
        <v>1201</v>
      </c>
      <c r="G2212" s="328"/>
      <c r="H2212" s="328" t="s">
        <v>1147</v>
      </c>
      <c r="I2212" s="324" t="s">
        <v>21</v>
      </c>
    </row>
    <row r="2213" spans="1:9" ht="11.1" customHeight="1" outlineLevel="1">
      <c r="A2213" s="325" t="s">
        <v>1302</v>
      </c>
      <c r="B2213" s="325" t="s">
        <v>4074</v>
      </c>
      <c r="C2213" s="325" t="s">
        <v>4075</v>
      </c>
      <c r="D2213" s="325" t="s">
        <v>20</v>
      </c>
      <c r="E2213" s="326">
        <v>5</v>
      </c>
      <c r="F2213" s="331">
        <v>295</v>
      </c>
      <c r="G2213" s="328"/>
      <c r="H2213" s="328" t="s">
        <v>1147</v>
      </c>
      <c r="I2213" s="324" t="s">
        <v>21</v>
      </c>
    </row>
    <row r="2214" spans="1:9" ht="11.1" customHeight="1" outlineLevel="1">
      <c r="A2214" s="325" t="s">
        <v>1302</v>
      </c>
      <c r="B2214" s="325" t="s">
        <v>4076</v>
      </c>
      <c r="C2214" s="325" t="s">
        <v>4077</v>
      </c>
      <c r="D2214" s="325" t="s">
        <v>20</v>
      </c>
      <c r="E2214" s="326">
        <v>4</v>
      </c>
      <c r="F2214" s="331">
        <v>382.45</v>
      </c>
      <c r="G2214" s="328"/>
      <c r="H2214" s="328" t="s">
        <v>1147</v>
      </c>
      <c r="I2214" s="324" t="s">
        <v>21</v>
      </c>
    </row>
    <row r="2215" spans="1:9" ht="11.1" customHeight="1" outlineLevel="1">
      <c r="A2215" s="325" t="s">
        <v>1302</v>
      </c>
      <c r="B2215" s="325" t="s">
        <v>4078</v>
      </c>
      <c r="C2215" s="325" t="s">
        <v>4079</v>
      </c>
      <c r="D2215" s="325" t="s">
        <v>20</v>
      </c>
      <c r="E2215" s="326">
        <v>1</v>
      </c>
      <c r="F2215" s="331">
        <v>90</v>
      </c>
      <c r="G2215" s="328"/>
      <c r="H2215" s="328" t="s">
        <v>1147</v>
      </c>
      <c r="I2215" s="324" t="s">
        <v>21</v>
      </c>
    </row>
    <row r="2216" spans="1:9" ht="11.1" customHeight="1" outlineLevel="1">
      <c r="A2216" s="325" t="s">
        <v>1302</v>
      </c>
      <c r="B2216" s="325" t="s">
        <v>4080</v>
      </c>
      <c r="C2216" s="325" t="s">
        <v>4081</v>
      </c>
      <c r="D2216" s="325" t="s">
        <v>20</v>
      </c>
      <c r="E2216" s="326">
        <v>1</v>
      </c>
      <c r="F2216" s="331">
        <v>239.44</v>
      </c>
      <c r="G2216" s="328"/>
      <c r="H2216" s="328" t="s">
        <v>1147</v>
      </c>
      <c r="I2216" s="324" t="s">
        <v>21</v>
      </c>
    </row>
    <row r="2217" spans="1:9" ht="11.1" customHeight="1" outlineLevel="1">
      <c r="A2217" s="325" t="s">
        <v>1302</v>
      </c>
      <c r="B2217" s="325" t="s">
        <v>4082</v>
      </c>
      <c r="C2217" s="325" t="s">
        <v>4083</v>
      </c>
      <c r="D2217" s="325" t="s">
        <v>20</v>
      </c>
      <c r="E2217" s="326">
        <v>5</v>
      </c>
      <c r="F2217" s="331">
        <v>620</v>
      </c>
      <c r="G2217" s="328"/>
      <c r="H2217" s="328" t="s">
        <v>1147</v>
      </c>
      <c r="I2217" s="324" t="s">
        <v>21</v>
      </c>
    </row>
    <row r="2218" spans="1:9" ht="11.1" customHeight="1" outlineLevel="1">
      <c r="A2218" s="325" t="s">
        <v>1302</v>
      </c>
      <c r="B2218" s="325" t="s">
        <v>4084</v>
      </c>
      <c r="C2218" s="325" t="s">
        <v>4085</v>
      </c>
      <c r="D2218" s="325" t="s">
        <v>20</v>
      </c>
      <c r="E2218" s="326">
        <v>1</v>
      </c>
      <c r="F2218" s="331">
        <v>136.74</v>
      </c>
      <c r="G2218" s="328"/>
      <c r="H2218" s="328" t="s">
        <v>1147</v>
      </c>
      <c r="I2218" s="324" t="s">
        <v>21</v>
      </c>
    </row>
    <row r="2219" spans="1:9" ht="11.1" customHeight="1" outlineLevel="1">
      <c r="A2219" s="325" t="s">
        <v>1302</v>
      </c>
      <c r="B2219" s="325" t="s">
        <v>1185</v>
      </c>
      <c r="C2219" s="325" t="s">
        <v>1186</v>
      </c>
      <c r="D2219" s="325" t="s">
        <v>1187</v>
      </c>
      <c r="E2219" s="326">
        <v>5</v>
      </c>
      <c r="F2219" s="331">
        <v>785.52</v>
      </c>
      <c r="G2219" s="328"/>
      <c r="H2219" s="328" t="s">
        <v>1147</v>
      </c>
      <c r="I2219" s="324" t="s">
        <v>21</v>
      </c>
    </row>
    <row r="2220" spans="1:9" ht="11.1" customHeight="1" outlineLevel="1">
      <c r="A2220" s="325" t="s">
        <v>1302</v>
      </c>
      <c r="B2220" s="325" t="s">
        <v>4086</v>
      </c>
      <c r="C2220" s="325" t="s">
        <v>4087</v>
      </c>
      <c r="D2220" s="325" t="s">
        <v>1187</v>
      </c>
      <c r="E2220" s="328"/>
      <c r="F2220" s="331">
        <v>-0.01</v>
      </c>
      <c r="G2220" s="328"/>
      <c r="H2220" s="328" t="s">
        <v>1147</v>
      </c>
      <c r="I2220" s="324" t="s">
        <v>21</v>
      </c>
    </row>
    <row r="2221" spans="1:9" ht="11.1" customHeight="1" outlineLevel="1">
      <c r="A2221" s="325" t="s">
        <v>1302</v>
      </c>
      <c r="B2221" s="325" t="s">
        <v>4088</v>
      </c>
      <c r="C2221" s="325" t="s">
        <v>4089</v>
      </c>
      <c r="D2221" s="325" t="s">
        <v>1187</v>
      </c>
      <c r="E2221" s="326">
        <v>67</v>
      </c>
      <c r="F2221" s="327">
        <v>8956.1299999999992</v>
      </c>
      <c r="G2221" s="328"/>
      <c r="H2221" s="328" t="s">
        <v>1147</v>
      </c>
      <c r="I2221" s="324" t="s">
        <v>21</v>
      </c>
    </row>
    <row r="2222" spans="1:9" ht="11.1" customHeight="1" outlineLevel="1">
      <c r="A2222" s="325" t="s">
        <v>1067</v>
      </c>
      <c r="B2222" s="325" t="s">
        <v>4088</v>
      </c>
      <c r="C2222" s="325" t="s">
        <v>4089</v>
      </c>
      <c r="D2222" s="325" t="s">
        <v>1187</v>
      </c>
      <c r="E2222" s="326">
        <v>80</v>
      </c>
      <c r="F2222" s="327">
        <v>10221.57</v>
      </c>
      <c r="G2222" s="328"/>
      <c r="H2222" s="328" t="s">
        <v>1147</v>
      </c>
      <c r="I2222" s="324" t="s">
        <v>21</v>
      </c>
    </row>
    <row r="2223" spans="1:9" ht="11.1" customHeight="1" outlineLevel="1">
      <c r="A2223" s="325" t="s">
        <v>1302</v>
      </c>
      <c r="B2223" s="325" t="s">
        <v>4090</v>
      </c>
      <c r="C2223" s="325" t="s">
        <v>4091</v>
      </c>
      <c r="D2223" s="325" t="s">
        <v>20</v>
      </c>
      <c r="E2223" s="326">
        <v>11</v>
      </c>
      <c r="F2223" s="331">
        <v>208.33</v>
      </c>
      <c r="G2223" s="328"/>
      <c r="H2223" s="328" t="s">
        <v>1147</v>
      </c>
      <c r="I2223" s="324" t="s">
        <v>21</v>
      </c>
    </row>
    <row r="2224" spans="1:9" ht="11.1" customHeight="1" outlineLevel="1">
      <c r="A2224" s="325" t="s">
        <v>1302</v>
      </c>
      <c r="B2224" s="325" t="s">
        <v>4092</v>
      </c>
      <c r="C2224" s="325" t="s">
        <v>4093</v>
      </c>
      <c r="D2224" s="325" t="s">
        <v>20</v>
      </c>
      <c r="E2224" s="326">
        <v>4</v>
      </c>
      <c r="F2224" s="331">
        <v>151.54</v>
      </c>
      <c r="G2224" s="328"/>
      <c r="H2224" s="328" t="s">
        <v>1147</v>
      </c>
      <c r="I2224" s="324" t="s">
        <v>21</v>
      </c>
    </row>
    <row r="2225" spans="1:9" ht="11.1" customHeight="1" outlineLevel="1">
      <c r="A2225" s="325" t="s">
        <v>1067</v>
      </c>
      <c r="B2225" s="325" t="s">
        <v>1288</v>
      </c>
      <c r="C2225" s="325" t="s">
        <v>1289</v>
      </c>
      <c r="D2225" s="325" t="s">
        <v>1187</v>
      </c>
      <c r="E2225" s="326">
        <v>568</v>
      </c>
      <c r="F2225" s="327">
        <v>16021.55</v>
      </c>
      <c r="G2225" s="328"/>
      <c r="H2225" s="328" t="s">
        <v>1147</v>
      </c>
      <c r="I2225" s="324" t="s">
        <v>21</v>
      </c>
    </row>
    <row r="2226" spans="1:9" ht="11.1" customHeight="1" outlineLevel="1">
      <c r="A2226" s="325" t="s">
        <v>1302</v>
      </c>
      <c r="B2226" s="325" t="s">
        <v>1288</v>
      </c>
      <c r="C2226" s="325" t="s">
        <v>1289</v>
      </c>
      <c r="D2226" s="325" t="s">
        <v>1187</v>
      </c>
      <c r="E2226" s="326">
        <v>12</v>
      </c>
      <c r="F2226" s="331">
        <v>294.8</v>
      </c>
      <c r="G2226" s="328"/>
      <c r="H2226" s="328" t="s">
        <v>1147</v>
      </c>
      <c r="I2226" s="324" t="s">
        <v>21</v>
      </c>
    </row>
    <row r="2227" spans="1:9" ht="11.1" customHeight="1" outlineLevel="1">
      <c r="A2227" s="325" t="s">
        <v>1302</v>
      </c>
      <c r="B2227" s="325" t="s">
        <v>4094</v>
      </c>
      <c r="C2227" s="325" t="s">
        <v>4095</v>
      </c>
      <c r="D2227" s="325" t="s">
        <v>1187</v>
      </c>
      <c r="E2227" s="326">
        <v>3</v>
      </c>
      <c r="F2227" s="331">
        <v>69</v>
      </c>
      <c r="G2227" s="328"/>
      <c r="H2227" s="328" t="s">
        <v>1147</v>
      </c>
      <c r="I2227" s="324" t="s">
        <v>21</v>
      </c>
    </row>
    <row r="2228" spans="1:9" ht="11.1" customHeight="1" outlineLevel="1">
      <c r="A2228" s="325" t="s">
        <v>1067</v>
      </c>
      <c r="B2228" s="325" t="s">
        <v>2309</v>
      </c>
      <c r="C2228" s="325" t="s">
        <v>2310</v>
      </c>
      <c r="D2228" s="325" t="s">
        <v>20</v>
      </c>
      <c r="E2228" s="326">
        <v>50</v>
      </c>
      <c r="F2228" s="327">
        <v>11910.63</v>
      </c>
      <c r="G2228" s="328"/>
      <c r="H2228" s="328" t="s">
        <v>1147</v>
      </c>
      <c r="I2228" s="324" t="s">
        <v>21</v>
      </c>
    </row>
    <row r="2229" spans="1:9" ht="11.1" customHeight="1" outlineLevel="1">
      <c r="A2229" s="325" t="s">
        <v>1302</v>
      </c>
      <c r="B2229" s="325" t="s">
        <v>2309</v>
      </c>
      <c r="C2229" s="325" t="s">
        <v>2310</v>
      </c>
      <c r="D2229" s="325" t="s">
        <v>20</v>
      </c>
      <c r="E2229" s="326">
        <v>40</v>
      </c>
      <c r="F2229" s="327">
        <v>10195.16</v>
      </c>
      <c r="G2229" s="328"/>
      <c r="H2229" s="328" t="s">
        <v>1147</v>
      </c>
      <c r="I2229" s="324" t="s">
        <v>21</v>
      </c>
    </row>
    <row r="2230" spans="1:9" ht="11.1" customHeight="1" outlineLevel="1">
      <c r="A2230" s="325" t="s">
        <v>1302</v>
      </c>
      <c r="B2230" s="325" t="s">
        <v>4096</v>
      </c>
      <c r="C2230" s="325" t="s">
        <v>4097</v>
      </c>
      <c r="D2230" s="325" t="s">
        <v>20</v>
      </c>
      <c r="E2230" s="326">
        <v>3</v>
      </c>
      <c r="F2230" s="331">
        <v>432</v>
      </c>
      <c r="G2230" s="328"/>
      <c r="H2230" s="328" t="s">
        <v>1147</v>
      </c>
      <c r="I2230" s="324" t="s">
        <v>21</v>
      </c>
    </row>
    <row r="2231" spans="1:9" ht="11.1" customHeight="1" outlineLevel="1">
      <c r="A2231" s="325" t="s">
        <v>1302</v>
      </c>
      <c r="B2231" s="325" t="s">
        <v>4098</v>
      </c>
      <c r="C2231" s="325" t="s">
        <v>4099</v>
      </c>
      <c r="D2231" s="325" t="s">
        <v>20</v>
      </c>
      <c r="E2231" s="326">
        <v>6</v>
      </c>
      <c r="F2231" s="327">
        <v>1068.98</v>
      </c>
      <c r="G2231" s="328"/>
      <c r="H2231" s="328" t="s">
        <v>1147</v>
      </c>
      <c r="I2231" s="324" t="s">
        <v>21</v>
      </c>
    </row>
    <row r="2232" spans="1:9" ht="11.1" customHeight="1" outlineLevel="1">
      <c r="A2232" s="325" t="s">
        <v>1302</v>
      </c>
      <c r="B2232" s="325" t="s">
        <v>4100</v>
      </c>
      <c r="C2232" s="325" t="s">
        <v>4101</v>
      </c>
      <c r="D2232" s="325" t="s">
        <v>20</v>
      </c>
      <c r="E2232" s="326">
        <v>3</v>
      </c>
      <c r="F2232" s="331">
        <v>659.99</v>
      </c>
      <c r="G2232" s="328"/>
      <c r="H2232" s="328" t="s">
        <v>1147</v>
      </c>
      <c r="I2232" s="324" t="s">
        <v>21</v>
      </c>
    </row>
    <row r="2233" spans="1:9" ht="11.1" customHeight="1" outlineLevel="1">
      <c r="A2233" s="325" t="s">
        <v>1302</v>
      </c>
      <c r="B2233" s="325" t="s">
        <v>4102</v>
      </c>
      <c r="C2233" s="325" t="s">
        <v>4103</v>
      </c>
      <c r="D2233" s="325" t="s">
        <v>20</v>
      </c>
      <c r="E2233" s="326">
        <v>1</v>
      </c>
      <c r="F2233" s="331">
        <v>342</v>
      </c>
      <c r="G2233" s="328"/>
      <c r="H2233" s="328" t="s">
        <v>1147</v>
      </c>
      <c r="I2233" s="324" t="s">
        <v>21</v>
      </c>
    </row>
    <row r="2234" spans="1:9" ht="11.1" customHeight="1" outlineLevel="1">
      <c r="A2234" s="325" t="s">
        <v>1302</v>
      </c>
      <c r="B2234" s="325" t="s">
        <v>4104</v>
      </c>
      <c r="C2234" s="325" t="s">
        <v>4105</v>
      </c>
      <c r="D2234" s="325" t="s">
        <v>20</v>
      </c>
      <c r="E2234" s="326">
        <v>6</v>
      </c>
      <c r="F2234" s="327">
        <v>1543.51</v>
      </c>
      <c r="G2234" s="328"/>
      <c r="H2234" s="328" t="s">
        <v>1147</v>
      </c>
      <c r="I2234" s="324" t="s">
        <v>21</v>
      </c>
    </row>
    <row r="2235" spans="1:9" ht="11.1" customHeight="1" outlineLevel="1">
      <c r="A2235" s="325" t="s">
        <v>1302</v>
      </c>
      <c r="B2235" s="325" t="s">
        <v>4106</v>
      </c>
      <c r="C2235" s="325" t="s">
        <v>4107</v>
      </c>
      <c r="D2235" s="325" t="s">
        <v>20</v>
      </c>
      <c r="E2235" s="326">
        <v>3</v>
      </c>
      <c r="F2235" s="331">
        <v>111</v>
      </c>
      <c r="G2235" s="328"/>
      <c r="H2235" s="328" t="s">
        <v>1147</v>
      </c>
      <c r="I2235" s="324" t="s">
        <v>21</v>
      </c>
    </row>
    <row r="2236" spans="1:9" ht="11.1" customHeight="1" outlineLevel="1">
      <c r="A2236" s="325" t="s">
        <v>1067</v>
      </c>
      <c r="B2236" s="325" t="s">
        <v>4108</v>
      </c>
      <c r="C2236" s="325" t="s">
        <v>4109</v>
      </c>
      <c r="D2236" s="325" t="s">
        <v>20</v>
      </c>
      <c r="E2236" s="326">
        <v>6</v>
      </c>
      <c r="F2236" s="331">
        <v>586.20000000000005</v>
      </c>
      <c r="G2236" s="328"/>
      <c r="H2236" s="328" t="s">
        <v>1147</v>
      </c>
      <c r="I2236" s="324" t="s">
        <v>21</v>
      </c>
    </row>
    <row r="2237" spans="1:9" ht="11.1" customHeight="1" outlineLevel="1">
      <c r="A2237" s="325" t="s">
        <v>1067</v>
      </c>
      <c r="B2237" s="325" t="s">
        <v>4110</v>
      </c>
      <c r="C2237" s="325" t="s">
        <v>4111</v>
      </c>
      <c r="D2237" s="325" t="s">
        <v>20</v>
      </c>
      <c r="E2237" s="326">
        <v>1</v>
      </c>
      <c r="F2237" s="331">
        <v>88.3</v>
      </c>
      <c r="G2237" s="328"/>
      <c r="H2237" s="328" t="s">
        <v>1147</v>
      </c>
      <c r="I2237" s="324" t="s">
        <v>21</v>
      </c>
    </row>
    <row r="2238" spans="1:9" ht="11.1" customHeight="1" outlineLevel="1">
      <c r="A2238" s="325" t="s">
        <v>1067</v>
      </c>
      <c r="B2238" s="325" t="s">
        <v>4112</v>
      </c>
      <c r="C2238" s="325" t="s">
        <v>4113</v>
      </c>
      <c r="D2238" s="325" t="s">
        <v>20</v>
      </c>
      <c r="E2238" s="326">
        <v>2</v>
      </c>
      <c r="F2238" s="331">
        <v>85</v>
      </c>
      <c r="G2238" s="328"/>
      <c r="H2238" s="328" t="s">
        <v>1147</v>
      </c>
      <c r="I2238" s="324" t="s">
        <v>21</v>
      </c>
    </row>
    <row r="2239" spans="1:9" ht="11.1" customHeight="1" outlineLevel="1">
      <c r="A2239" s="325" t="s">
        <v>1302</v>
      </c>
      <c r="B2239" s="325" t="s">
        <v>4114</v>
      </c>
      <c r="C2239" s="325" t="s">
        <v>4115</v>
      </c>
      <c r="D2239" s="325" t="s">
        <v>20</v>
      </c>
      <c r="E2239" s="326">
        <v>2</v>
      </c>
      <c r="F2239" s="331">
        <v>102</v>
      </c>
      <c r="G2239" s="328"/>
      <c r="H2239" s="328" t="s">
        <v>1147</v>
      </c>
      <c r="I2239" s="324" t="s">
        <v>21</v>
      </c>
    </row>
    <row r="2240" spans="1:9" ht="11.1" customHeight="1" outlineLevel="1">
      <c r="A2240" s="325" t="s">
        <v>1067</v>
      </c>
      <c r="B2240" s="325" t="s">
        <v>4116</v>
      </c>
      <c r="C2240" s="325" t="s">
        <v>4117</v>
      </c>
      <c r="D2240" s="325" t="s">
        <v>20</v>
      </c>
      <c r="E2240" s="326">
        <v>64</v>
      </c>
      <c r="F2240" s="327">
        <v>5960</v>
      </c>
      <c r="G2240" s="328"/>
      <c r="H2240" s="328" t="s">
        <v>1147</v>
      </c>
      <c r="I2240" s="324" t="s">
        <v>21</v>
      </c>
    </row>
    <row r="2241" spans="1:9" ht="11.1" customHeight="1" outlineLevel="1">
      <c r="A2241" s="325" t="s">
        <v>1302</v>
      </c>
      <c r="B2241" s="325" t="s">
        <v>4116</v>
      </c>
      <c r="C2241" s="325" t="s">
        <v>4117</v>
      </c>
      <c r="D2241" s="325" t="s">
        <v>20</v>
      </c>
      <c r="E2241" s="326">
        <v>16</v>
      </c>
      <c r="F2241" s="331">
        <v>635.4</v>
      </c>
      <c r="G2241" s="328"/>
      <c r="H2241" s="328" t="s">
        <v>1147</v>
      </c>
      <c r="I2241" s="324" t="s">
        <v>21</v>
      </c>
    </row>
    <row r="2242" spans="1:9" ht="11.1" customHeight="1" outlineLevel="1">
      <c r="A2242" s="325" t="s">
        <v>1067</v>
      </c>
      <c r="B2242" s="325" t="s">
        <v>4118</v>
      </c>
      <c r="C2242" s="325" t="s">
        <v>4119</v>
      </c>
      <c r="D2242" s="325" t="s">
        <v>20</v>
      </c>
      <c r="E2242" s="326">
        <v>2</v>
      </c>
      <c r="F2242" s="331">
        <v>199.2</v>
      </c>
      <c r="G2242" s="328"/>
      <c r="H2242" s="328" t="s">
        <v>1147</v>
      </c>
      <c r="I2242" s="324" t="s">
        <v>21</v>
      </c>
    </row>
    <row r="2243" spans="1:9" ht="11.1" customHeight="1" outlineLevel="1">
      <c r="A2243" s="325" t="s">
        <v>1067</v>
      </c>
      <c r="B2243" s="325" t="s">
        <v>4120</v>
      </c>
      <c r="C2243" s="325" t="s">
        <v>4121</v>
      </c>
      <c r="D2243" s="325" t="s">
        <v>20</v>
      </c>
      <c r="E2243" s="326">
        <v>1</v>
      </c>
      <c r="F2243" s="331">
        <v>130.80000000000001</v>
      </c>
      <c r="G2243" s="328"/>
      <c r="H2243" s="328" t="s">
        <v>1147</v>
      </c>
      <c r="I2243" s="324" t="s">
        <v>21</v>
      </c>
    </row>
    <row r="2244" spans="1:9" ht="11.1" customHeight="1" outlineLevel="1">
      <c r="A2244" s="325" t="s">
        <v>1067</v>
      </c>
      <c r="B2244" s="325" t="s">
        <v>4122</v>
      </c>
      <c r="C2244" s="325" t="s">
        <v>4123</v>
      </c>
      <c r="D2244" s="325" t="s">
        <v>20</v>
      </c>
      <c r="E2244" s="326">
        <v>72</v>
      </c>
      <c r="F2244" s="327">
        <v>8534.2000000000007</v>
      </c>
      <c r="G2244" s="328"/>
      <c r="H2244" s="328" t="s">
        <v>1147</v>
      </c>
      <c r="I2244" s="324" t="s">
        <v>21</v>
      </c>
    </row>
    <row r="2245" spans="1:9" ht="11.1" customHeight="1" outlineLevel="1">
      <c r="A2245" s="325" t="s">
        <v>1067</v>
      </c>
      <c r="B2245" s="325" t="s">
        <v>2031</v>
      </c>
      <c r="C2245" s="325" t="s">
        <v>2032</v>
      </c>
      <c r="D2245" s="325" t="s">
        <v>20</v>
      </c>
      <c r="E2245" s="326">
        <v>3</v>
      </c>
      <c r="F2245" s="331">
        <v>991.46</v>
      </c>
      <c r="G2245" s="328"/>
      <c r="H2245" s="328" t="s">
        <v>1147</v>
      </c>
      <c r="I2245" s="324" t="s">
        <v>21</v>
      </c>
    </row>
    <row r="2246" spans="1:9" ht="11.1" customHeight="1" outlineLevel="1">
      <c r="A2246" s="325" t="s">
        <v>1302</v>
      </c>
      <c r="B2246" s="325" t="s">
        <v>2031</v>
      </c>
      <c r="C2246" s="325" t="s">
        <v>2032</v>
      </c>
      <c r="D2246" s="325" t="s">
        <v>20</v>
      </c>
      <c r="E2246" s="326">
        <v>1</v>
      </c>
      <c r="F2246" s="331">
        <v>170.33</v>
      </c>
      <c r="G2246" s="328"/>
      <c r="H2246" s="328" t="s">
        <v>1147</v>
      </c>
      <c r="I2246" s="324" t="s">
        <v>21</v>
      </c>
    </row>
    <row r="2247" spans="1:9" ht="11.1" customHeight="1" outlineLevel="1">
      <c r="A2247" s="325" t="s">
        <v>1067</v>
      </c>
      <c r="B2247" s="325" t="s">
        <v>4124</v>
      </c>
      <c r="C2247" s="325" t="s">
        <v>4125</v>
      </c>
      <c r="D2247" s="325" t="s">
        <v>20</v>
      </c>
      <c r="E2247" s="326">
        <v>1</v>
      </c>
      <c r="F2247" s="327">
        <v>2029.2</v>
      </c>
      <c r="G2247" s="328"/>
      <c r="H2247" s="328" t="s">
        <v>1147</v>
      </c>
      <c r="I2247" s="324" t="s">
        <v>21</v>
      </c>
    </row>
    <row r="2248" spans="1:9" ht="11.1" customHeight="1" outlineLevel="1">
      <c r="A2248" s="325" t="s">
        <v>1302</v>
      </c>
      <c r="B2248" s="325" t="s">
        <v>4126</v>
      </c>
      <c r="C2248" s="325" t="s">
        <v>4127</v>
      </c>
      <c r="D2248" s="325" t="s">
        <v>20</v>
      </c>
      <c r="E2248" s="326">
        <v>4</v>
      </c>
      <c r="F2248" s="331">
        <v>382.8</v>
      </c>
      <c r="G2248" s="328"/>
      <c r="H2248" s="328" t="s">
        <v>1147</v>
      </c>
      <c r="I2248" s="324" t="s">
        <v>21</v>
      </c>
    </row>
    <row r="2249" spans="1:9" ht="11.1" customHeight="1" outlineLevel="1">
      <c r="A2249" s="325" t="s">
        <v>1302</v>
      </c>
      <c r="B2249" s="325" t="s">
        <v>4128</v>
      </c>
      <c r="C2249" s="325" t="s">
        <v>4129</v>
      </c>
      <c r="D2249" s="325" t="s">
        <v>20</v>
      </c>
      <c r="E2249" s="326">
        <v>1</v>
      </c>
      <c r="F2249" s="331">
        <v>131.66</v>
      </c>
      <c r="G2249" s="328"/>
      <c r="H2249" s="328" t="s">
        <v>1147</v>
      </c>
      <c r="I2249" s="324" t="s">
        <v>21</v>
      </c>
    </row>
    <row r="2250" spans="1:9" ht="11.1" customHeight="1" outlineLevel="1">
      <c r="A2250" s="325" t="s">
        <v>1302</v>
      </c>
      <c r="B2250" s="325" t="s">
        <v>4130</v>
      </c>
      <c r="C2250" s="325" t="s">
        <v>4131</v>
      </c>
      <c r="D2250" s="325" t="s">
        <v>20</v>
      </c>
      <c r="E2250" s="326">
        <v>1</v>
      </c>
      <c r="F2250" s="331">
        <v>29.98</v>
      </c>
      <c r="G2250" s="328"/>
      <c r="H2250" s="328" t="s">
        <v>1147</v>
      </c>
      <c r="I2250" s="324" t="s">
        <v>21</v>
      </c>
    </row>
    <row r="2251" spans="1:9" ht="11.1" customHeight="1" outlineLevel="1">
      <c r="A2251" s="325" t="s">
        <v>1302</v>
      </c>
      <c r="B2251" s="325" t="s">
        <v>4132</v>
      </c>
      <c r="C2251" s="325" t="s">
        <v>4133</v>
      </c>
      <c r="D2251" s="325" t="s">
        <v>20</v>
      </c>
      <c r="E2251" s="326">
        <v>2</v>
      </c>
      <c r="F2251" s="331">
        <v>83.4</v>
      </c>
      <c r="G2251" s="328"/>
      <c r="H2251" s="328" t="s">
        <v>1147</v>
      </c>
      <c r="I2251" s="324" t="s">
        <v>21</v>
      </c>
    </row>
    <row r="2252" spans="1:9" ht="11.1" customHeight="1" outlineLevel="1">
      <c r="A2252" s="325" t="s">
        <v>1067</v>
      </c>
      <c r="B2252" s="325" t="s">
        <v>4132</v>
      </c>
      <c r="C2252" s="325" t="s">
        <v>4133</v>
      </c>
      <c r="D2252" s="325" t="s">
        <v>20</v>
      </c>
      <c r="E2252" s="326">
        <v>6</v>
      </c>
      <c r="F2252" s="331">
        <v>267.39999999999998</v>
      </c>
      <c r="G2252" s="328"/>
      <c r="H2252" s="328" t="s">
        <v>1147</v>
      </c>
      <c r="I2252" s="324" t="s">
        <v>21</v>
      </c>
    </row>
    <row r="2253" spans="1:9" ht="11.1" customHeight="1" outlineLevel="1">
      <c r="A2253" s="325" t="s">
        <v>1067</v>
      </c>
      <c r="B2253" s="325" t="s">
        <v>4134</v>
      </c>
      <c r="C2253" s="325" t="s">
        <v>4135</v>
      </c>
      <c r="D2253" s="325" t="s">
        <v>20</v>
      </c>
      <c r="E2253" s="326">
        <v>4</v>
      </c>
      <c r="F2253" s="331">
        <v>232.86</v>
      </c>
      <c r="G2253" s="328"/>
      <c r="H2253" s="328" t="s">
        <v>1147</v>
      </c>
      <c r="I2253" s="324" t="s">
        <v>21</v>
      </c>
    </row>
    <row r="2254" spans="1:9" ht="11.1" customHeight="1" outlineLevel="1">
      <c r="A2254" s="325" t="s">
        <v>1067</v>
      </c>
      <c r="B2254" s="325" t="s">
        <v>4136</v>
      </c>
      <c r="C2254" s="325" t="s">
        <v>4137</v>
      </c>
      <c r="D2254" s="325" t="s">
        <v>20</v>
      </c>
      <c r="E2254" s="326">
        <v>2</v>
      </c>
      <c r="F2254" s="327">
        <v>1348</v>
      </c>
      <c r="G2254" s="328"/>
      <c r="H2254" s="328" t="s">
        <v>1147</v>
      </c>
      <c r="I2254" s="324" t="s">
        <v>21</v>
      </c>
    </row>
    <row r="2255" spans="1:9" ht="11.1" customHeight="1" outlineLevel="1">
      <c r="A2255" s="325" t="s">
        <v>1302</v>
      </c>
      <c r="B2255" s="325" t="s">
        <v>4136</v>
      </c>
      <c r="C2255" s="325" t="s">
        <v>4137</v>
      </c>
      <c r="D2255" s="325" t="s">
        <v>20</v>
      </c>
      <c r="E2255" s="326">
        <v>1</v>
      </c>
      <c r="F2255" s="331">
        <v>674</v>
      </c>
      <c r="G2255" s="328"/>
      <c r="H2255" s="328" t="s">
        <v>1147</v>
      </c>
      <c r="I2255" s="324" t="s">
        <v>21</v>
      </c>
    </row>
    <row r="2256" spans="1:9" ht="11.1" customHeight="1" outlineLevel="1">
      <c r="A2256" s="325" t="s">
        <v>1302</v>
      </c>
      <c r="B2256" s="325" t="s">
        <v>4138</v>
      </c>
      <c r="C2256" s="325" t="s">
        <v>4139</v>
      </c>
      <c r="D2256" s="325" t="s">
        <v>20</v>
      </c>
      <c r="E2256" s="326">
        <v>2</v>
      </c>
      <c r="F2256" s="331">
        <v>146</v>
      </c>
      <c r="G2256" s="328"/>
      <c r="H2256" s="328" t="s">
        <v>1147</v>
      </c>
      <c r="I2256" s="324" t="s">
        <v>21</v>
      </c>
    </row>
    <row r="2257" spans="1:9" ht="11.1" customHeight="1" outlineLevel="1">
      <c r="A2257" s="325" t="s">
        <v>1067</v>
      </c>
      <c r="B2257" s="325" t="s">
        <v>4140</v>
      </c>
      <c r="C2257" s="325" t="s">
        <v>4141</v>
      </c>
      <c r="D2257" s="325" t="s">
        <v>20</v>
      </c>
      <c r="E2257" s="326">
        <v>1</v>
      </c>
      <c r="F2257" s="331">
        <v>249.2</v>
      </c>
      <c r="G2257" s="328"/>
      <c r="H2257" s="328" t="s">
        <v>1147</v>
      </c>
      <c r="I2257" s="324" t="s">
        <v>21</v>
      </c>
    </row>
    <row r="2258" spans="1:9" ht="11.1" customHeight="1" outlineLevel="1">
      <c r="A2258" s="325" t="s">
        <v>1067</v>
      </c>
      <c r="B2258" s="325" t="s">
        <v>4142</v>
      </c>
      <c r="C2258" s="325" t="s">
        <v>4143</v>
      </c>
      <c r="D2258" s="325" t="s">
        <v>20</v>
      </c>
      <c r="E2258" s="326">
        <v>10</v>
      </c>
      <c r="F2258" s="331">
        <v>510</v>
      </c>
      <c r="G2258" s="328"/>
      <c r="H2258" s="328" t="s">
        <v>1147</v>
      </c>
      <c r="I2258" s="324" t="s">
        <v>21</v>
      </c>
    </row>
    <row r="2259" spans="1:9" ht="11.1" customHeight="1" outlineLevel="1">
      <c r="A2259" s="325" t="s">
        <v>1067</v>
      </c>
      <c r="B2259" s="325" t="s">
        <v>4144</v>
      </c>
      <c r="C2259" s="325" t="s">
        <v>4145</v>
      </c>
      <c r="D2259" s="325" t="s">
        <v>20</v>
      </c>
      <c r="E2259" s="326">
        <v>41</v>
      </c>
      <c r="F2259" s="327">
        <v>7310.46</v>
      </c>
      <c r="G2259" s="328"/>
      <c r="H2259" s="328" t="s">
        <v>1147</v>
      </c>
      <c r="I2259" s="324" t="s">
        <v>21</v>
      </c>
    </row>
    <row r="2260" spans="1:9" ht="11.1" customHeight="1" outlineLevel="1">
      <c r="A2260" s="325" t="s">
        <v>1302</v>
      </c>
      <c r="B2260" s="325" t="s">
        <v>4146</v>
      </c>
      <c r="C2260" s="325" t="s">
        <v>4147</v>
      </c>
      <c r="D2260" s="325" t="s">
        <v>20</v>
      </c>
      <c r="E2260" s="326">
        <v>5</v>
      </c>
      <c r="F2260" s="331">
        <v>816.5</v>
      </c>
      <c r="G2260" s="328"/>
      <c r="H2260" s="328" t="s">
        <v>1147</v>
      </c>
      <c r="I2260" s="324" t="s">
        <v>21</v>
      </c>
    </row>
    <row r="2261" spans="1:9" ht="11.1" customHeight="1" outlineLevel="1">
      <c r="A2261" s="325" t="s">
        <v>1302</v>
      </c>
      <c r="B2261" s="325" t="s">
        <v>4148</v>
      </c>
      <c r="C2261" s="325" t="s">
        <v>4149</v>
      </c>
      <c r="D2261" s="325" t="s">
        <v>20</v>
      </c>
      <c r="E2261" s="326">
        <v>1</v>
      </c>
      <c r="F2261" s="331">
        <v>51.25</v>
      </c>
      <c r="G2261" s="328"/>
      <c r="H2261" s="328" t="s">
        <v>1147</v>
      </c>
      <c r="I2261" s="324" t="s">
        <v>21</v>
      </c>
    </row>
    <row r="2262" spans="1:9" ht="11.1" customHeight="1" outlineLevel="1">
      <c r="A2262" s="325" t="s">
        <v>1302</v>
      </c>
      <c r="B2262" s="325" t="s">
        <v>4150</v>
      </c>
      <c r="C2262" s="325" t="s">
        <v>4151</v>
      </c>
      <c r="D2262" s="325" t="s">
        <v>20</v>
      </c>
      <c r="E2262" s="326">
        <v>5</v>
      </c>
      <c r="F2262" s="331">
        <v>702.43</v>
      </c>
      <c r="G2262" s="328"/>
      <c r="H2262" s="328" t="s">
        <v>1147</v>
      </c>
      <c r="I2262" s="324" t="s">
        <v>21</v>
      </c>
    </row>
    <row r="2263" spans="1:9" ht="11.1" customHeight="1" outlineLevel="1">
      <c r="A2263" s="325" t="s">
        <v>1302</v>
      </c>
      <c r="B2263" s="325" t="s">
        <v>4152</v>
      </c>
      <c r="C2263" s="325" t="s">
        <v>4153</v>
      </c>
      <c r="D2263" s="325" t="s">
        <v>20</v>
      </c>
      <c r="E2263" s="326">
        <v>4</v>
      </c>
      <c r="F2263" s="331">
        <v>431.47</v>
      </c>
      <c r="G2263" s="328"/>
      <c r="H2263" s="328" t="s">
        <v>1147</v>
      </c>
      <c r="I2263" s="324" t="s">
        <v>21</v>
      </c>
    </row>
    <row r="2264" spans="1:9" ht="11.1" customHeight="1" outlineLevel="1">
      <c r="A2264" s="325" t="s">
        <v>1302</v>
      </c>
      <c r="B2264" s="325" t="s">
        <v>4154</v>
      </c>
      <c r="C2264" s="325" t="s">
        <v>4155</v>
      </c>
      <c r="D2264" s="325" t="s">
        <v>1305</v>
      </c>
      <c r="E2264" s="326">
        <v>2</v>
      </c>
      <c r="F2264" s="331">
        <v>38.83</v>
      </c>
      <c r="G2264" s="328"/>
      <c r="H2264" s="328" t="s">
        <v>1147</v>
      </c>
      <c r="I2264" s="324" t="s">
        <v>21</v>
      </c>
    </row>
    <row r="2265" spans="1:9" ht="11.1" customHeight="1" outlineLevel="1">
      <c r="A2265" s="325" t="s">
        <v>1302</v>
      </c>
      <c r="B2265" s="325" t="s">
        <v>4156</v>
      </c>
      <c r="C2265" s="325" t="s">
        <v>4157</v>
      </c>
      <c r="D2265" s="325" t="s">
        <v>20</v>
      </c>
      <c r="E2265" s="326">
        <v>3</v>
      </c>
      <c r="F2265" s="331">
        <v>53.37</v>
      </c>
      <c r="G2265" s="328"/>
      <c r="H2265" s="328" t="s">
        <v>1147</v>
      </c>
      <c r="I2265" s="324" t="s">
        <v>21</v>
      </c>
    </row>
    <row r="2266" spans="1:9" ht="11.1" customHeight="1" outlineLevel="1">
      <c r="A2266" s="325" t="s">
        <v>1067</v>
      </c>
      <c r="B2266" s="325" t="s">
        <v>4158</v>
      </c>
      <c r="C2266" s="325" t="s">
        <v>4159</v>
      </c>
      <c r="D2266" s="325" t="s">
        <v>20</v>
      </c>
      <c r="E2266" s="326">
        <v>17</v>
      </c>
      <c r="F2266" s="327">
        <v>1077.1300000000001</v>
      </c>
      <c r="G2266" s="328"/>
      <c r="H2266" s="328" t="s">
        <v>1147</v>
      </c>
      <c r="I2266" s="324" t="s">
        <v>21</v>
      </c>
    </row>
    <row r="2267" spans="1:9" ht="11.1" customHeight="1" outlineLevel="1">
      <c r="A2267" s="325" t="s">
        <v>1302</v>
      </c>
      <c r="B2267" s="325" t="s">
        <v>4158</v>
      </c>
      <c r="C2267" s="325" t="s">
        <v>4159</v>
      </c>
      <c r="D2267" s="325" t="s">
        <v>20</v>
      </c>
      <c r="E2267" s="326">
        <v>7</v>
      </c>
      <c r="F2267" s="331">
        <v>448.45</v>
      </c>
      <c r="G2267" s="328"/>
      <c r="H2267" s="328" t="s">
        <v>1147</v>
      </c>
      <c r="I2267" s="324" t="s">
        <v>21</v>
      </c>
    </row>
    <row r="2268" spans="1:9" ht="11.1" customHeight="1" outlineLevel="1">
      <c r="A2268" s="325" t="s">
        <v>1302</v>
      </c>
      <c r="B2268" s="325" t="s">
        <v>4160</v>
      </c>
      <c r="C2268" s="325" t="s">
        <v>4161</v>
      </c>
      <c r="D2268" s="325" t="s">
        <v>20</v>
      </c>
      <c r="E2268" s="326">
        <v>1</v>
      </c>
      <c r="F2268" s="331">
        <v>49</v>
      </c>
      <c r="G2268" s="328"/>
      <c r="H2268" s="328" t="s">
        <v>1147</v>
      </c>
      <c r="I2268" s="324" t="s">
        <v>21</v>
      </c>
    </row>
    <row r="2269" spans="1:9" ht="11.1" customHeight="1" outlineLevel="1">
      <c r="A2269" s="325" t="s">
        <v>1067</v>
      </c>
      <c r="B2269" s="325" t="s">
        <v>4162</v>
      </c>
      <c r="C2269" s="325" t="s">
        <v>4163</v>
      </c>
      <c r="D2269" s="325" t="s">
        <v>20</v>
      </c>
      <c r="E2269" s="326">
        <v>11</v>
      </c>
      <c r="F2269" s="331">
        <v>631.98</v>
      </c>
      <c r="G2269" s="328"/>
      <c r="H2269" s="328" t="s">
        <v>1147</v>
      </c>
      <c r="I2269" s="324" t="s">
        <v>21</v>
      </c>
    </row>
    <row r="2270" spans="1:9" ht="11.1" customHeight="1" outlineLevel="1">
      <c r="A2270" s="325" t="s">
        <v>1302</v>
      </c>
      <c r="B2270" s="325" t="s">
        <v>4162</v>
      </c>
      <c r="C2270" s="325" t="s">
        <v>4163</v>
      </c>
      <c r="D2270" s="325" t="s">
        <v>20</v>
      </c>
      <c r="E2270" s="326">
        <v>8</v>
      </c>
      <c r="F2270" s="331">
        <v>478.5</v>
      </c>
      <c r="G2270" s="328"/>
      <c r="H2270" s="328" t="s">
        <v>1147</v>
      </c>
      <c r="I2270" s="324" t="s">
        <v>21</v>
      </c>
    </row>
    <row r="2271" spans="1:9" ht="11.1" customHeight="1" outlineLevel="1">
      <c r="A2271" s="325" t="s">
        <v>1302</v>
      </c>
      <c r="B2271" s="325" t="s">
        <v>4164</v>
      </c>
      <c r="C2271" s="325" t="s">
        <v>4165</v>
      </c>
      <c r="D2271" s="325" t="s">
        <v>20</v>
      </c>
      <c r="E2271" s="326">
        <v>50</v>
      </c>
      <c r="F2271" s="327">
        <v>8275.18</v>
      </c>
      <c r="G2271" s="328"/>
      <c r="H2271" s="328" t="s">
        <v>1147</v>
      </c>
      <c r="I2271" s="324" t="s">
        <v>21</v>
      </c>
    </row>
    <row r="2272" spans="1:9" ht="11.1" customHeight="1" outlineLevel="1">
      <c r="A2272" s="325" t="s">
        <v>1067</v>
      </c>
      <c r="B2272" s="325" t="s">
        <v>4164</v>
      </c>
      <c r="C2272" s="325" t="s">
        <v>4165</v>
      </c>
      <c r="D2272" s="325" t="s">
        <v>20</v>
      </c>
      <c r="E2272" s="326">
        <v>11</v>
      </c>
      <c r="F2272" s="327">
        <v>3245.8</v>
      </c>
      <c r="G2272" s="328"/>
      <c r="H2272" s="328" t="s">
        <v>1147</v>
      </c>
      <c r="I2272" s="324" t="s">
        <v>21</v>
      </c>
    </row>
    <row r="2273" spans="1:9" ht="11.1" customHeight="1" outlineLevel="1">
      <c r="A2273" s="325" t="s">
        <v>1067</v>
      </c>
      <c r="B2273" s="325" t="s">
        <v>4166</v>
      </c>
      <c r="C2273" s="325" t="s">
        <v>4167</v>
      </c>
      <c r="D2273" s="325" t="s">
        <v>20</v>
      </c>
      <c r="E2273" s="326">
        <v>1</v>
      </c>
      <c r="F2273" s="331">
        <v>264.2</v>
      </c>
      <c r="G2273" s="328"/>
      <c r="H2273" s="328" t="s">
        <v>1147</v>
      </c>
      <c r="I2273" s="324" t="s">
        <v>21</v>
      </c>
    </row>
    <row r="2274" spans="1:9" ht="11.1" customHeight="1" outlineLevel="1">
      <c r="A2274" s="325" t="s">
        <v>1302</v>
      </c>
      <c r="B2274" s="325" t="s">
        <v>4166</v>
      </c>
      <c r="C2274" s="325" t="s">
        <v>4167</v>
      </c>
      <c r="D2274" s="325" t="s">
        <v>20</v>
      </c>
      <c r="E2274" s="326">
        <v>1</v>
      </c>
      <c r="F2274" s="331">
        <v>5</v>
      </c>
      <c r="G2274" s="328"/>
      <c r="H2274" s="328" t="s">
        <v>1147</v>
      </c>
      <c r="I2274" s="324" t="s">
        <v>21</v>
      </c>
    </row>
    <row r="2275" spans="1:9" ht="11.1" customHeight="1" outlineLevel="1">
      <c r="A2275" s="325" t="s">
        <v>1302</v>
      </c>
      <c r="B2275" s="325" t="s">
        <v>4168</v>
      </c>
      <c r="C2275" s="325" t="s">
        <v>4169</v>
      </c>
      <c r="D2275" s="325" t="s">
        <v>20</v>
      </c>
      <c r="E2275" s="326">
        <v>4</v>
      </c>
      <c r="F2275" s="331">
        <v>69.680000000000007</v>
      </c>
      <c r="G2275" s="328"/>
      <c r="H2275" s="328" t="s">
        <v>1147</v>
      </c>
      <c r="I2275" s="324" t="s">
        <v>21</v>
      </c>
    </row>
    <row r="2276" spans="1:9" ht="11.1" customHeight="1" outlineLevel="1">
      <c r="A2276" s="325" t="s">
        <v>1067</v>
      </c>
      <c r="B2276" s="325" t="s">
        <v>4168</v>
      </c>
      <c r="C2276" s="325" t="s">
        <v>4169</v>
      </c>
      <c r="D2276" s="325" t="s">
        <v>20</v>
      </c>
      <c r="E2276" s="326">
        <v>1</v>
      </c>
      <c r="F2276" s="331">
        <v>151.69999999999999</v>
      </c>
      <c r="G2276" s="328"/>
      <c r="H2276" s="328" t="s">
        <v>1147</v>
      </c>
      <c r="I2276" s="324" t="s">
        <v>21</v>
      </c>
    </row>
    <row r="2277" spans="1:9" ht="11.1" customHeight="1" outlineLevel="1">
      <c r="A2277" s="325" t="s">
        <v>1067</v>
      </c>
      <c r="B2277" s="325" t="s">
        <v>4170</v>
      </c>
      <c r="C2277" s="325" t="s">
        <v>4171</v>
      </c>
      <c r="D2277" s="325" t="s">
        <v>20</v>
      </c>
      <c r="E2277" s="326">
        <v>5</v>
      </c>
      <c r="F2277" s="331">
        <v>476.25</v>
      </c>
      <c r="G2277" s="328"/>
      <c r="H2277" s="328" t="s">
        <v>1147</v>
      </c>
      <c r="I2277" s="324" t="s">
        <v>21</v>
      </c>
    </row>
    <row r="2278" spans="1:9" ht="11.1" customHeight="1" outlineLevel="1">
      <c r="A2278" s="325" t="s">
        <v>1302</v>
      </c>
      <c r="B2278" s="325" t="s">
        <v>4172</v>
      </c>
      <c r="C2278" s="325" t="s">
        <v>4173</v>
      </c>
      <c r="D2278" s="325" t="s">
        <v>20</v>
      </c>
      <c r="E2278" s="326">
        <v>3</v>
      </c>
      <c r="F2278" s="331">
        <v>301</v>
      </c>
      <c r="G2278" s="328"/>
      <c r="H2278" s="328" t="s">
        <v>1147</v>
      </c>
      <c r="I2278" s="324" t="s">
        <v>21</v>
      </c>
    </row>
    <row r="2279" spans="1:9" ht="11.1" customHeight="1" outlineLevel="1">
      <c r="A2279" s="325" t="s">
        <v>1302</v>
      </c>
      <c r="B2279" s="325" t="s">
        <v>4174</v>
      </c>
      <c r="C2279" s="325" t="s">
        <v>4175</v>
      </c>
      <c r="D2279" s="325" t="s">
        <v>1305</v>
      </c>
      <c r="E2279" s="326">
        <v>3</v>
      </c>
      <c r="F2279" s="331">
        <v>585.6</v>
      </c>
      <c r="G2279" s="328"/>
      <c r="H2279" s="328" t="s">
        <v>1147</v>
      </c>
      <c r="I2279" s="324" t="s">
        <v>21</v>
      </c>
    </row>
    <row r="2280" spans="1:9" ht="11.1" customHeight="1" outlineLevel="1">
      <c r="A2280" s="325" t="s">
        <v>1302</v>
      </c>
      <c r="B2280" s="325" t="s">
        <v>4176</v>
      </c>
      <c r="C2280" s="325" t="s">
        <v>4177</v>
      </c>
      <c r="D2280" s="325" t="s">
        <v>1305</v>
      </c>
      <c r="E2280" s="326">
        <v>3</v>
      </c>
      <c r="F2280" s="331">
        <v>592.99</v>
      </c>
      <c r="G2280" s="328"/>
      <c r="H2280" s="328" t="s">
        <v>1147</v>
      </c>
      <c r="I2280" s="324" t="s">
        <v>21</v>
      </c>
    </row>
    <row r="2281" spans="1:9" ht="11.1" customHeight="1" outlineLevel="1">
      <c r="A2281" s="325" t="s">
        <v>1302</v>
      </c>
      <c r="B2281" s="325" t="s">
        <v>4178</v>
      </c>
      <c r="C2281" s="325" t="s">
        <v>4179</v>
      </c>
      <c r="D2281" s="325" t="s">
        <v>1305</v>
      </c>
      <c r="E2281" s="326">
        <v>2</v>
      </c>
      <c r="F2281" s="331">
        <v>640</v>
      </c>
      <c r="G2281" s="328"/>
      <c r="H2281" s="328" t="s">
        <v>1147</v>
      </c>
      <c r="I2281" s="324" t="s">
        <v>21</v>
      </c>
    </row>
    <row r="2282" spans="1:9" ht="11.1" customHeight="1" outlineLevel="1">
      <c r="A2282" s="325" t="s">
        <v>1067</v>
      </c>
      <c r="B2282" s="325" t="s">
        <v>2039</v>
      </c>
      <c r="C2282" s="325" t="s">
        <v>2040</v>
      </c>
      <c r="D2282" s="325" t="s">
        <v>1305</v>
      </c>
      <c r="E2282" s="326">
        <v>5</v>
      </c>
      <c r="F2282" s="331">
        <v>120</v>
      </c>
      <c r="G2282" s="328"/>
      <c r="H2282" s="328" t="s">
        <v>1147</v>
      </c>
      <c r="I2282" s="324" t="s">
        <v>21</v>
      </c>
    </row>
    <row r="2283" spans="1:9" ht="11.1" customHeight="1" outlineLevel="1">
      <c r="A2283" s="325" t="s">
        <v>1302</v>
      </c>
      <c r="B2283" s="325" t="s">
        <v>2039</v>
      </c>
      <c r="C2283" s="325" t="s">
        <v>2040</v>
      </c>
      <c r="D2283" s="325" t="s">
        <v>1305</v>
      </c>
      <c r="E2283" s="326">
        <v>3</v>
      </c>
      <c r="F2283" s="331">
        <v>72</v>
      </c>
      <c r="G2283" s="328"/>
      <c r="H2283" s="328" t="s">
        <v>1147</v>
      </c>
      <c r="I2283" s="324" t="s">
        <v>21</v>
      </c>
    </row>
    <row r="2284" spans="1:9" ht="11.1" customHeight="1" outlineLevel="1">
      <c r="A2284" s="325" t="s">
        <v>1067</v>
      </c>
      <c r="B2284" s="325" t="s">
        <v>4180</v>
      </c>
      <c r="C2284" s="325" t="s">
        <v>4181</v>
      </c>
      <c r="D2284" s="325" t="s">
        <v>20</v>
      </c>
      <c r="E2284" s="326">
        <v>1</v>
      </c>
      <c r="F2284" s="331">
        <v>165</v>
      </c>
      <c r="G2284" s="328"/>
      <c r="H2284" s="328" t="s">
        <v>1147</v>
      </c>
      <c r="I2284" s="324" t="s">
        <v>21</v>
      </c>
    </row>
    <row r="2285" spans="1:9" ht="11.1" customHeight="1" outlineLevel="1">
      <c r="A2285" s="325" t="s">
        <v>1067</v>
      </c>
      <c r="B2285" s="325" t="s">
        <v>4182</v>
      </c>
      <c r="C2285" s="325" t="s">
        <v>4183</v>
      </c>
      <c r="D2285" s="325" t="s">
        <v>20</v>
      </c>
      <c r="E2285" s="326">
        <v>1</v>
      </c>
      <c r="F2285" s="331">
        <v>214.2</v>
      </c>
      <c r="G2285" s="328"/>
      <c r="H2285" s="328" t="s">
        <v>1147</v>
      </c>
      <c r="I2285" s="324" t="s">
        <v>21</v>
      </c>
    </row>
    <row r="2286" spans="1:9" ht="11.1" customHeight="1" outlineLevel="1">
      <c r="A2286" s="325" t="s">
        <v>1067</v>
      </c>
      <c r="B2286" s="325" t="s">
        <v>4184</v>
      </c>
      <c r="C2286" s="325" t="s">
        <v>4185</v>
      </c>
      <c r="D2286" s="325" t="s">
        <v>20</v>
      </c>
      <c r="E2286" s="326">
        <v>1</v>
      </c>
      <c r="F2286" s="331">
        <v>320.8</v>
      </c>
      <c r="G2286" s="328"/>
      <c r="H2286" s="328" t="s">
        <v>1147</v>
      </c>
      <c r="I2286" s="324" t="s">
        <v>21</v>
      </c>
    </row>
    <row r="2287" spans="1:9" ht="11.1" customHeight="1" outlineLevel="1">
      <c r="A2287" s="325" t="s">
        <v>1302</v>
      </c>
      <c r="B2287" s="325" t="s">
        <v>4186</v>
      </c>
      <c r="C2287" s="325" t="s">
        <v>4187</v>
      </c>
      <c r="D2287" s="325" t="s">
        <v>20</v>
      </c>
      <c r="E2287" s="326">
        <v>1</v>
      </c>
      <c r="F2287" s="331">
        <v>116.67</v>
      </c>
      <c r="G2287" s="328"/>
      <c r="H2287" s="328" t="s">
        <v>1147</v>
      </c>
      <c r="I2287" s="324" t="s">
        <v>21</v>
      </c>
    </row>
    <row r="2288" spans="1:9" ht="11.1" customHeight="1" outlineLevel="1">
      <c r="A2288" s="325" t="s">
        <v>1302</v>
      </c>
      <c r="B2288" s="325" t="s">
        <v>4188</v>
      </c>
      <c r="C2288" s="325" t="s">
        <v>4189</v>
      </c>
      <c r="D2288" s="325" t="s">
        <v>20</v>
      </c>
      <c r="E2288" s="326">
        <v>5</v>
      </c>
      <c r="F2288" s="331">
        <v>371.12</v>
      </c>
      <c r="G2288" s="328"/>
      <c r="H2288" s="328" t="s">
        <v>1147</v>
      </c>
      <c r="I2288" s="324" t="s">
        <v>21</v>
      </c>
    </row>
    <row r="2289" spans="1:9" ht="11.1" customHeight="1" outlineLevel="1">
      <c r="A2289" s="325" t="s">
        <v>1302</v>
      </c>
      <c r="B2289" s="325" t="s">
        <v>4190</v>
      </c>
      <c r="C2289" s="325" t="s">
        <v>4191</v>
      </c>
      <c r="D2289" s="325" t="s">
        <v>20</v>
      </c>
      <c r="E2289" s="326">
        <v>5</v>
      </c>
      <c r="F2289" s="331">
        <v>735.92</v>
      </c>
      <c r="G2289" s="328"/>
      <c r="H2289" s="328" t="s">
        <v>1147</v>
      </c>
      <c r="I2289" s="324" t="s">
        <v>21</v>
      </c>
    </row>
    <row r="2290" spans="1:9" ht="11.1" customHeight="1" outlineLevel="1">
      <c r="A2290" s="325" t="s">
        <v>1302</v>
      </c>
      <c r="B2290" s="325" t="s">
        <v>4192</v>
      </c>
      <c r="C2290" s="325" t="s">
        <v>4193</v>
      </c>
      <c r="D2290" s="325" t="s">
        <v>20</v>
      </c>
      <c r="E2290" s="326">
        <v>5</v>
      </c>
      <c r="F2290" s="327">
        <v>2194.17</v>
      </c>
      <c r="G2290" s="328"/>
      <c r="H2290" s="328" t="s">
        <v>1147</v>
      </c>
      <c r="I2290" s="324" t="s">
        <v>21</v>
      </c>
    </row>
    <row r="2291" spans="1:9" ht="11.1" customHeight="1" outlineLevel="1">
      <c r="A2291" s="325" t="s">
        <v>1302</v>
      </c>
      <c r="B2291" s="325" t="s">
        <v>4194</v>
      </c>
      <c r="C2291" s="325" t="s">
        <v>4195</v>
      </c>
      <c r="D2291" s="325" t="s">
        <v>20</v>
      </c>
      <c r="E2291" s="326">
        <v>2</v>
      </c>
      <c r="F2291" s="331">
        <v>40.5</v>
      </c>
      <c r="G2291" s="328"/>
      <c r="H2291" s="328" t="s">
        <v>1147</v>
      </c>
      <c r="I2291" s="324" t="s">
        <v>21</v>
      </c>
    </row>
    <row r="2292" spans="1:9" ht="11.1" customHeight="1" outlineLevel="1">
      <c r="A2292" s="325" t="s">
        <v>1302</v>
      </c>
      <c r="B2292" s="325" t="s">
        <v>4196</v>
      </c>
      <c r="C2292" s="325" t="s">
        <v>4197</v>
      </c>
      <c r="D2292" s="325" t="s">
        <v>20</v>
      </c>
      <c r="E2292" s="326">
        <v>17</v>
      </c>
      <c r="F2292" s="327">
        <v>2092.31</v>
      </c>
      <c r="G2292" s="328"/>
      <c r="H2292" s="328" t="s">
        <v>1147</v>
      </c>
      <c r="I2292" s="324" t="s">
        <v>21</v>
      </c>
    </row>
    <row r="2293" spans="1:9" ht="11.1" customHeight="1" outlineLevel="1">
      <c r="A2293" s="325" t="s">
        <v>1302</v>
      </c>
      <c r="B2293" s="325" t="s">
        <v>4198</v>
      </c>
      <c r="C2293" s="325" t="s">
        <v>4199</v>
      </c>
      <c r="D2293" s="325" t="s">
        <v>20</v>
      </c>
      <c r="E2293" s="326">
        <v>4</v>
      </c>
      <c r="F2293" s="331">
        <v>140</v>
      </c>
      <c r="G2293" s="328"/>
      <c r="H2293" s="328" t="s">
        <v>1147</v>
      </c>
      <c r="I2293" s="324" t="s">
        <v>21</v>
      </c>
    </row>
    <row r="2294" spans="1:9" ht="11.1" customHeight="1" outlineLevel="1">
      <c r="A2294" s="325" t="s">
        <v>1302</v>
      </c>
      <c r="B2294" s="325" t="s">
        <v>4200</v>
      </c>
      <c r="C2294" s="325" t="s">
        <v>4201</v>
      </c>
      <c r="D2294" s="325" t="s">
        <v>20</v>
      </c>
      <c r="E2294" s="326">
        <v>2</v>
      </c>
      <c r="F2294" s="331">
        <v>72</v>
      </c>
      <c r="G2294" s="328"/>
      <c r="H2294" s="328" t="s">
        <v>1147</v>
      </c>
      <c r="I2294" s="324" t="s">
        <v>21</v>
      </c>
    </row>
    <row r="2295" spans="1:9" ht="11.1" customHeight="1" outlineLevel="1">
      <c r="A2295" s="325" t="s">
        <v>1302</v>
      </c>
      <c r="B2295" s="325" t="s">
        <v>4202</v>
      </c>
      <c r="C2295" s="325" t="s">
        <v>4203</v>
      </c>
      <c r="D2295" s="325" t="s">
        <v>20</v>
      </c>
      <c r="E2295" s="326">
        <v>5</v>
      </c>
      <c r="F2295" s="331">
        <v>523</v>
      </c>
      <c r="G2295" s="328"/>
      <c r="H2295" s="328" t="s">
        <v>1147</v>
      </c>
      <c r="I2295" s="324" t="s">
        <v>21</v>
      </c>
    </row>
    <row r="2296" spans="1:9" ht="11.1" customHeight="1" outlineLevel="1">
      <c r="A2296" s="325" t="s">
        <v>1302</v>
      </c>
      <c r="B2296" s="325" t="s">
        <v>4204</v>
      </c>
      <c r="C2296" s="325" t="s">
        <v>4205</v>
      </c>
      <c r="D2296" s="325" t="s">
        <v>20</v>
      </c>
      <c r="E2296" s="326">
        <v>3</v>
      </c>
      <c r="F2296" s="331">
        <v>153</v>
      </c>
      <c r="G2296" s="328"/>
      <c r="H2296" s="328" t="s">
        <v>1147</v>
      </c>
      <c r="I2296" s="324" t="s">
        <v>21</v>
      </c>
    </row>
    <row r="2297" spans="1:9" ht="11.1" customHeight="1" outlineLevel="1">
      <c r="A2297" s="325" t="s">
        <v>1067</v>
      </c>
      <c r="B2297" s="325" t="s">
        <v>4206</v>
      </c>
      <c r="C2297" s="325" t="s">
        <v>4207</v>
      </c>
      <c r="D2297" s="325" t="s">
        <v>20</v>
      </c>
      <c r="E2297" s="326">
        <v>6</v>
      </c>
      <c r="F2297" s="331">
        <v>648.87</v>
      </c>
      <c r="G2297" s="328"/>
      <c r="H2297" s="328" t="s">
        <v>1147</v>
      </c>
      <c r="I2297" s="324" t="s">
        <v>21</v>
      </c>
    </row>
    <row r="2298" spans="1:9" ht="11.1" customHeight="1" outlineLevel="1">
      <c r="A2298" s="325" t="s">
        <v>1302</v>
      </c>
      <c r="B2298" s="325" t="s">
        <v>4208</v>
      </c>
      <c r="C2298" s="325" t="s">
        <v>4209</v>
      </c>
      <c r="D2298" s="325" t="s">
        <v>20</v>
      </c>
      <c r="E2298" s="326">
        <v>2</v>
      </c>
      <c r="F2298" s="331">
        <v>313.33999999999997</v>
      </c>
      <c r="G2298" s="328"/>
      <c r="H2298" s="328" t="s">
        <v>1147</v>
      </c>
      <c r="I2298" s="324" t="s">
        <v>21</v>
      </c>
    </row>
    <row r="2299" spans="1:9" ht="11.1" customHeight="1" outlineLevel="1">
      <c r="A2299" s="325" t="s">
        <v>1067</v>
      </c>
      <c r="B2299" s="325" t="s">
        <v>4210</v>
      </c>
      <c r="C2299" s="325" t="s">
        <v>4211</v>
      </c>
      <c r="D2299" s="325" t="s">
        <v>20</v>
      </c>
      <c r="E2299" s="326">
        <v>1</v>
      </c>
      <c r="F2299" s="331">
        <v>185.8</v>
      </c>
      <c r="G2299" s="328"/>
      <c r="H2299" s="328" t="s">
        <v>1147</v>
      </c>
      <c r="I2299" s="324" t="s">
        <v>21</v>
      </c>
    </row>
    <row r="2300" spans="1:9" ht="11.1" customHeight="1" outlineLevel="1">
      <c r="A2300" s="325" t="s">
        <v>1302</v>
      </c>
      <c r="B2300" s="325" t="s">
        <v>4212</v>
      </c>
      <c r="C2300" s="325" t="s">
        <v>4213</v>
      </c>
      <c r="D2300" s="325" t="s">
        <v>20</v>
      </c>
      <c r="E2300" s="326">
        <v>2</v>
      </c>
      <c r="F2300" s="331">
        <v>154.16999999999999</v>
      </c>
      <c r="G2300" s="328"/>
      <c r="H2300" s="328" t="s">
        <v>1147</v>
      </c>
      <c r="I2300" s="324" t="s">
        <v>21</v>
      </c>
    </row>
    <row r="2301" spans="1:9" ht="11.1" customHeight="1" outlineLevel="1">
      <c r="A2301" s="325" t="s">
        <v>1302</v>
      </c>
      <c r="B2301" s="325" t="s">
        <v>4214</v>
      </c>
      <c r="C2301" s="325" t="s">
        <v>4215</v>
      </c>
      <c r="D2301" s="325" t="s">
        <v>20</v>
      </c>
      <c r="E2301" s="326">
        <v>1</v>
      </c>
      <c r="F2301" s="331">
        <v>733.33</v>
      </c>
      <c r="G2301" s="328"/>
      <c r="H2301" s="328" t="s">
        <v>1147</v>
      </c>
      <c r="I2301" s="324" t="s">
        <v>21</v>
      </c>
    </row>
    <row r="2302" spans="1:9" ht="11.1" customHeight="1" outlineLevel="1">
      <c r="A2302" s="325" t="s">
        <v>1302</v>
      </c>
      <c r="B2302" s="325" t="s">
        <v>4216</v>
      </c>
      <c r="C2302" s="325" t="s">
        <v>4217</v>
      </c>
      <c r="D2302" s="325" t="s">
        <v>20</v>
      </c>
      <c r="E2302" s="326">
        <v>2</v>
      </c>
      <c r="F2302" s="331">
        <v>511.66</v>
      </c>
      <c r="G2302" s="328"/>
      <c r="H2302" s="328" t="s">
        <v>1147</v>
      </c>
      <c r="I2302" s="324" t="s">
        <v>21</v>
      </c>
    </row>
    <row r="2303" spans="1:9" ht="11.1" customHeight="1" outlineLevel="1">
      <c r="A2303" s="325" t="s">
        <v>1302</v>
      </c>
      <c r="B2303" s="325" t="s">
        <v>4218</v>
      </c>
      <c r="C2303" s="325" t="s">
        <v>4219</v>
      </c>
      <c r="D2303" s="325" t="s">
        <v>20</v>
      </c>
      <c r="E2303" s="326">
        <v>16</v>
      </c>
      <c r="F2303" s="331">
        <v>318.72000000000003</v>
      </c>
      <c r="G2303" s="328"/>
      <c r="H2303" s="328" t="s">
        <v>1147</v>
      </c>
      <c r="I2303" s="324" t="s">
        <v>21</v>
      </c>
    </row>
    <row r="2304" spans="1:9" ht="11.1" customHeight="1" outlineLevel="1">
      <c r="A2304" s="325" t="s">
        <v>1302</v>
      </c>
      <c r="B2304" s="325" t="s">
        <v>4220</v>
      </c>
      <c r="C2304" s="325" t="s">
        <v>4221</v>
      </c>
      <c r="D2304" s="325" t="s">
        <v>20</v>
      </c>
      <c r="E2304" s="326">
        <v>1</v>
      </c>
      <c r="F2304" s="331">
        <v>466.67</v>
      </c>
      <c r="G2304" s="328"/>
      <c r="H2304" s="328" t="s">
        <v>1147</v>
      </c>
      <c r="I2304" s="324" t="s">
        <v>21</v>
      </c>
    </row>
    <row r="2305" spans="1:9" ht="11.1" customHeight="1" outlineLevel="1">
      <c r="A2305" s="325" t="s">
        <v>1302</v>
      </c>
      <c r="B2305" s="325" t="s">
        <v>4222</v>
      </c>
      <c r="C2305" s="325" t="s">
        <v>4223</v>
      </c>
      <c r="D2305" s="325" t="s">
        <v>20</v>
      </c>
      <c r="E2305" s="326">
        <v>9</v>
      </c>
      <c r="F2305" s="331">
        <v>67.5</v>
      </c>
      <c r="G2305" s="328"/>
      <c r="H2305" s="328" t="s">
        <v>1147</v>
      </c>
      <c r="I2305" s="324" t="s">
        <v>21</v>
      </c>
    </row>
    <row r="2306" spans="1:9" ht="11.1" customHeight="1" outlineLevel="1">
      <c r="A2306" s="325" t="s">
        <v>1302</v>
      </c>
      <c r="B2306" s="325" t="s">
        <v>2325</v>
      </c>
      <c r="C2306" s="325" t="s">
        <v>2326</v>
      </c>
      <c r="D2306" s="325" t="s">
        <v>20</v>
      </c>
      <c r="E2306" s="335">
        <v>1510</v>
      </c>
      <c r="F2306" s="331">
        <v>444.34</v>
      </c>
      <c r="G2306" s="328"/>
      <c r="H2306" s="328" t="s">
        <v>1147</v>
      </c>
      <c r="I2306" s="324" t="s">
        <v>21</v>
      </c>
    </row>
    <row r="2307" spans="1:9" ht="11.1" customHeight="1" outlineLevel="1">
      <c r="A2307" s="325" t="s">
        <v>1067</v>
      </c>
      <c r="B2307" s="325" t="s">
        <v>2325</v>
      </c>
      <c r="C2307" s="325" t="s">
        <v>2326</v>
      </c>
      <c r="D2307" s="325" t="s">
        <v>20</v>
      </c>
      <c r="E2307" s="335">
        <v>21479</v>
      </c>
      <c r="F2307" s="327">
        <v>2324.5500000000002</v>
      </c>
      <c r="G2307" s="328"/>
      <c r="H2307" s="328" t="s">
        <v>1147</v>
      </c>
      <c r="I2307" s="324" t="s">
        <v>21</v>
      </c>
    </row>
    <row r="2308" spans="1:9" ht="11.1" customHeight="1" outlineLevel="1">
      <c r="A2308" s="325" t="s">
        <v>1067</v>
      </c>
      <c r="B2308" s="325" t="s">
        <v>4224</v>
      </c>
      <c r="C2308" s="325" t="s">
        <v>4225</v>
      </c>
      <c r="D2308" s="325" t="s">
        <v>20</v>
      </c>
      <c r="E2308" s="335">
        <v>4954</v>
      </c>
      <c r="F2308" s="331">
        <v>15.07</v>
      </c>
      <c r="G2308" s="328"/>
      <c r="H2308" s="328" t="s">
        <v>1147</v>
      </c>
      <c r="I2308" s="324" t="s">
        <v>21</v>
      </c>
    </row>
    <row r="2309" spans="1:9" ht="11.1" customHeight="1" outlineLevel="1">
      <c r="A2309" s="325" t="s">
        <v>1302</v>
      </c>
      <c r="B2309" s="325" t="s">
        <v>4224</v>
      </c>
      <c r="C2309" s="325" t="s">
        <v>4225</v>
      </c>
      <c r="D2309" s="325" t="s">
        <v>20</v>
      </c>
      <c r="E2309" s="335">
        <v>16246</v>
      </c>
      <c r="F2309" s="327">
        <v>1883.99</v>
      </c>
      <c r="G2309" s="328"/>
      <c r="H2309" s="328" t="s">
        <v>1147</v>
      </c>
      <c r="I2309" s="324" t="s">
        <v>21</v>
      </c>
    </row>
    <row r="2310" spans="1:9" ht="11.1" customHeight="1" outlineLevel="1">
      <c r="A2310" s="325" t="s">
        <v>1302</v>
      </c>
      <c r="B2310" s="325" t="s">
        <v>4226</v>
      </c>
      <c r="C2310" s="325" t="s">
        <v>4227</v>
      </c>
      <c r="D2310" s="325" t="s">
        <v>20</v>
      </c>
      <c r="E2310" s="326">
        <v>2</v>
      </c>
      <c r="F2310" s="331">
        <v>738.34</v>
      </c>
      <c r="G2310" s="328"/>
      <c r="H2310" s="328" t="s">
        <v>1147</v>
      </c>
      <c r="I2310" s="324" t="s">
        <v>21</v>
      </c>
    </row>
    <row r="2311" spans="1:9" ht="11.1" customHeight="1" outlineLevel="1">
      <c r="A2311" s="325" t="s">
        <v>1302</v>
      </c>
      <c r="B2311" s="325" t="s">
        <v>4228</v>
      </c>
      <c r="C2311" s="325" t="s">
        <v>4229</v>
      </c>
      <c r="D2311" s="325" t="s">
        <v>20</v>
      </c>
      <c r="E2311" s="326">
        <v>4</v>
      </c>
      <c r="F2311" s="331">
        <v>862.08</v>
      </c>
      <c r="G2311" s="328"/>
      <c r="H2311" s="328" t="s">
        <v>1147</v>
      </c>
      <c r="I2311" s="324" t="s">
        <v>21</v>
      </c>
    </row>
    <row r="2312" spans="1:9" ht="11.1" customHeight="1" outlineLevel="1">
      <c r="A2312" s="325" t="s">
        <v>1302</v>
      </c>
      <c r="B2312" s="325" t="s">
        <v>4230</v>
      </c>
      <c r="C2312" s="325" t="s">
        <v>4231</v>
      </c>
      <c r="D2312" s="325" t="s">
        <v>1305</v>
      </c>
      <c r="E2312" s="326">
        <v>1</v>
      </c>
      <c r="F2312" s="331">
        <v>45</v>
      </c>
      <c r="G2312" s="328"/>
      <c r="H2312" s="328" t="s">
        <v>1147</v>
      </c>
      <c r="I2312" s="324" t="s">
        <v>21</v>
      </c>
    </row>
    <row r="2313" spans="1:9" ht="11.1" customHeight="1" outlineLevel="1">
      <c r="A2313" s="325" t="s">
        <v>1067</v>
      </c>
      <c r="B2313" s="325" t="s">
        <v>4232</v>
      </c>
      <c r="C2313" s="325" t="s">
        <v>4233</v>
      </c>
      <c r="D2313" s="325" t="s">
        <v>295</v>
      </c>
      <c r="E2313" s="326">
        <v>2</v>
      </c>
      <c r="F2313" s="331">
        <v>70</v>
      </c>
      <c r="G2313" s="328"/>
      <c r="H2313" s="328" t="s">
        <v>1147</v>
      </c>
      <c r="I2313" s="324" t="s">
        <v>21</v>
      </c>
    </row>
    <row r="2314" spans="1:9" ht="11.1" customHeight="1" outlineLevel="1">
      <c r="A2314" s="325" t="s">
        <v>1067</v>
      </c>
      <c r="B2314" s="325" t="s">
        <v>4234</v>
      </c>
      <c r="C2314" s="325" t="s">
        <v>4235</v>
      </c>
      <c r="D2314" s="325" t="s">
        <v>20</v>
      </c>
      <c r="E2314" s="326">
        <v>20</v>
      </c>
      <c r="F2314" s="327">
        <v>1118.04</v>
      </c>
      <c r="G2314" s="328"/>
      <c r="H2314" s="328" t="s">
        <v>1147</v>
      </c>
      <c r="I2314" s="324" t="s">
        <v>21</v>
      </c>
    </row>
    <row r="2315" spans="1:9" ht="11.1" customHeight="1" outlineLevel="1">
      <c r="A2315" s="325" t="s">
        <v>1302</v>
      </c>
      <c r="B2315" s="325" t="s">
        <v>4234</v>
      </c>
      <c r="C2315" s="325" t="s">
        <v>4235</v>
      </c>
      <c r="D2315" s="325" t="s">
        <v>20</v>
      </c>
      <c r="E2315" s="326">
        <v>6</v>
      </c>
      <c r="F2315" s="331">
        <v>606.33000000000004</v>
      </c>
      <c r="G2315" s="328"/>
      <c r="H2315" s="328" t="s">
        <v>1147</v>
      </c>
      <c r="I2315" s="324" t="s">
        <v>21</v>
      </c>
    </row>
    <row r="2316" spans="1:9" ht="11.1" customHeight="1" outlineLevel="1">
      <c r="A2316" s="325" t="s">
        <v>1302</v>
      </c>
      <c r="B2316" s="325" t="s">
        <v>4236</v>
      </c>
      <c r="C2316" s="325" t="s">
        <v>4237</v>
      </c>
      <c r="D2316" s="325" t="s">
        <v>20</v>
      </c>
      <c r="E2316" s="326">
        <v>6</v>
      </c>
      <c r="F2316" s="331">
        <v>325.02</v>
      </c>
      <c r="G2316" s="328"/>
      <c r="H2316" s="328" t="s">
        <v>1147</v>
      </c>
      <c r="I2316" s="324" t="s">
        <v>21</v>
      </c>
    </row>
    <row r="2317" spans="1:9" ht="11.1" customHeight="1" outlineLevel="1">
      <c r="A2317" s="325" t="s">
        <v>1302</v>
      </c>
      <c r="B2317" s="325" t="s">
        <v>4238</v>
      </c>
      <c r="C2317" s="325" t="s">
        <v>4239</v>
      </c>
      <c r="D2317" s="325" t="s">
        <v>20</v>
      </c>
      <c r="E2317" s="326">
        <v>1</v>
      </c>
      <c r="F2317" s="331">
        <v>210</v>
      </c>
      <c r="G2317" s="328"/>
      <c r="H2317" s="328" t="s">
        <v>1147</v>
      </c>
      <c r="I2317" s="324" t="s">
        <v>21</v>
      </c>
    </row>
    <row r="2318" spans="1:9" ht="11.1" customHeight="1" outlineLevel="1">
      <c r="A2318" s="325" t="s">
        <v>1302</v>
      </c>
      <c r="B2318" s="325" t="s">
        <v>4240</v>
      </c>
      <c r="C2318" s="325" t="s">
        <v>4241</v>
      </c>
      <c r="D2318" s="325" t="s">
        <v>20</v>
      </c>
      <c r="E2318" s="326">
        <v>2</v>
      </c>
      <c r="F2318" s="327">
        <v>1044</v>
      </c>
      <c r="G2318" s="328"/>
      <c r="H2318" s="328" t="s">
        <v>1147</v>
      </c>
      <c r="I2318" s="324" t="s">
        <v>21</v>
      </c>
    </row>
    <row r="2319" spans="1:9" ht="11.1" customHeight="1" outlineLevel="1">
      <c r="A2319" s="325" t="s">
        <v>1067</v>
      </c>
      <c r="B2319" s="325" t="s">
        <v>4242</v>
      </c>
      <c r="C2319" s="325" t="s">
        <v>4243</v>
      </c>
      <c r="D2319" s="325" t="s">
        <v>20</v>
      </c>
      <c r="E2319" s="326">
        <v>4</v>
      </c>
      <c r="F2319" s="331">
        <v>374.4</v>
      </c>
      <c r="G2319" s="328"/>
      <c r="H2319" s="328" t="s">
        <v>1147</v>
      </c>
      <c r="I2319" s="324" t="s">
        <v>21</v>
      </c>
    </row>
    <row r="2320" spans="1:9" ht="11.1" customHeight="1" outlineLevel="1">
      <c r="A2320" s="325" t="s">
        <v>1302</v>
      </c>
      <c r="B2320" s="325" t="s">
        <v>4242</v>
      </c>
      <c r="C2320" s="325" t="s">
        <v>4243</v>
      </c>
      <c r="D2320" s="325" t="s">
        <v>20</v>
      </c>
      <c r="E2320" s="326">
        <v>11</v>
      </c>
      <c r="F2320" s="327">
        <v>1029.5999999999999</v>
      </c>
      <c r="G2320" s="328"/>
      <c r="H2320" s="328" t="s">
        <v>1147</v>
      </c>
      <c r="I2320" s="324" t="s">
        <v>21</v>
      </c>
    </row>
    <row r="2321" spans="1:9" ht="11.1" customHeight="1" outlineLevel="1">
      <c r="A2321" s="325" t="s">
        <v>1302</v>
      </c>
      <c r="B2321" s="325" t="s">
        <v>4244</v>
      </c>
      <c r="C2321" s="325" t="s">
        <v>4245</v>
      </c>
      <c r="D2321" s="325" t="s">
        <v>20</v>
      </c>
      <c r="E2321" s="326">
        <v>2</v>
      </c>
      <c r="F2321" s="331">
        <v>91.66</v>
      </c>
      <c r="G2321" s="328"/>
      <c r="H2321" s="328" t="s">
        <v>1147</v>
      </c>
      <c r="I2321" s="324" t="s">
        <v>21</v>
      </c>
    </row>
    <row r="2322" spans="1:9" ht="11.1" customHeight="1" outlineLevel="1">
      <c r="A2322" s="325" t="s">
        <v>1302</v>
      </c>
      <c r="B2322" s="325" t="s">
        <v>4246</v>
      </c>
      <c r="C2322" s="325" t="s">
        <v>4247</v>
      </c>
      <c r="D2322" s="325" t="s">
        <v>20</v>
      </c>
      <c r="E2322" s="326">
        <v>2</v>
      </c>
      <c r="F2322" s="331">
        <v>618.4</v>
      </c>
      <c r="G2322" s="328"/>
      <c r="H2322" s="328" t="s">
        <v>1147</v>
      </c>
      <c r="I2322" s="324" t="s">
        <v>21</v>
      </c>
    </row>
    <row r="2323" spans="1:9" ht="11.1" customHeight="1" outlineLevel="1">
      <c r="A2323" s="325" t="s">
        <v>1302</v>
      </c>
      <c r="B2323" s="325" t="s">
        <v>4248</v>
      </c>
      <c r="C2323" s="325" t="s">
        <v>4249</v>
      </c>
      <c r="D2323" s="325" t="s">
        <v>20</v>
      </c>
      <c r="E2323" s="326">
        <v>1</v>
      </c>
      <c r="F2323" s="331">
        <v>161</v>
      </c>
      <c r="G2323" s="328"/>
      <c r="H2323" s="328" t="s">
        <v>1147</v>
      </c>
      <c r="I2323" s="324" t="s">
        <v>21</v>
      </c>
    </row>
    <row r="2324" spans="1:9" ht="11.1" customHeight="1" outlineLevel="1">
      <c r="A2324" s="325" t="s">
        <v>1302</v>
      </c>
      <c r="B2324" s="325" t="s">
        <v>2327</v>
      </c>
      <c r="C2324" s="325" t="s">
        <v>2328</v>
      </c>
      <c r="D2324" s="325" t="s">
        <v>20</v>
      </c>
      <c r="E2324" s="326">
        <v>4</v>
      </c>
      <c r="F2324" s="331">
        <v>643.6</v>
      </c>
      <c r="G2324" s="328"/>
      <c r="H2324" s="328" t="s">
        <v>1147</v>
      </c>
      <c r="I2324" s="324" t="s">
        <v>21</v>
      </c>
    </row>
    <row r="2325" spans="1:9" ht="11.1" customHeight="1" outlineLevel="1">
      <c r="A2325" s="325" t="s">
        <v>1302</v>
      </c>
      <c r="B2325" s="325" t="s">
        <v>2329</v>
      </c>
      <c r="C2325" s="325" t="s">
        <v>2330</v>
      </c>
      <c r="D2325" s="325" t="s">
        <v>20</v>
      </c>
      <c r="E2325" s="326">
        <v>5</v>
      </c>
      <c r="F2325" s="327">
        <v>1006.91</v>
      </c>
      <c r="G2325" s="328"/>
      <c r="H2325" s="328" t="s">
        <v>1147</v>
      </c>
      <c r="I2325" s="324" t="s">
        <v>21</v>
      </c>
    </row>
    <row r="2326" spans="1:9" ht="11.1" customHeight="1" outlineLevel="1">
      <c r="A2326" s="325" t="s">
        <v>1067</v>
      </c>
      <c r="B2326" s="325" t="s">
        <v>4250</v>
      </c>
      <c r="C2326" s="325" t="s">
        <v>4251</v>
      </c>
      <c r="D2326" s="325" t="s">
        <v>20</v>
      </c>
      <c r="E2326" s="326">
        <v>1</v>
      </c>
      <c r="F2326" s="331">
        <v>110</v>
      </c>
      <c r="G2326" s="328"/>
      <c r="H2326" s="328" t="s">
        <v>1147</v>
      </c>
      <c r="I2326" s="324" t="s">
        <v>21</v>
      </c>
    </row>
    <row r="2327" spans="1:9" ht="11.1" customHeight="1" outlineLevel="1">
      <c r="A2327" s="325" t="s">
        <v>1067</v>
      </c>
      <c r="B2327" s="325" t="s">
        <v>4252</v>
      </c>
      <c r="C2327" s="325" t="s">
        <v>4253</v>
      </c>
      <c r="D2327" s="325" t="s">
        <v>20</v>
      </c>
      <c r="E2327" s="326">
        <v>1</v>
      </c>
      <c r="F2327" s="331">
        <v>101</v>
      </c>
      <c r="G2327" s="328"/>
      <c r="H2327" s="328" t="s">
        <v>1147</v>
      </c>
      <c r="I2327" s="324" t="s">
        <v>21</v>
      </c>
    </row>
    <row r="2328" spans="1:9" ht="11.1" customHeight="1" outlineLevel="1">
      <c r="A2328" s="325" t="s">
        <v>1067</v>
      </c>
      <c r="B2328" s="325" t="s">
        <v>4254</v>
      </c>
      <c r="C2328" s="325" t="s">
        <v>4255</v>
      </c>
      <c r="D2328" s="325" t="s">
        <v>20</v>
      </c>
      <c r="E2328" s="326">
        <v>1</v>
      </c>
      <c r="F2328" s="331">
        <v>101</v>
      </c>
      <c r="G2328" s="328"/>
      <c r="H2328" s="328" t="s">
        <v>1147</v>
      </c>
      <c r="I2328" s="324" t="s">
        <v>21</v>
      </c>
    </row>
    <row r="2329" spans="1:9" ht="11.1" customHeight="1" outlineLevel="1">
      <c r="A2329" s="325" t="s">
        <v>1302</v>
      </c>
      <c r="B2329" s="325" t="s">
        <v>4256</v>
      </c>
      <c r="C2329" s="325" t="s">
        <v>4257</v>
      </c>
      <c r="D2329" s="325" t="s">
        <v>20</v>
      </c>
      <c r="E2329" s="326">
        <v>17</v>
      </c>
      <c r="F2329" s="327">
        <v>12078.94</v>
      </c>
      <c r="G2329" s="328"/>
      <c r="H2329" s="328" t="s">
        <v>1147</v>
      </c>
      <c r="I2329" s="324" t="s">
        <v>21</v>
      </c>
    </row>
    <row r="2330" spans="1:9" ht="11.1" customHeight="1" outlineLevel="1">
      <c r="A2330" s="325" t="s">
        <v>1067</v>
      </c>
      <c r="B2330" s="325" t="s">
        <v>2339</v>
      </c>
      <c r="C2330" s="325" t="s">
        <v>2340</v>
      </c>
      <c r="D2330" s="325" t="s">
        <v>20</v>
      </c>
      <c r="E2330" s="326">
        <v>1</v>
      </c>
      <c r="F2330" s="331">
        <v>548.29999999999995</v>
      </c>
      <c r="G2330" s="328"/>
      <c r="H2330" s="328" t="s">
        <v>1147</v>
      </c>
      <c r="I2330" s="324" t="s">
        <v>21</v>
      </c>
    </row>
    <row r="2331" spans="1:9" ht="11.1" customHeight="1" outlineLevel="1">
      <c r="A2331" s="325" t="s">
        <v>1302</v>
      </c>
      <c r="B2331" s="325" t="s">
        <v>4258</v>
      </c>
      <c r="C2331" s="325" t="s">
        <v>4259</v>
      </c>
      <c r="D2331" s="325" t="s">
        <v>20</v>
      </c>
      <c r="E2331" s="326">
        <v>2</v>
      </c>
      <c r="F2331" s="327">
        <v>2710.13</v>
      </c>
      <c r="G2331" s="328"/>
      <c r="H2331" s="328" t="s">
        <v>1147</v>
      </c>
      <c r="I2331" s="324" t="s">
        <v>21</v>
      </c>
    </row>
    <row r="2332" spans="1:9" ht="11.1" customHeight="1" outlineLevel="1">
      <c r="A2332" s="325" t="s">
        <v>1302</v>
      </c>
      <c r="B2332" s="325" t="s">
        <v>2341</v>
      </c>
      <c r="C2332" s="325" t="s">
        <v>2342</v>
      </c>
      <c r="D2332" s="325" t="s">
        <v>20</v>
      </c>
      <c r="E2332" s="326">
        <v>1</v>
      </c>
      <c r="F2332" s="331">
        <v>999.2</v>
      </c>
      <c r="G2332" s="328"/>
      <c r="H2332" s="328" t="s">
        <v>1147</v>
      </c>
      <c r="I2332" s="324" t="s">
        <v>21</v>
      </c>
    </row>
    <row r="2333" spans="1:9" ht="11.1" customHeight="1" outlineLevel="1">
      <c r="A2333" s="325" t="s">
        <v>1067</v>
      </c>
      <c r="B2333" s="325" t="s">
        <v>4260</v>
      </c>
      <c r="C2333" s="325" t="s">
        <v>4261</v>
      </c>
      <c r="D2333" s="325" t="s">
        <v>20</v>
      </c>
      <c r="E2333" s="326">
        <v>12</v>
      </c>
      <c r="F2333" s="327">
        <v>2868</v>
      </c>
      <c r="G2333" s="328"/>
      <c r="H2333" s="328" t="s">
        <v>1147</v>
      </c>
      <c r="I2333" s="324" t="s">
        <v>21</v>
      </c>
    </row>
    <row r="2334" spans="1:9" ht="11.1" customHeight="1" outlineLevel="1">
      <c r="A2334" s="325" t="s">
        <v>1302</v>
      </c>
      <c r="B2334" s="325" t="s">
        <v>4260</v>
      </c>
      <c r="C2334" s="325" t="s">
        <v>4261</v>
      </c>
      <c r="D2334" s="325" t="s">
        <v>20</v>
      </c>
      <c r="E2334" s="326">
        <v>27</v>
      </c>
      <c r="F2334" s="327">
        <v>6415.69</v>
      </c>
      <c r="G2334" s="328"/>
      <c r="H2334" s="328" t="s">
        <v>1147</v>
      </c>
      <c r="I2334" s="324" t="s">
        <v>21</v>
      </c>
    </row>
    <row r="2335" spans="1:9" ht="11.1" customHeight="1" outlineLevel="1">
      <c r="A2335" s="325" t="s">
        <v>1302</v>
      </c>
      <c r="B2335" s="325" t="s">
        <v>4262</v>
      </c>
      <c r="C2335" s="325" t="s">
        <v>4263</v>
      </c>
      <c r="D2335" s="325" t="s">
        <v>20</v>
      </c>
      <c r="E2335" s="326">
        <v>3</v>
      </c>
      <c r="F2335" s="331">
        <v>671.41</v>
      </c>
      <c r="G2335" s="328"/>
      <c r="H2335" s="328" t="s">
        <v>1147</v>
      </c>
      <c r="I2335" s="324" t="s">
        <v>21</v>
      </c>
    </row>
    <row r="2336" spans="1:9" ht="11.1" customHeight="1" outlineLevel="1">
      <c r="A2336" s="325" t="s">
        <v>1302</v>
      </c>
      <c r="B2336" s="325" t="s">
        <v>4264</v>
      </c>
      <c r="C2336" s="325" t="s">
        <v>4265</v>
      </c>
      <c r="D2336" s="325" t="s">
        <v>20</v>
      </c>
      <c r="E2336" s="326">
        <v>1</v>
      </c>
      <c r="F2336" s="331">
        <v>315</v>
      </c>
      <c r="G2336" s="328"/>
      <c r="H2336" s="328" t="s">
        <v>1147</v>
      </c>
      <c r="I2336" s="324" t="s">
        <v>21</v>
      </c>
    </row>
    <row r="2337" spans="1:9" ht="11.1" customHeight="1" outlineLevel="1">
      <c r="A2337" s="325" t="s">
        <v>1067</v>
      </c>
      <c r="B2337" s="325" t="s">
        <v>4266</v>
      </c>
      <c r="C2337" s="325" t="s">
        <v>4267</v>
      </c>
      <c r="D2337" s="325" t="s">
        <v>20</v>
      </c>
      <c r="E2337" s="326">
        <v>2</v>
      </c>
      <c r="F2337" s="331">
        <v>398</v>
      </c>
      <c r="G2337" s="328"/>
      <c r="H2337" s="328" t="s">
        <v>1147</v>
      </c>
      <c r="I2337" s="324" t="s">
        <v>21</v>
      </c>
    </row>
    <row r="2338" spans="1:9" ht="11.1" customHeight="1" outlineLevel="1">
      <c r="A2338" s="325" t="s">
        <v>1302</v>
      </c>
      <c r="B2338" s="325" t="s">
        <v>4266</v>
      </c>
      <c r="C2338" s="325" t="s">
        <v>4267</v>
      </c>
      <c r="D2338" s="325" t="s">
        <v>20</v>
      </c>
      <c r="E2338" s="326">
        <v>10</v>
      </c>
      <c r="F2338" s="327">
        <v>2048.0500000000002</v>
      </c>
      <c r="G2338" s="328"/>
      <c r="H2338" s="328" t="s">
        <v>1147</v>
      </c>
      <c r="I2338" s="324" t="s">
        <v>21</v>
      </c>
    </row>
    <row r="2339" spans="1:9" ht="11.1" customHeight="1" outlineLevel="1">
      <c r="A2339" s="325" t="s">
        <v>1302</v>
      </c>
      <c r="B2339" s="325" t="s">
        <v>2866</v>
      </c>
      <c r="C2339" s="325" t="s">
        <v>2867</v>
      </c>
      <c r="D2339" s="325" t="s">
        <v>20</v>
      </c>
      <c r="E2339" s="326">
        <v>35</v>
      </c>
      <c r="F2339" s="327">
        <v>13622.02</v>
      </c>
      <c r="G2339" s="328"/>
      <c r="H2339" s="328" t="s">
        <v>1147</v>
      </c>
      <c r="I2339" s="324" t="s">
        <v>21</v>
      </c>
    </row>
    <row r="2340" spans="1:9" ht="11.1" customHeight="1" outlineLevel="1">
      <c r="A2340" s="325" t="s">
        <v>1067</v>
      </c>
      <c r="B2340" s="325" t="s">
        <v>2866</v>
      </c>
      <c r="C2340" s="325" t="s">
        <v>2867</v>
      </c>
      <c r="D2340" s="325" t="s">
        <v>20</v>
      </c>
      <c r="E2340" s="326">
        <v>9</v>
      </c>
      <c r="F2340" s="327">
        <v>3793.96</v>
      </c>
      <c r="G2340" s="328"/>
      <c r="H2340" s="328" t="s">
        <v>1147</v>
      </c>
      <c r="I2340" s="324" t="s">
        <v>21</v>
      </c>
    </row>
    <row r="2341" spans="1:9" ht="11.1" customHeight="1" outlineLevel="1">
      <c r="A2341" s="325" t="s">
        <v>1302</v>
      </c>
      <c r="B2341" s="325" t="s">
        <v>3469</v>
      </c>
      <c r="C2341" s="325" t="s">
        <v>3470</v>
      </c>
      <c r="D2341" s="325" t="s">
        <v>20</v>
      </c>
      <c r="E2341" s="326">
        <v>1</v>
      </c>
      <c r="F2341" s="331">
        <v>420</v>
      </c>
      <c r="G2341" s="328"/>
      <c r="H2341" s="328" t="s">
        <v>1147</v>
      </c>
      <c r="I2341" s="324" t="s">
        <v>21</v>
      </c>
    </row>
    <row r="2342" spans="1:9" ht="11.1" customHeight="1" outlineLevel="1">
      <c r="A2342" s="325" t="s">
        <v>1067</v>
      </c>
      <c r="B2342" s="325" t="s">
        <v>3469</v>
      </c>
      <c r="C2342" s="325" t="s">
        <v>3470</v>
      </c>
      <c r="D2342" s="325" t="s">
        <v>20</v>
      </c>
      <c r="E2342" s="326">
        <v>2</v>
      </c>
      <c r="F2342" s="331">
        <v>840</v>
      </c>
      <c r="G2342" s="328"/>
      <c r="H2342" s="328" t="s">
        <v>1147</v>
      </c>
      <c r="I2342" s="324" t="s">
        <v>21</v>
      </c>
    </row>
    <row r="2343" spans="1:9" ht="11.1" customHeight="1" outlineLevel="1">
      <c r="A2343" s="325" t="s">
        <v>1302</v>
      </c>
      <c r="B2343" s="325" t="s">
        <v>1851</v>
      </c>
      <c r="C2343" s="325" t="s">
        <v>1852</v>
      </c>
      <c r="D2343" s="325" t="s">
        <v>1519</v>
      </c>
      <c r="E2343" s="326">
        <v>12</v>
      </c>
      <c r="F2343" s="327">
        <v>1572</v>
      </c>
      <c r="G2343" s="328"/>
      <c r="H2343" s="328" t="s">
        <v>1147</v>
      </c>
      <c r="I2343" s="324" t="s">
        <v>21</v>
      </c>
    </row>
    <row r="2344" spans="1:9" ht="11.1" customHeight="1" outlineLevel="1">
      <c r="A2344" s="325" t="s">
        <v>1302</v>
      </c>
      <c r="B2344" s="325" t="s">
        <v>4268</v>
      </c>
      <c r="C2344" s="325" t="s">
        <v>4269</v>
      </c>
      <c r="D2344" s="325" t="s">
        <v>20</v>
      </c>
      <c r="E2344" s="326">
        <v>1</v>
      </c>
      <c r="F2344" s="331">
        <v>130</v>
      </c>
      <c r="G2344" s="328"/>
      <c r="H2344" s="328" t="s">
        <v>1147</v>
      </c>
      <c r="I2344" s="324" t="s">
        <v>21</v>
      </c>
    </row>
    <row r="2345" spans="1:9" ht="11.1" customHeight="1" outlineLevel="1">
      <c r="A2345" s="325" t="s">
        <v>1302</v>
      </c>
      <c r="B2345" s="325" t="s">
        <v>4270</v>
      </c>
      <c r="C2345" s="325" t="s">
        <v>4271</v>
      </c>
      <c r="D2345" s="325" t="s">
        <v>20</v>
      </c>
      <c r="E2345" s="326">
        <v>30</v>
      </c>
      <c r="F2345" s="327">
        <v>2118.62</v>
      </c>
      <c r="G2345" s="328"/>
      <c r="H2345" s="328" t="s">
        <v>1147</v>
      </c>
      <c r="I2345" s="324" t="s">
        <v>21</v>
      </c>
    </row>
    <row r="2346" spans="1:9" ht="11.1" customHeight="1" outlineLevel="1">
      <c r="A2346" s="325" t="s">
        <v>1067</v>
      </c>
      <c r="B2346" s="325" t="s">
        <v>4270</v>
      </c>
      <c r="C2346" s="325" t="s">
        <v>4271</v>
      </c>
      <c r="D2346" s="325" t="s">
        <v>20</v>
      </c>
      <c r="E2346" s="326">
        <v>13</v>
      </c>
      <c r="F2346" s="331">
        <v>789</v>
      </c>
      <c r="G2346" s="328"/>
      <c r="H2346" s="328" t="s">
        <v>1147</v>
      </c>
      <c r="I2346" s="324" t="s">
        <v>21</v>
      </c>
    </row>
    <row r="2347" spans="1:9" ht="11.1" customHeight="1" outlineLevel="1">
      <c r="A2347" s="325" t="s">
        <v>1067</v>
      </c>
      <c r="B2347" s="325" t="s">
        <v>4272</v>
      </c>
      <c r="C2347" s="325" t="s">
        <v>4273</v>
      </c>
      <c r="D2347" s="325" t="s">
        <v>20</v>
      </c>
      <c r="E2347" s="326">
        <v>4</v>
      </c>
      <c r="F2347" s="331">
        <v>210.9</v>
      </c>
      <c r="G2347" s="328"/>
      <c r="H2347" s="328" t="s">
        <v>1147</v>
      </c>
      <c r="I2347" s="324" t="s">
        <v>21</v>
      </c>
    </row>
    <row r="2348" spans="1:9" ht="11.1" customHeight="1" outlineLevel="1">
      <c r="A2348" s="325" t="s">
        <v>1302</v>
      </c>
      <c r="B2348" s="325" t="s">
        <v>4272</v>
      </c>
      <c r="C2348" s="325" t="s">
        <v>4273</v>
      </c>
      <c r="D2348" s="325" t="s">
        <v>20</v>
      </c>
      <c r="E2348" s="326">
        <v>1</v>
      </c>
      <c r="F2348" s="331">
        <v>56.99</v>
      </c>
      <c r="G2348" s="328"/>
      <c r="H2348" s="328" t="s">
        <v>1147</v>
      </c>
      <c r="I2348" s="324" t="s">
        <v>21</v>
      </c>
    </row>
    <row r="2349" spans="1:9" ht="11.1" customHeight="1" outlineLevel="1">
      <c r="A2349" s="325" t="s">
        <v>1067</v>
      </c>
      <c r="B2349" s="325" t="s">
        <v>4274</v>
      </c>
      <c r="C2349" s="325" t="s">
        <v>4275</v>
      </c>
      <c r="D2349" s="325" t="s">
        <v>20</v>
      </c>
      <c r="E2349" s="326">
        <v>4</v>
      </c>
      <c r="F2349" s="331">
        <v>380</v>
      </c>
      <c r="G2349" s="328"/>
      <c r="H2349" s="328" t="s">
        <v>1147</v>
      </c>
      <c r="I2349" s="324" t="s">
        <v>21</v>
      </c>
    </row>
    <row r="2350" spans="1:9" ht="11.1" customHeight="1" outlineLevel="1">
      <c r="A2350" s="325" t="s">
        <v>1302</v>
      </c>
      <c r="B2350" s="325" t="s">
        <v>4276</v>
      </c>
      <c r="C2350" s="325" t="s">
        <v>4277</v>
      </c>
      <c r="D2350" s="325" t="s">
        <v>20</v>
      </c>
      <c r="E2350" s="326">
        <v>15</v>
      </c>
      <c r="F2350" s="331">
        <v>743.21</v>
      </c>
      <c r="G2350" s="328"/>
      <c r="H2350" s="328" t="s">
        <v>1147</v>
      </c>
      <c r="I2350" s="324" t="s">
        <v>21</v>
      </c>
    </row>
    <row r="2351" spans="1:9" ht="11.1" customHeight="1" outlineLevel="1">
      <c r="A2351" s="325" t="s">
        <v>1067</v>
      </c>
      <c r="B2351" s="325" t="s">
        <v>4276</v>
      </c>
      <c r="C2351" s="325" t="s">
        <v>4277</v>
      </c>
      <c r="D2351" s="325" t="s">
        <v>20</v>
      </c>
      <c r="E2351" s="326">
        <v>19</v>
      </c>
      <c r="F2351" s="327">
        <v>1098.4000000000001</v>
      </c>
      <c r="G2351" s="328"/>
      <c r="H2351" s="328" t="s">
        <v>1147</v>
      </c>
      <c r="I2351" s="324" t="s">
        <v>21</v>
      </c>
    </row>
    <row r="2352" spans="1:9" ht="11.1" customHeight="1" outlineLevel="1">
      <c r="A2352" s="325" t="s">
        <v>1302</v>
      </c>
      <c r="B2352" s="325" t="s">
        <v>4278</v>
      </c>
      <c r="C2352" s="325" t="s">
        <v>4279</v>
      </c>
      <c r="D2352" s="325" t="s">
        <v>20</v>
      </c>
      <c r="E2352" s="326">
        <v>22</v>
      </c>
      <c r="F2352" s="327">
        <v>1144</v>
      </c>
      <c r="G2352" s="328"/>
      <c r="H2352" s="328" t="s">
        <v>1147</v>
      </c>
      <c r="I2352" s="324" t="s">
        <v>21</v>
      </c>
    </row>
    <row r="2353" spans="1:9" ht="11.1" customHeight="1" outlineLevel="1">
      <c r="A2353" s="325" t="s">
        <v>1067</v>
      </c>
      <c r="B2353" s="325" t="s">
        <v>4278</v>
      </c>
      <c r="C2353" s="325" t="s">
        <v>4279</v>
      </c>
      <c r="D2353" s="325" t="s">
        <v>20</v>
      </c>
      <c r="E2353" s="326">
        <v>20</v>
      </c>
      <c r="F2353" s="327">
        <v>1040</v>
      </c>
      <c r="G2353" s="328"/>
      <c r="H2353" s="328" t="s">
        <v>1147</v>
      </c>
      <c r="I2353" s="324" t="s">
        <v>21</v>
      </c>
    </row>
    <row r="2354" spans="1:9" ht="11.1" customHeight="1" outlineLevel="1">
      <c r="A2354" s="325" t="s">
        <v>1067</v>
      </c>
      <c r="B2354" s="325" t="s">
        <v>4280</v>
      </c>
      <c r="C2354" s="325" t="s">
        <v>4281</v>
      </c>
      <c r="D2354" s="325" t="s">
        <v>20</v>
      </c>
      <c r="E2354" s="326">
        <v>2</v>
      </c>
      <c r="F2354" s="331">
        <v>273.39999999999998</v>
      </c>
      <c r="G2354" s="328"/>
      <c r="H2354" s="328" t="s">
        <v>1147</v>
      </c>
      <c r="I2354" s="324" t="s">
        <v>21</v>
      </c>
    </row>
    <row r="2355" spans="1:9" ht="11.1" customHeight="1" outlineLevel="1">
      <c r="A2355" s="325" t="s">
        <v>1302</v>
      </c>
      <c r="B2355" s="325" t="s">
        <v>4282</v>
      </c>
      <c r="C2355" s="325" t="s">
        <v>4283</v>
      </c>
      <c r="D2355" s="325" t="s">
        <v>20</v>
      </c>
      <c r="E2355" s="326">
        <v>7</v>
      </c>
      <c r="F2355" s="331">
        <v>606</v>
      </c>
      <c r="G2355" s="328"/>
      <c r="H2355" s="328" t="s">
        <v>1147</v>
      </c>
      <c r="I2355" s="324" t="s">
        <v>21</v>
      </c>
    </row>
    <row r="2356" spans="1:9" ht="11.1" customHeight="1" outlineLevel="1">
      <c r="A2356" s="325" t="s">
        <v>1067</v>
      </c>
      <c r="B2356" s="325" t="s">
        <v>4284</v>
      </c>
      <c r="C2356" s="325" t="s">
        <v>4285</v>
      </c>
      <c r="D2356" s="325" t="s">
        <v>20</v>
      </c>
      <c r="E2356" s="326">
        <v>1</v>
      </c>
      <c r="F2356" s="331">
        <v>143</v>
      </c>
      <c r="G2356" s="328"/>
      <c r="H2356" s="328" t="s">
        <v>1147</v>
      </c>
      <c r="I2356" s="324" t="s">
        <v>21</v>
      </c>
    </row>
    <row r="2357" spans="1:9" ht="11.1" customHeight="1" outlineLevel="1">
      <c r="A2357" s="325" t="s">
        <v>1302</v>
      </c>
      <c r="B2357" s="325" t="s">
        <v>4286</v>
      </c>
      <c r="C2357" s="325" t="s">
        <v>4287</v>
      </c>
      <c r="D2357" s="325" t="s">
        <v>20</v>
      </c>
      <c r="E2357" s="326">
        <v>3</v>
      </c>
      <c r="F2357" s="331">
        <v>330.06</v>
      </c>
      <c r="G2357" s="328"/>
      <c r="H2357" s="328" t="s">
        <v>1147</v>
      </c>
      <c r="I2357" s="324" t="s">
        <v>21</v>
      </c>
    </row>
    <row r="2358" spans="1:9" ht="11.1" customHeight="1" outlineLevel="1">
      <c r="A2358" s="325" t="s">
        <v>1302</v>
      </c>
      <c r="B2358" s="325" t="s">
        <v>4288</v>
      </c>
      <c r="C2358" s="325" t="s">
        <v>4289</v>
      </c>
      <c r="D2358" s="325" t="s">
        <v>20</v>
      </c>
      <c r="E2358" s="326">
        <v>1</v>
      </c>
      <c r="F2358" s="331">
        <v>119.29</v>
      </c>
      <c r="G2358" s="328"/>
      <c r="H2358" s="328" t="s">
        <v>1147</v>
      </c>
      <c r="I2358" s="324" t="s">
        <v>21</v>
      </c>
    </row>
    <row r="2359" spans="1:9" ht="11.1" customHeight="1" outlineLevel="1">
      <c r="A2359" s="325" t="s">
        <v>1302</v>
      </c>
      <c r="B2359" s="325" t="s">
        <v>4290</v>
      </c>
      <c r="C2359" s="325" t="s">
        <v>4291</v>
      </c>
      <c r="D2359" s="325" t="s">
        <v>20</v>
      </c>
      <c r="E2359" s="326">
        <v>1</v>
      </c>
      <c r="F2359" s="331">
        <v>500.03</v>
      </c>
      <c r="G2359" s="328"/>
      <c r="H2359" s="328" t="s">
        <v>1147</v>
      </c>
      <c r="I2359" s="324" t="s">
        <v>21</v>
      </c>
    </row>
    <row r="2360" spans="1:9" ht="11.1" customHeight="1" outlineLevel="1">
      <c r="A2360" s="325" t="s">
        <v>1302</v>
      </c>
      <c r="B2360" s="325" t="s">
        <v>4292</v>
      </c>
      <c r="C2360" s="325" t="s">
        <v>4293</v>
      </c>
      <c r="D2360" s="325" t="s">
        <v>20</v>
      </c>
      <c r="E2360" s="326">
        <v>3</v>
      </c>
      <c r="F2360" s="327">
        <v>4400.6099999999997</v>
      </c>
      <c r="G2360" s="328"/>
      <c r="H2360" s="328" t="s">
        <v>1147</v>
      </c>
      <c r="I2360" s="324" t="s">
        <v>21</v>
      </c>
    </row>
    <row r="2361" spans="1:9" ht="11.1" customHeight="1" outlineLevel="1">
      <c r="A2361" s="325" t="s">
        <v>1302</v>
      </c>
      <c r="B2361" s="325" t="s">
        <v>4294</v>
      </c>
      <c r="C2361" s="325" t="s">
        <v>4295</v>
      </c>
      <c r="D2361" s="325" t="s">
        <v>20</v>
      </c>
      <c r="E2361" s="326">
        <v>2</v>
      </c>
      <c r="F2361" s="331">
        <v>390</v>
      </c>
      <c r="G2361" s="328"/>
      <c r="H2361" s="328" t="s">
        <v>1147</v>
      </c>
      <c r="I2361" s="324" t="s">
        <v>21</v>
      </c>
    </row>
    <row r="2362" spans="1:9" ht="11.1" customHeight="1" outlineLevel="1">
      <c r="A2362" s="325" t="s">
        <v>1302</v>
      </c>
      <c r="B2362" s="325" t="s">
        <v>4296</v>
      </c>
      <c r="C2362" s="325" t="s">
        <v>4297</v>
      </c>
      <c r="D2362" s="325" t="s">
        <v>20</v>
      </c>
      <c r="E2362" s="326">
        <v>3</v>
      </c>
      <c r="F2362" s="331">
        <v>875.7</v>
      </c>
      <c r="G2362" s="328"/>
      <c r="H2362" s="328" t="s">
        <v>1147</v>
      </c>
      <c r="I2362" s="324" t="s">
        <v>21</v>
      </c>
    </row>
    <row r="2363" spans="1:9" ht="11.1" customHeight="1" outlineLevel="1">
      <c r="A2363" s="325" t="s">
        <v>1302</v>
      </c>
      <c r="B2363" s="325" t="s">
        <v>4298</v>
      </c>
      <c r="C2363" s="325" t="s">
        <v>4299</v>
      </c>
      <c r="D2363" s="325" t="s">
        <v>20</v>
      </c>
      <c r="E2363" s="326">
        <v>1</v>
      </c>
      <c r="F2363" s="331">
        <v>410</v>
      </c>
      <c r="G2363" s="328"/>
      <c r="H2363" s="328" t="s">
        <v>1147</v>
      </c>
      <c r="I2363" s="324" t="s">
        <v>21</v>
      </c>
    </row>
    <row r="2364" spans="1:9" ht="11.1" customHeight="1" outlineLevel="1">
      <c r="A2364" s="325" t="s">
        <v>1302</v>
      </c>
      <c r="B2364" s="325" t="s">
        <v>4300</v>
      </c>
      <c r="C2364" s="325" t="s">
        <v>4301</v>
      </c>
      <c r="D2364" s="325" t="s">
        <v>20</v>
      </c>
      <c r="E2364" s="326">
        <v>1</v>
      </c>
      <c r="F2364" s="331">
        <v>82</v>
      </c>
      <c r="G2364" s="328"/>
      <c r="H2364" s="328" t="s">
        <v>1147</v>
      </c>
      <c r="I2364" s="324" t="s">
        <v>21</v>
      </c>
    </row>
    <row r="2365" spans="1:9" ht="11.1" customHeight="1" outlineLevel="1">
      <c r="A2365" s="325" t="s">
        <v>1067</v>
      </c>
      <c r="B2365" s="325" t="s">
        <v>4302</v>
      </c>
      <c r="C2365" s="325" t="s">
        <v>4303</v>
      </c>
      <c r="D2365" s="325" t="s">
        <v>20</v>
      </c>
      <c r="E2365" s="326">
        <v>2</v>
      </c>
      <c r="F2365" s="331">
        <v>418.17</v>
      </c>
      <c r="G2365" s="328"/>
      <c r="H2365" s="328" t="s">
        <v>1147</v>
      </c>
      <c r="I2365" s="324" t="s">
        <v>21</v>
      </c>
    </row>
    <row r="2366" spans="1:9" ht="11.1" customHeight="1" outlineLevel="1">
      <c r="A2366" s="325" t="s">
        <v>1302</v>
      </c>
      <c r="B2366" s="325" t="s">
        <v>4304</v>
      </c>
      <c r="C2366" s="325" t="s">
        <v>4305</v>
      </c>
      <c r="D2366" s="325" t="s">
        <v>20</v>
      </c>
      <c r="E2366" s="326">
        <v>3</v>
      </c>
      <c r="F2366" s="331">
        <v>170.56</v>
      </c>
      <c r="G2366" s="328"/>
      <c r="H2366" s="328" t="s">
        <v>1147</v>
      </c>
      <c r="I2366" s="324" t="s">
        <v>21</v>
      </c>
    </row>
    <row r="2367" spans="1:9" ht="11.1" customHeight="1" outlineLevel="1">
      <c r="A2367" s="325" t="s">
        <v>1302</v>
      </c>
      <c r="B2367" s="325" t="s">
        <v>4306</v>
      </c>
      <c r="C2367" s="325" t="s">
        <v>4307</v>
      </c>
      <c r="D2367" s="325" t="s">
        <v>20</v>
      </c>
      <c r="E2367" s="326">
        <v>5</v>
      </c>
      <c r="F2367" s="331">
        <v>390.44</v>
      </c>
      <c r="G2367" s="328"/>
      <c r="H2367" s="328" t="s">
        <v>1147</v>
      </c>
      <c r="I2367" s="324" t="s">
        <v>21</v>
      </c>
    </row>
    <row r="2368" spans="1:9" ht="11.1" customHeight="1" outlineLevel="1">
      <c r="A2368" s="325" t="s">
        <v>1302</v>
      </c>
      <c r="B2368" s="325" t="s">
        <v>1296</v>
      </c>
      <c r="C2368" s="325" t="s">
        <v>1297</v>
      </c>
      <c r="D2368" s="325" t="s">
        <v>20</v>
      </c>
      <c r="E2368" s="326">
        <v>2</v>
      </c>
      <c r="F2368" s="331">
        <v>233.33</v>
      </c>
      <c r="G2368" s="328"/>
      <c r="H2368" s="328" t="s">
        <v>1147</v>
      </c>
      <c r="I2368" s="324" t="s">
        <v>21</v>
      </c>
    </row>
    <row r="2369" spans="1:9" ht="11.1" customHeight="1" outlineLevel="1">
      <c r="A2369" s="325" t="s">
        <v>1302</v>
      </c>
      <c r="B2369" s="325" t="s">
        <v>4308</v>
      </c>
      <c r="C2369" s="325" t="s">
        <v>4309</v>
      </c>
      <c r="D2369" s="325" t="s">
        <v>20</v>
      </c>
      <c r="E2369" s="326">
        <v>1</v>
      </c>
      <c r="F2369" s="331">
        <v>267.91000000000003</v>
      </c>
      <c r="G2369" s="328"/>
      <c r="H2369" s="328" t="s">
        <v>1147</v>
      </c>
      <c r="I2369" s="324" t="s">
        <v>21</v>
      </c>
    </row>
    <row r="2370" spans="1:9" ht="11.1" customHeight="1" outlineLevel="1">
      <c r="A2370" s="325" t="s">
        <v>1302</v>
      </c>
      <c r="B2370" s="325" t="s">
        <v>4310</v>
      </c>
      <c r="C2370" s="325" t="s">
        <v>4311</v>
      </c>
      <c r="D2370" s="325" t="s">
        <v>20</v>
      </c>
      <c r="E2370" s="326">
        <v>13</v>
      </c>
      <c r="F2370" s="327">
        <v>1501.92</v>
      </c>
      <c r="G2370" s="328"/>
      <c r="H2370" s="328" t="s">
        <v>1147</v>
      </c>
      <c r="I2370" s="324" t="s">
        <v>21</v>
      </c>
    </row>
    <row r="2371" spans="1:9" ht="11.1" customHeight="1" outlineLevel="1">
      <c r="A2371" s="325" t="s">
        <v>1302</v>
      </c>
      <c r="B2371" s="325" t="s">
        <v>4312</v>
      </c>
      <c r="C2371" s="325" t="s">
        <v>4313</v>
      </c>
      <c r="D2371" s="325" t="s">
        <v>20</v>
      </c>
      <c r="E2371" s="326">
        <v>3</v>
      </c>
      <c r="F2371" s="331">
        <v>606.6</v>
      </c>
      <c r="G2371" s="328"/>
      <c r="H2371" s="328" t="s">
        <v>1147</v>
      </c>
      <c r="I2371" s="324" t="s">
        <v>21</v>
      </c>
    </row>
    <row r="2372" spans="1:9" ht="11.1" customHeight="1" outlineLevel="1">
      <c r="A2372" s="325" t="s">
        <v>1302</v>
      </c>
      <c r="B2372" s="325" t="s">
        <v>4314</v>
      </c>
      <c r="C2372" s="325" t="s">
        <v>4315</v>
      </c>
      <c r="D2372" s="325" t="s">
        <v>20</v>
      </c>
      <c r="E2372" s="326">
        <v>3</v>
      </c>
      <c r="F2372" s="331">
        <v>247.5</v>
      </c>
      <c r="G2372" s="328"/>
      <c r="H2372" s="328" t="s">
        <v>1147</v>
      </c>
      <c r="I2372" s="324" t="s">
        <v>21</v>
      </c>
    </row>
    <row r="2373" spans="1:9" ht="11.1" customHeight="1" outlineLevel="1">
      <c r="A2373" s="325" t="s">
        <v>1067</v>
      </c>
      <c r="B2373" s="325" t="s">
        <v>4316</v>
      </c>
      <c r="C2373" s="325" t="s">
        <v>4317</v>
      </c>
      <c r="D2373" s="325" t="s">
        <v>20</v>
      </c>
      <c r="E2373" s="326">
        <v>1</v>
      </c>
      <c r="F2373" s="331">
        <v>485</v>
      </c>
      <c r="G2373" s="328"/>
      <c r="H2373" s="328" t="s">
        <v>1147</v>
      </c>
      <c r="I2373" s="324" t="s">
        <v>21</v>
      </c>
    </row>
    <row r="2374" spans="1:9" ht="11.1" customHeight="1" outlineLevel="1">
      <c r="A2374" s="325" t="s">
        <v>1302</v>
      </c>
      <c r="B2374" s="325" t="s">
        <v>4318</v>
      </c>
      <c r="C2374" s="325" t="s">
        <v>4319</v>
      </c>
      <c r="D2374" s="325" t="s">
        <v>1519</v>
      </c>
      <c r="E2374" s="326">
        <v>4</v>
      </c>
      <c r="F2374" s="331">
        <v>82</v>
      </c>
      <c r="G2374" s="328"/>
      <c r="H2374" s="328" t="s">
        <v>1147</v>
      </c>
      <c r="I2374" s="324" t="s">
        <v>21</v>
      </c>
    </row>
    <row r="2375" spans="1:9" ht="11.1" customHeight="1" outlineLevel="1">
      <c r="A2375" s="325" t="s">
        <v>1067</v>
      </c>
      <c r="B2375" s="325" t="s">
        <v>4320</v>
      </c>
      <c r="C2375" s="325" t="s">
        <v>4321</v>
      </c>
      <c r="D2375" s="325" t="s">
        <v>20</v>
      </c>
      <c r="E2375" s="326">
        <v>4</v>
      </c>
      <c r="F2375" s="331">
        <v>796</v>
      </c>
      <c r="G2375" s="328"/>
      <c r="H2375" s="328" t="s">
        <v>1147</v>
      </c>
      <c r="I2375" s="324" t="s">
        <v>21</v>
      </c>
    </row>
    <row r="2376" spans="1:9" ht="11.1" customHeight="1" outlineLevel="1">
      <c r="A2376" s="325" t="s">
        <v>1302</v>
      </c>
      <c r="B2376" s="325" t="s">
        <v>4322</v>
      </c>
      <c r="C2376" s="325" t="s">
        <v>4323</v>
      </c>
      <c r="D2376" s="325" t="s">
        <v>20</v>
      </c>
      <c r="E2376" s="326">
        <v>1</v>
      </c>
      <c r="F2376" s="331">
        <v>210</v>
      </c>
      <c r="G2376" s="328"/>
      <c r="H2376" s="328" t="s">
        <v>1147</v>
      </c>
      <c r="I2376" s="324" t="s">
        <v>21</v>
      </c>
    </row>
    <row r="2377" spans="1:9" ht="11.1" customHeight="1" outlineLevel="1">
      <c r="A2377" s="325" t="s">
        <v>1067</v>
      </c>
      <c r="B2377" s="325" t="s">
        <v>4324</v>
      </c>
      <c r="C2377" s="325" t="s">
        <v>4325</v>
      </c>
      <c r="D2377" s="325" t="s">
        <v>20</v>
      </c>
      <c r="E2377" s="326">
        <v>1</v>
      </c>
      <c r="F2377" s="331">
        <v>169.2</v>
      </c>
      <c r="G2377" s="328"/>
      <c r="H2377" s="328" t="s">
        <v>1147</v>
      </c>
      <c r="I2377" s="324" t="s">
        <v>21</v>
      </c>
    </row>
    <row r="2378" spans="1:9" ht="11.1" customHeight="1" outlineLevel="1">
      <c r="A2378" s="325" t="s">
        <v>1067</v>
      </c>
      <c r="B2378" s="325" t="s">
        <v>4326</v>
      </c>
      <c r="C2378" s="325" t="s">
        <v>4327</v>
      </c>
      <c r="D2378" s="325" t="s">
        <v>1305</v>
      </c>
      <c r="E2378" s="326">
        <v>2</v>
      </c>
      <c r="F2378" s="331">
        <v>91.6</v>
      </c>
      <c r="G2378" s="328"/>
      <c r="H2378" s="328" t="s">
        <v>1147</v>
      </c>
      <c r="I2378" s="324" t="s">
        <v>21</v>
      </c>
    </row>
    <row r="2379" spans="1:9" ht="11.1" customHeight="1" outlineLevel="1">
      <c r="A2379" s="325" t="s">
        <v>1302</v>
      </c>
      <c r="B2379" s="325" t="s">
        <v>4328</v>
      </c>
      <c r="C2379" s="325" t="s">
        <v>4329</v>
      </c>
      <c r="D2379" s="325" t="s">
        <v>20</v>
      </c>
      <c r="E2379" s="326">
        <v>6</v>
      </c>
      <c r="F2379" s="331">
        <v>60</v>
      </c>
      <c r="G2379" s="328"/>
      <c r="H2379" s="328" t="s">
        <v>1147</v>
      </c>
      <c r="I2379" s="324" t="s">
        <v>21</v>
      </c>
    </row>
    <row r="2380" spans="1:9" ht="11.1" customHeight="1" outlineLevel="1">
      <c r="A2380" s="325" t="s">
        <v>1067</v>
      </c>
      <c r="B2380" s="325" t="s">
        <v>4328</v>
      </c>
      <c r="C2380" s="325" t="s">
        <v>4329</v>
      </c>
      <c r="D2380" s="325" t="s">
        <v>20</v>
      </c>
      <c r="E2380" s="326">
        <v>4</v>
      </c>
      <c r="F2380" s="331">
        <v>40</v>
      </c>
      <c r="G2380" s="328"/>
      <c r="H2380" s="328" t="s">
        <v>1147</v>
      </c>
      <c r="I2380" s="324" t="s">
        <v>21</v>
      </c>
    </row>
    <row r="2381" spans="1:9" ht="11.1" customHeight="1" outlineLevel="1">
      <c r="A2381" s="325" t="s">
        <v>1067</v>
      </c>
      <c r="B2381" s="325" t="s">
        <v>4330</v>
      </c>
      <c r="C2381" s="325" t="s">
        <v>4331</v>
      </c>
      <c r="D2381" s="325" t="s">
        <v>20</v>
      </c>
      <c r="E2381" s="326">
        <v>10</v>
      </c>
      <c r="F2381" s="331">
        <v>100</v>
      </c>
      <c r="G2381" s="328"/>
      <c r="H2381" s="328" t="s">
        <v>1147</v>
      </c>
      <c r="I2381" s="324" t="s">
        <v>21</v>
      </c>
    </row>
    <row r="2382" spans="1:9" ht="11.1" customHeight="1" outlineLevel="1">
      <c r="A2382" s="325" t="s">
        <v>1302</v>
      </c>
      <c r="B2382" s="325" t="s">
        <v>4330</v>
      </c>
      <c r="C2382" s="325" t="s">
        <v>4331</v>
      </c>
      <c r="D2382" s="325" t="s">
        <v>20</v>
      </c>
      <c r="E2382" s="326">
        <v>7</v>
      </c>
      <c r="F2382" s="331">
        <v>70</v>
      </c>
      <c r="G2382" s="328"/>
      <c r="H2382" s="328" t="s">
        <v>1147</v>
      </c>
      <c r="I2382" s="324" t="s">
        <v>21</v>
      </c>
    </row>
    <row r="2383" spans="1:9" ht="11.1" customHeight="1" outlineLevel="1">
      <c r="A2383" s="325" t="s">
        <v>1302</v>
      </c>
      <c r="B2383" s="325" t="s">
        <v>4332</v>
      </c>
      <c r="C2383" s="325" t="s">
        <v>4333</v>
      </c>
      <c r="D2383" s="325" t="s">
        <v>20</v>
      </c>
      <c r="E2383" s="326">
        <v>7</v>
      </c>
      <c r="F2383" s="331">
        <v>75.650000000000006</v>
      </c>
      <c r="G2383" s="328"/>
      <c r="H2383" s="328" t="s">
        <v>1147</v>
      </c>
      <c r="I2383" s="324" t="s">
        <v>21</v>
      </c>
    </row>
    <row r="2384" spans="1:9" ht="11.1" customHeight="1" outlineLevel="1">
      <c r="A2384" s="325" t="s">
        <v>1302</v>
      </c>
      <c r="B2384" s="325" t="s">
        <v>4334</v>
      </c>
      <c r="C2384" s="325" t="s">
        <v>4335</v>
      </c>
      <c r="D2384" s="325" t="s">
        <v>20</v>
      </c>
      <c r="E2384" s="326">
        <v>1</v>
      </c>
      <c r="F2384" s="331">
        <v>24.3</v>
      </c>
      <c r="G2384" s="328"/>
      <c r="H2384" s="328" t="s">
        <v>1147</v>
      </c>
      <c r="I2384" s="324" t="s">
        <v>21</v>
      </c>
    </row>
    <row r="2385" spans="1:9" ht="11.1" customHeight="1" outlineLevel="1">
      <c r="A2385" s="325" t="s">
        <v>1302</v>
      </c>
      <c r="B2385" s="325" t="s">
        <v>4336</v>
      </c>
      <c r="C2385" s="325" t="s">
        <v>4337</v>
      </c>
      <c r="D2385" s="325" t="s">
        <v>1305</v>
      </c>
      <c r="E2385" s="326">
        <v>1</v>
      </c>
      <c r="F2385" s="331">
        <v>16.5</v>
      </c>
      <c r="G2385" s="328"/>
      <c r="H2385" s="328" t="s">
        <v>1147</v>
      </c>
      <c r="I2385" s="324" t="s">
        <v>21</v>
      </c>
    </row>
    <row r="2386" spans="1:9" ht="11.1" customHeight="1" outlineLevel="1">
      <c r="A2386" s="325" t="s">
        <v>1067</v>
      </c>
      <c r="B2386" s="325" t="s">
        <v>4338</v>
      </c>
      <c r="C2386" s="325" t="s">
        <v>4339</v>
      </c>
      <c r="D2386" s="325" t="s">
        <v>20</v>
      </c>
      <c r="E2386" s="326">
        <v>1</v>
      </c>
      <c r="F2386" s="331">
        <v>167.5</v>
      </c>
      <c r="G2386" s="328"/>
      <c r="H2386" s="328" t="s">
        <v>1147</v>
      </c>
      <c r="I2386" s="324" t="s">
        <v>21</v>
      </c>
    </row>
    <row r="2387" spans="1:9" ht="11.1" customHeight="1" outlineLevel="1">
      <c r="A2387" s="325" t="s">
        <v>1302</v>
      </c>
      <c r="B2387" s="325" t="s">
        <v>4340</v>
      </c>
      <c r="C2387" s="325" t="s">
        <v>4341</v>
      </c>
      <c r="D2387" s="325" t="s">
        <v>20</v>
      </c>
      <c r="E2387" s="326">
        <v>1</v>
      </c>
      <c r="F2387" s="331">
        <v>229</v>
      </c>
      <c r="G2387" s="328"/>
      <c r="H2387" s="328" t="s">
        <v>1147</v>
      </c>
      <c r="I2387" s="324" t="s">
        <v>21</v>
      </c>
    </row>
    <row r="2388" spans="1:9" ht="11.1" customHeight="1" outlineLevel="1">
      <c r="A2388" s="325" t="s">
        <v>1302</v>
      </c>
      <c r="B2388" s="325" t="s">
        <v>4342</v>
      </c>
      <c r="C2388" s="325" t="s">
        <v>4343</v>
      </c>
      <c r="D2388" s="325" t="s">
        <v>1305</v>
      </c>
      <c r="E2388" s="326">
        <v>1</v>
      </c>
      <c r="F2388" s="331">
        <v>392.7</v>
      </c>
      <c r="G2388" s="328"/>
      <c r="H2388" s="328" t="s">
        <v>1147</v>
      </c>
      <c r="I2388" s="324" t="s">
        <v>21</v>
      </c>
    </row>
    <row r="2389" spans="1:9" ht="11.1" customHeight="1" outlineLevel="1">
      <c r="A2389" s="325" t="s">
        <v>1067</v>
      </c>
      <c r="B2389" s="325" t="s">
        <v>4342</v>
      </c>
      <c r="C2389" s="325" t="s">
        <v>4343</v>
      </c>
      <c r="D2389" s="325" t="s">
        <v>1305</v>
      </c>
      <c r="E2389" s="326">
        <v>6</v>
      </c>
      <c r="F2389" s="327">
        <v>3405.16</v>
      </c>
      <c r="G2389" s="328"/>
      <c r="H2389" s="328" t="s">
        <v>1147</v>
      </c>
      <c r="I2389" s="324" t="s">
        <v>21</v>
      </c>
    </row>
    <row r="2390" spans="1:9" ht="11.1" customHeight="1" outlineLevel="1">
      <c r="A2390" s="325" t="s">
        <v>1067</v>
      </c>
      <c r="B2390" s="325" t="s">
        <v>4344</v>
      </c>
      <c r="C2390" s="325" t="s">
        <v>4345</v>
      </c>
      <c r="D2390" s="325" t="s">
        <v>1305</v>
      </c>
      <c r="E2390" s="326">
        <v>2</v>
      </c>
      <c r="F2390" s="331">
        <v>336.6</v>
      </c>
      <c r="G2390" s="328"/>
      <c r="H2390" s="328" t="s">
        <v>1147</v>
      </c>
      <c r="I2390" s="324" t="s">
        <v>21</v>
      </c>
    </row>
    <row r="2391" spans="1:9" ht="11.1" customHeight="1" outlineLevel="1">
      <c r="A2391" s="325" t="s">
        <v>1302</v>
      </c>
      <c r="B2391" s="325" t="s">
        <v>4346</v>
      </c>
      <c r="C2391" s="325" t="s">
        <v>4347</v>
      </c>
      <c r="D2391" s="325" t="s">
        <v>1305</v>
      </c>
      <c r="E2391" s="326">
        <v>3</v>
      </c>
      <c r="F2391" s="331">
        <v>798.25</v>
      </c>
      <c r="G2391" s="328"/>
      <c r="H2391" s="328" t="s">
        <v>1147</v>
      </c>
      <c r="I2391" s="324" t="s">
        <v>21</v>
      </c>
    </row>
    <row r="2392" spans="1:9" ht="11.1" customHeight="1" outlineLevel="1">
      <c r="A2392" s="325" t="s">
        <v>1067</v>
      </c>
      <c r="B2392" s="325" t="s">
        <v>4346</v>
      </c>
      <c r="C2392" s="325" t="s">
        <v>4347</v>
      </c>
      <c r="D2392" s="325" t="s">
        <v>1305</v>
      </c>
      <c r="E2392" s="326">
        <v>2</v>
      </c>
      <c r="F2392" s="331">
        <v>533.4</v>
      </c>
      <c r="G2392" s="328"/>
      <c r="H2392" s="328" t="s">
        <v>1147</v>
      </c>
      <c r="I2392" s="324" t="s">
        <v>21</v>
      </c>
    </row>
    <row r="2393" spans="1:9" ht="11.1" customHeight="1" outlineLevel="1">
      <c r="A2393" s="325" t="s">
        <v>1067</v>
      </c>
      <c r="B2393" s="325" t="s">
        <v>4348</v>
      </c>
      <c r="C2393" s="325" t="s">
        <v>4349</v>
      </c>
      <c r="D2393" s="325" t="s">
        <v>20</v>
      </c>
      <c r="E2393" s="326">
        <v>1</v>
      </c>
      <c r="F2393" s="331">
        <v>300</v>
      </c>
      <c r="G2393" s="328"/>
      <c r="H2393" s="328" t="s">
        <v>1147</v>
      </c>
      <c r="I2393" s="324" t="s">
        <v>21</v>
      </c>
    </row>
    <row r="2394" spans="1:9" ht="11.1" customHeight="1" outlineLevel="1">
      <c r="A2394" s="325" t="s">
        <v>1067</v>
      </c>
      <c r="B2394" s="325" t="s">
        <v>1298</v>
      </c>
      <c r="C2394" s="325" t="s">
        <v>1299</v>
      </c>
      <c r="D2394" s="325" t="s">
        <v>1300</v>
      </c>
      <c r="E2394" s="326">
        <v>1.55</v>
      </c>
      <c r="F2394" s="327">
        <v>1009.16</v>
      </c>
      <c r="G2394" s="328"/>
      <c r="H2394" s="328" t="s">
        <v>1147</v>
      </c>
      <c r="I2394" s="324" t="s">
        <v>21</v>
      </c>
    </row>
    <row r="2395" spans="1:9" ht="11.1" customHeight="1" outlineLevel="1">
      <c r="A2395" s="325" t="s">
        <v>1067</v>
      </c>
      <c r="B2395" s="325" t="s">
        <v>4350</v>
      </c>
      <c r="C2395" s="325" t="s">
        <v>4351</v>
      </c>
      <c r="D2395" s="325" t="s">
        <v>20</v>
      </c>
      <c r="E2395" s="326">
        <v>1</v>
      </c>
      <c r="F2395" s="331">
        <v>191.67</v>
      </c>
      <c r="G2395" s="328"/>
      <c r="H2395" s="328" t="s">
        <v>1147</v>
      </c>
      <c r="I2395" s="324" t="s">
        <v>21</v>
      </c>
    </row>
    <row r="2396" spans="1:9" ht="11.1" customHeight="1" outlineLevel="1">
      <c r="A2396" s="325" t="s">
        <v>1302</v>
      </c>
      <c r="B2396" s="325" t="s">
        <v>4352</v>
      </c>
      <c r="C2396" s="325" t="s">
        <v>4353</v>
      </c>
      <c r="D2396" s="325" t="s">
        <v>20</v>
      </c>
      <c r="E2396" s="326">
        <v>5</v>
      </c>
      <c r="F2396" s="327">
        <v>1358.12</v>
      </c>
      <c r="G2396" s="328"/>
      <c r="H2396" s="328" t="s">
        <v>1147</v>
      </c>
      <c r="I2396" s="324" t="s">
        <v>21</v>
      </c>
    </row>
    <row r="2397" spans="1:9" ht="11.1" customHeight="1" outlineLevel="1">
      <c r="A2397" s="325" t="s">
        <v>1067</v>
      </c>
      <c r="B2397" s="325" t="s">
        <v>4354</v>
      </c>
      <c r="C2397" s="325" t="s">
        <v>4355</v>
      </c>
      <c r="D2397" s="325" t="s">
        <v>20</v>
      </c>
      <c r="E2397" s="326">
        <v>1</v>
      </c>
      <c r="F2397" s="331">
        <v>235.83</v>
      </c>
      <c r="G2397" s="328"/>
      <c r="H2397" s="328" t="s">
        <v>1147</v>
      </c>
      <c r="I2397" s="324" t="s">
        <v>21</v>
      </c>
    </row>
    <row r="2398" spans="1:9" ht="11.1" customHeight="1" outlineLevel="1">
      <c r="A2398" s="325" t="s">
        <v>1067</v>
      </c>
      <c r="B2398" s="325" t="s">
        <v>4356</v>
      </c>
      <c r="C2398" s="325" t="s">
        <v>4357</v>
      </c>
      <c r="D2398" s="325" t="s">
        <v>20</v>
      </c>
      <c r="E2398" s="326">
        <v>2</v>
      </c>
      <c r="F2398" s="331">
        <v>524.20000000000005</v>
      </c>
      <c r="G2398" s="328"/>
      <c r="H2398" s="328" t="s">
        <v>1147</v>
      </c>
      <c r="I2398" s="324" t="s">
        <v>21</v>
      </c>
    </row>
    <row r="2399" spans="1:9" ht="11.1" customHeight="1" outlineLevel="1">
      <c r="A2399" s="325" t="s">
        <v>1302</v>
      </c>
      <c r="B2399" s="325" t="s">
        <v>1993</v>
      </c>
      <c r="C2399" s="325" t="s">
        <v>561</v>
      </c>
      <c r="D2399" s="325" t="s">
        <v>295</v>
      </c>
      <c r="E2399" s="326">
        <v>1</v>
      </c>
      <c r="F2399" s="331">
        <v>32.5</v>
      </c>
      <c r="G2399" s="328"/>
      <c r="H2399" s="328" t="s">
        <v>1147</v>
      </c>
      <c r="I2399" s="324" t="s">
        <v>21</v>
      </c>
    </row>
    <row r="2400" spans="1:9" ht="11.1" customHeight="1" outlineLevel="1">
      <c r="A2400" s="325" t="s">
        <v>1067</v>
      </c>
      <c r="B2400" s="325" t="s">
        <v>4358</v>
      </c>
      <c r="C2400" s="325" t="s">
        <v>4359</v>
      </c>
      <c r="D2400" s="325" t="s">
        <v>20</v>
      </c>
      <c r="E2400" s="326">
        <v>1</v>
      </c>
      <c r="F2400" s="331">
        <v>790.83</v>
      </c>
      <c r="G2400" s="328"/>
      <c r="H2400" s="328" t="s">
        <v>1147</v>
      </c>
      <c r="I2400" s="324" t="s">
        <v>21</v>
      </c>
    </row>
    <row r="2401" spans="1:9" ht="11.1" customHeight="1" outlineLevel="1">
      <c r="A2401" s="325" t="s">
        <v>1302</v>
      </c>
      <c r="B2401" s="325" t="s">
        <v>4360</v>
      </c>
      <c r="C2401" s="325" t="s">
        <v>4361</v>
      </c>
      <c r="D2401" s="325" t="s">
        <v>20</v>
      </c>
      <c r="E2401" s="326">
        <v>1</v>
      </c>
      <c r="F2401" s="331">
        <v>554</v>
      </c>
      <c r="G2401" s="328"/>
      <c r="H2401" s="328" t="s">
        <v>1147</v>
      </c>
      <c r="I2401" s="324" t="s">
        <v>21</v>
      </c>
    </row>
    <row r="2402" spans="1:9" ht="11.1" customHeight="1" outlineLevel="1">
      <c r="A2402" s="325" t="s">
        <v>1067</v>
      </c>
      <c r="B2402" s="325" t="s">
        <v>4362</v>
      </c>
      <c r="C2402" s="325" t="s">
        <v>4363</v>
      </c>
      <c r="D2402" s="325" t="s">
        <v>20</v>
      </c>
      <c r="E2402" s="326">
        <v>1</v>
      </c>
      <c r="F2402" s="331">
        <v>499</v>
      </c>
      <c r="G2402" s="328"/>
      <c r="H2402" s="328" t="s">
        <v>1147</v>
      </c>
      <c r="I2402" s="324" t="s">
        <v>21</v>
      </c>
    </row>
    <row r="2403" spans="1:9" ht="11.1" customHeight="1" outlineLevel="1">
      <c r="A2403" s="325" t="s">
        <v>1067</v>
      </c>
      <c r="B2403" s="325" t="s">
        <v>4364</v>
      </c>
      <c r="C2403" s="325" t="s">
        <v>4365</v>
      </c>
      <c r="D2403" s="325" t="s">
        <v>20</v>
      </c>
      <c r="E2403" s="326">
        <v>1</v>
      </c>
      <c r="F2403" s="331">
        <v>539</v>
      </c>
      <c r="G2403" s="328"/>
      <c r="H2403" s="328" t="s">
        <v>1147</v>
      </c>
      <c r="I2403" s="324" t="s">
        <v>21</v>
      </c>
    </row>
    <row r="2404" spans="1:9" ht="11.1" customHeight="1" outlineLevel="1">
      <c r="A2404" s="325" t="s">
        <v>1302</v>
      </c>
      <c r="B2404" s="325" t="s">
        <v>4366</v>
      </c>
      <c r="C2404" s="325" t="s">
        <v>4367</v>
      </c>
      <c r="D2404" s="325" t="s">
        <v>20</v>
      </c>
      <c r="E2404" s="326">
        <v>1</v>
      </c>
      <c r="F2404" s="331">
        <v>480.42</v>
      </c>
      <c r="G2404" s="328"/>
      <c r="H2404" s="328" t="s">
        <v>1147</v>
      </c>
      <c r="I2404" s="324" t="s">
        <v>21</v>
      </c>
    </row>
    <row r="2405" spans="1:9" ht="11.1" customHeight="1" outlineLevel="1">
      <c r="A2405" s="325" t="s">
        <v>1067</v>
      </c>
      <c r="B2405" s="325" t="s">
        <v>4366</v>
      </c>
      <c r="C2405" s="325" t="s">
        <v>4367</v>
      </c>
      <c r="D2405" s="325" t="s">
        <v>20</v>
      </c>
      <c r="E2405" s="326">
        <v>2</v>
      </c>
      <c r="F2405" s="331">
        <v>960.84</v>
      </c>
      <c r="G2405" s="328"/>
      <c r="H2405" s="328" t="s">
        <v>1147</v>
      </c>
      <c r="I2405" s="324" t="s">
        <v>21</v>
      </c>
    </row>
    <row r="2406" spans="1:9" ht="11.1" customHeight="1" outlineLevel="1">
      <c r="A2406" s="325" t="s">
        <v>1302</v>
      </c>
      <c r="B2406" s="325" t="s">
        <v>4368</v>
      </c>
      <c r="C2406" s="325" t="s">
        <v>4369</v>
      </c>
      <c r="D2406" s="325" t="s">
        <v>20</v>
      </c>
      <c r="E2406" s="326">
        <v>31</v>
      </c>
      <c r="F2406" s="327">
        <v>2092.75</v>
      </c>
      <c r="G2406" s="328"/>
      <c r="H2406" s="328" t="s">
        <v>1147</v>
      </c>
      <c r="I2406" s="324" t="s">
        <v>21</v>
      </c>
    </row>
    <row r="2407" spans="1:9" ht="11.1" customHeight="1" outlineLevel="1">
      <c r="A2407" s="325" t="s">
        <v>1067</v>
      </c>
      <c r="B2407" s="325" t="s">
        <v>4368</v>
      </c>
      <c r="C2407" s="325" t="s">
        <v>4369</v>
      </c>
      <c r="D2407" s="325" t="s">
        <v>20</v>
      </c>
      <c r="E2407" s="326">
        <v>34</v>
      </c>
      <c r="F2407" s="327">
        <v>1748.01</v>
      </c>
      <c r="G2407" s="328"/>
      <c r="H2407" s="328" t="s">
        <v>1147</v>
      </c>
      <c r="I2407" s="324" t="s">
        <v>21</v>
      </c>
    </row>
    <row r="2408" spans="1:9" ht="11.1" customHeight="1" outlineLevel="1">
      <c r="A2408" s="325" t="s">
        <v>1067</v>
      </c>
      <c r="B2408" s="325" t="s">
        <v>4370</v>
      </c>
      <c r="C2408" s="325" t="s">
        <v>4371</v>
      </c>
      <c r="D2408" s="325" t="s">
        <v>1519</v>
      </c>
      <c r="E2408" s="326">
        <v>23.55</v>
      </c>
      <c r="F2408" s="331">
        <v>543.53</v>
      </c>
      <c r="G2408" s="328"/>
      <c r="H2408" s="328" t="s">
        <v>1147</v>
      </c>
      <c r="I2408" s="324" t="s">
        <v>21</v>
      </c>
    </row>
    <row r="2409" spans="1:9" ht="11.1" customHeight="1" outlineLevel="1">
      <c r="A2409" s="325" t="s">
        <v>1302</v>
      </c>
      <c r="B2409" s="325" t="s">
        <v>4372</v>
      </c>
      <c r="C2409" s="325" t="s">
        <v>4373</v>
      </c>
      <c r="D2409" s="325" t="s">
        <v>1519</v>
      </c>
      <c r="E2409" s="326">
        <v>23</v>
      </c>
      <c r="F2409" s="331">
        <v>413.78</v>
      </c>
      <c r="G2409" s="328"/>
      <c r="H2409" s="328" t="s">
        <v>1147</v>
      </c>
      <c r="I2409" s="324" t="s">
        <v>21</v>
      </c>
    </row>
    <row r="2410" spans="1:9" ht="11.1" customHeight="1" outlineLevel="1">
      <c r="A2410" s="325" t="s">
        <v>1067</v>
      </c>
      <c r="B2410" s="325" t="s">
        <v>4372</v>
      </c>
      <c r="C2410" s="325" t="s">
        <v>4373</v>
      </c>
      <c r="D2410" s="325" t="s">
        <v>1519</v>
      </c>
      <c r="E2410" s="326">
        <v>10</v>
      </c>
      <c r="F2410" s="331">
        <v>385</v>
      </c>
      <c r="G2410" s="328"/>
      <c r="H2410" s="328" t="s">
        <v>1147</v>
      </c>
      <c r="I2410" s="324" t="s">
        <v>21</v>
      </c>
    </row>
    <row r="2411" spans="1:9" ht="11.1" customHeight="1" outlineLevel="1">
      <c r="A2411" s="325" t="s">
        <v>1067</v>
      </c>
      <c r="B2411" s="325" t="s">
        <v>4374</v>
      </c>
      <c r="C2411" s="325" t="s">
        <v>4375</v>
      </c>
      <c r="D2411" s="325" t="s">
        <v>20</v>
      </c>
      <c r="E2411" s="326">
        <v>9</v>
      </c>
      <c r="F2411" s="327">
        <v>1158.4100000000001</v>
      </c>
      <c r="G2411" s="328"/>
      <c r="H2411" s="328" t="s">
        <v>1147</v>
      </c>
      <c r="I2411" s="324" t="s">
        <v>21</v>
      </c>
    </row>
    <row r="2412" spans="1:9" ht="11.1" customHeight="1" outlineLevel="1">
      <c r="A2412" s="325" t="s">
        <v>1302</v>
      </c>
      <c r="B2412" s="325" t="s">
        <v>4374</v>
      </c>
      <c r="C2412" s="325" t="s">
        <v>4375</v>
      </c>
      <c r="D2412" s="325" t="s">
        <v>20</v>
      </c>
      <c r="E2412" s="326">
        <v>1</v>
      </c>
      <c r="F2412" s="331">
        <v>157.47999999999999</v>
      </c>
      <c r="G2412" s="328"/>
      <c r="H2412" s="328" t="s">
        <v>1147</v>
      </c>
      <c r="I2412" s="324" t="s">
        <v>21</v>
      </c>
    </row>
    <row r="2413" spans="1:9" ht="11.1" customHeight="1" outlineLevel="1">
      <c r="A2413" s="325" t="s">
        <v>1302</v>
      </c>
      <c r="B2413" s="325" t="s">
        <v>4376</v>
      </c>
      <c r="C2413" s="325" t="s">
        <v>4377</v>
      </c>
      <c r="D2413" s="325" t="s">
        <v>20</v>
      </c>
      <c r="E2413" s="326">
        <v>1</v>
      </c>
      <c r="F2413" s="331">
        <v>129</v>
      </c>
      <c r="G2413" s="328"/>
      <c r="H2413" s="328" t="s">
        <v>1147</v>
      </c>
      <c r="I2413" s="324" t="s">
        <v>21</v>
      </c>
    </row>
    <row r="2414" spans="1:9" ht="11.1" customHeight="1" outlineLevel="1">
      <c r="A2414" s="325" t="s">
        <v>1067</v>
      </c>
      <c r="B2414" s="325" t="s">
        <v>4378</v>
      </c>
      <c r="C2414" s="325" t="s">
        <v>4379</v>
      </c>
      <c r="D2414" s="325" t="s">
        <v>20</v>
      </c>
      <c r="E2414" s="326">
        <v>1</v>
      </c>
      <c r="F2414" s="331">
        <v>47</v>
      </c>
      <c r="G2414" s="328"/>
      <c r="H2414" s="328" t="s">
        <v>1147</v>
      </c>
      <c r="I2414" s="324" t="s">
        <v>21</v>
      </c>
    </row>
    <row r="2415" spans="1:9" ht="11.1" customHeight="1" outlineLevel="1">
      <c r="A2415" s="325" t="s">
        <v>1302</v>
      </c>
      <c r="B2415" s="325" t="s">
        <v>4378</v>
      </c>
      <c r="C2415" s="325" t="s">
        <v>4379</v>
      </c>
      <c r="D2415" s="325" t="s">
        <v>20</v>
      </c>
      <c r="E2415" s="326">
        <v>1</v>
      </c>
      <c r="F2415" s="331">
        <v>157</v>
      </c>
      <c r="G2415" s="328"/>
      <c r="H2415" s="328" t="s">
        <v>1147</v>
      </c>
      <c r="I2415" s="324" t="s">
        <v>21</v>
      </c>
    </row>
    <row r="2416" spans="1:9" ht="11.1" customHeight="1" outlineLevel="1">
      <c r="A2416" s="325" t="s">
        <v>1302</v>
      </c>
      <c r="B2416" s="325" t="s">
        <v>4380</v>
      </c>
      <c r="C2416" s="325" t="s">
        <v>4381</v>
      </c>
      <c r="D2416" s="325" t="s">
        <v>20</v>
      </c>
      <c r="E2416" s="326">
        <v>14</v>
      </c>
      <c r="F2416" s="331">
        <v>524.29999999999995</v>
      </c>
      <c r="G2416" s="328"/>
      <c r="H2416" s="328" t="s">
        <v>1147</v>
      </c>
      <c r="I2416" s="324" t="s">
        <v>21</v>
      </c>
    </row>
    <row r="2417" spans="1:9" ht="11.1" customHeight="1" outlineLevel="1">
      <c r="A2417" s="325" t="s">
        <v>1302</v>
      </c>
      <c r="B2417" s="325" t="s">
        <v>4382</v>
      </c>
      <c r="C2417" s="325" t="s">
        <v>4383</v>
      </c>
      <c r="D2417" s="325" t="s">
        <v>20</v>
      </c>
      <c r="E2417" s="326">
        <v>1</v>
      </c>
      <c r="F2417" s="331">
        <v>440</v>
      </c>
      <c r="G2417" s="328"/>
      <c r="H2417" s="328" t="s">
        <v>1147</v>
      </c>
      <c r="I2417" s="324" t="s">
        <v>21</v>
      </c>
    </row>
    <row r="2418" spans="1:9" ht="11.1" customHeight="1" outlineLevel="1">
      <c r="A2418" s="325" t="s">
        <v>1067</v>
      </c>
      <c r="B2418" s="325" t="s">
        <v>4384</v>
      </c>
      <c r="C2418" s="325" t="s">
        <v>4385</v>
      </c>
      <c r="D2418" s="325" t="s">
        <v>20</v>
      </c>
      <c r="E2418" s="326">
        <v>13</v>
      </c>
      <c r="F2418" s="331">
        <v>596.53</v>
      </c>
      <c r="G2418" s="328"/>
      <c r="H2418" s="328" t="s">
        <v>1147</v>
      </c>
      <c r="I2418" s="324" t="s">
        <v>21</v>
      </c>
    </row>
    <row r="2419" spans="1:9" ht="11.1" customHeight="1" outlineLevel="1">
      <c r="A2419" s="325" t="s">
        <v>1067</v>
      </c>
      <c r="B2419" s="325" t="s">
        <v>2426</v>
      </c>
      <c r="C2419" s="325" t="s">
        <v>2427</v>
      </c>
      <c r="D2419" s="325" t="s">
        <v>20</v>
      </c>
      <c r="E2419" s="326">
        <v>2</v>
      </c>
      <c r="F2419" s="331">
        <v>72.67</v>
      </c>
      <c r="G2419" s="328"/>
      <c r="H2419" s="328" t="s">
        <v>1147</v>
      </c>
      <c r="I2419" s="324" t="s">
        <v>21</v>
      </c>
    </row>
    <row r="2420" spans="1:9" ht="11.1" customHeight="1" outlineLevel="1">
      <c r="A2420" s="325" t="s">
        <v>1302</v>
      </c>
      <c r="B2420" s="325" t="s">
        <v>2426</v>
      </c>
      <c r="C2420" s="325" t="s">
        <v>2427</v>
      </c>
      <c r="D2420" s="325" t="s">
        <v>20</v>
      </c>
      <c r="E2420" s="326">
        <v>3</v>
      </c>
      <c r="F2420" s="331">
        <v>233.55</v>
      </c>
      <c r="G2420" s="328"/>
      <c r="H2420" s="328" t="s">
        <v>1147</v>
      </c>
      <c r="I2420" s="324" t="s">
        <v>21</v>
      </c>
    </row>
    <row r="2421" spans="1:9" ht="11.1" customHeight="1" outlineLevel="1">
      <c r="A2421" s="325" t="s">
        <v>1067</v>
      </c>
      <c r="B2421" s="325" t="s">
        <v>4386</v>
      </c>
      <c r="C2421" s="325" t="s">
        <v>996</v>
      </c>
      <c r="D2421" s="325" t="s">
        <v>20</v>
      </c>
      <c r="E2421" s="326">
        <v>5</v>
      </c>
      <c r="F2421" s="331">
        <v>440</v>
      </c>
      <c r="G2421" s="328"/>
      <c r="H2421" s="328" t="s">
        <v>1147</v>
      </c>
      <c r="I2421" s="324" t="s">
        <v>21</v>
      </c>
    </row>
    <row r="2422" spans="1:9" ht="11.1" customHeight="1" outlineLevel="1">
      <c r="A2422" s="325" t="s">
        <v>1302</v>
      </c>
      <c r="B2422" s="325" t="s">
        <v>4386</v>
      </c>
      <c r="C2422" s="325" t="s">
        <v>996</v>
      </c>
      <c r="D2422" s="325" t="s">
        <v>20</v>
      </c>
      <c r="E2422" s="326">
        <v>1</v>
      </c>
      <c r="F2422" s="331">
        <v>158.33000000000001</v>
      </c>
      <c r="G2422" s="328"/>
      <c r="H2422" s="328" t="s">
        <v>1147</v>
      </c>
      <c r="I2422" s="324" t="s">
        <v>21</v>
      </c>
    </row>
    <row r="2423" spans="1:9" ht="11.1" customHeight="1" outlineLevel="1">
      <c r="A2423" s="325" t="s">
        <v>1067</v>
      </c>
      <c r="B2423" s="325" t="s">
        <v>2428</v>
      </c>
      <c r="C2423" s="325" t="s">
        <v>2429</v>
      </c>
      <c r="D2423" s="325" t="s">
        <v>20</v>
      </c>
      <c r="E2423" s="326">
        <v>2</v>
      </c>
      <c r="F2423" s="331">
        <v>176</v>
      </c>
      <c r="G2423" s="328"/>
      <c r="H2423" s="328" t="s">
        <v>1147</v>
      </c>
      <c r="I2423" s="324" t="s">
        <v>21</v>
      </c>
    </row>
    <row r="2424" spans="1:9" ht="11.1" customHeight="1" outlineLevel="1">
      <c r="A2424" s="325" t="s">
        <v>1302</v>
      </c>
      <c r="B2424" s="325" t="s">
        <v>2438</v>
      </c>
      <c r="C2424" s="325" t="s">
        <v>2439</v>
      </c>
      <c r="D2424" s="325" t="s">
        <v>20</v>
      </c>
      <c r="E2424" s="326">
        <v>7</v>
      </c>
      <c r="F2424" s="331">
        <v>151.71</v>
      </c>
      <c r="G2424" s="328"/>
      <c r="H2424" s="328" t="s">
        <v>1147</v>
      </c>
      <c r="I2424" s="324" t="s">
        <v>21</v>
      </c>
    </row>
    <row r="2425" spans="1:9" ht="11.1" customHeight="1" outlineLevel="1">
      <c r="A2425" s="325" t="s">
        <v>1067</v>
      </c>
      <c r="B2425" s="325" t="s">
        <v>4387</v>
      </c>
      <c r="C2425" s="325" t="s">
        <v>4388</v>
      </c>
      <c r="D2425" s="325" t="s">
        <v>20</v>
      </c>
      <c r="E2425" s="326">
        <v>2</v>
      </c>
      <c r="F2425" s="331">
        <v>264</v>
      </c>
      <c r="G2425" s="328"/>
      <c r="H2425" s="328" t="s">
        <v>1147</v>
      </c>
      <c r="I2425" s="324" t="s">
        <v>21</v>
      </c>
    </row>
    <row r="2426" spans="1:9" ht="11.1" customHeight="1" outlineLevel="1">
      <c r="A2426" s="325" t="s">
        <v>1067</v>
      </c>
      <c r="B2426" s="325" t="s">
        <v>4389</v>
      </c>
      <c r="C2426" s="325" t="s">
        <v>4390</v>
      </c>
      <c r="D2426" s="325" t="s">
        <v>20</v>
      </c>
      <c r="E2426" s="326">
        <v>8</v>
      </c>
      <c r="F2426" s="331">
        <v>633</v>
      </c>
      <c r="G2426" s="328"/>
      <c r="H2426" s="328" t="s">
        <v>1147</v>
      </c>
      <c r="I2426" s="324" t="s">
        <v>21</v>
      </c>
    </row>
    <row r="2427" spans="1:9" ht="11.1" customHeight="1" outlineLevel="1">
      <c r="A2427" s="325" t="s">
        <v>1302</v>
      </c>
      <c r="B2427" s="325" t="s">
        <v>4389</v>
      </c>
      <c r="C2427" s="325" t="s">
        <v>4390</v>
      </c>
      <c r="D2427" s="325" t="s">
        <v>20</v>
      </c>
      <c r="E2427" s="326">
        <v>2</v>
      </c>
      <c r="F2427" s="331">
        <v>98.05</v>
      </c>
      <c r="G2427" s="328"/>
      <c r="H2427" s="328" t="s">
        <v>1147</v>
      </c>
      <c r="I2427" s="324" t="s">
        <v>21</v>
      </c>
    </row>
    <row r="2428" spans="1:9" ht="11.1" customHeight="1" outlineLevel="1">
      <c r="A2428" s="325" t="s">
        <v>1067</v>
      </c>
      <c r="B2428" s="325" t="s">
        <v>4391</v>
      </c>
      <c r="C2428" s="325" t="s">
        <v>4392</v>
      </c>
      <c r="D2428" s="325" t="s">
        <v>20</v>
      </c>
      <c r="E2428" s="326">
        <v>2</v>
      </c>
      <c r="F2428" s="331">
        <v>150.86000000000001</v>
      </c>
      <c r="G2428" s="328"/>
      <c r="H2428" s="328" t="s">
        <v>1147</v>
      </c>
      <c r="I2428" s="324" t="s">
        <v>21</v>
      </c>
    </row>
    <row r="2429" spans="1:9" ht="11.1" customHeight="1" outlineLevel="1">
      <c r="A2429" s="325" t="s">
        <v>1302</v>
      </c>
      <c r="B2429" s="325" t="s">
        <v>4391</v>
      </c>
      <c r="C2429" s="325" t="s">
        <v>4392</v>
      </c>
      <c r="D2429" s="325" t="s">
        <v>20</v>
      </c>
      <c r="E2429" s="326">
        <v>1</v>
      </c>
      <c r="F2429" s="331">
        <v>75.430000000000007</v>
      </c>
      <c r="G2429" s="328"/>
      <c r="H2429" s="328" t="s">
        <v>1147</v>
      </c>
      <c r="I2429" s="324" t="s">
        <v>21</v>
      </c>
    </row>
    <row r="2430" spans="1:9" ht="11.1" customHeight="1" outlineLevel="1">
      <c r="A2430" s="325" t="s">
        <v>1302</v>
      </c>
      <c r="B2430" s="325" t="s">
        <v>4393</v>
      </c>
      <c r="C2430" s="325" t="s">
        <v>4394</v>
      </c>
      <c r="D2430" s="325" t="s">
        <v>20</v>
      </c>
      <c r="E2430" s="326">
        <v>4</v>
      </c>
      <c r="F2430" s="331">
        <v>276.68</v>
      </c>
      <c r="G2430" s="328"/>
      <c r="H2430" s="328" t="s">
        <v>1147</v>
      </c>
      <c r="I2430" s="324" t="s">
        <v>21</v>
      </c>
    </row>
    <row r="2431" spans="1:9" ht="11.1" customHeight="1" outlineLevel="1">
      <c r="A2431" s="325" t="s">
        <v>1302</v>
      </c>
      <c r="B2431" s="325" t="s">
        <v>4395</v>
      </c>
      <c r="C2431" s="325" t="s">
        <v>4396</v>
      </c>
      <c r="D2431" s="325" t="s">
        <v>20</v>
      </c>
      <c r="E2431" s="326">
        <v>4</v>
      </c>
      <c r="F2431" s="331">
        <v>274.39999999999998</v>
      </c>
      <c r="G2431" s="328"/>
      <c r="H2431" s="328" t="s">
        <v>1147</v>
      </c>
      <c r="I2431" s="324" t="s">
        <v>21</v>
      </c>
    </row>
    <row r="2432" spans="1:9" ht="11.1" customHeight="1" outlineLevel="1">
      <c r="A2432" s="325" t="s">
        <v>1302</v>
      </c>
      <c r="B2432" s="325" t="s">
        <v>2047</v>
      </c>
      <c r="C2432" s="325" t="s">
        <v>2048</v>
      </c>
      <c r="D2432" s="325" t="s">
        <v>20</v>
      </c>
      <c r="E2432" s="326">
        <v>1</v>
      </c>
      <c r="F2432" s="331">
        <v>152.9</v>
      </c>
      <c r="G2432" s="328"/>
      <c r="H2432" s="328" t="s">
        <v>1147</v>
      </c>
      <c r="I2432" s="324" t="s">
        <v>21</v>
      </c>
    </row>
    <row r="2433" spans="1:9" ht="11.1" customHeight="1" outlineLevel="1">
      <c r="A2433" s="325" t="s">
        <v>1302</v>
      </c>
      <c r="B2433" s="325" t="s">
        <v>4397</v>
      </c>
      <c r="C2433" s="325" t="s">
        <v>4398</v>
      </c>
      <c r="D2433" s="325" t="s">
        <v>20</v>
      </c>
      <c r="E2433" s="326">
        <v>1</v>
      </c>
      <c r="F2433" s="331">
        <v>140.83000000000001</v>
      </c>
      <c r="G2433" s="328"/>
      <c r="H2433" s="328" t="s">
        <v>1147</v>
      </c>
      <c r="I2433" s="324" t="s">
        <v>21</v>
      </c>
    </row>
    <row r="2434" spans="1:9" ht="11.1" customHeight="1" outlineLevel="1">
      <c r="A2434" s="325" t="s">
        <v>1302</v>
      </c>
      <c r="B2434" s="325" t="s">
        <v>4399</v>
      </c>
      <c r="C2434" s="325" t="s">
        <v>4400</v>
      </c>
      <c r="D2434" s="325" t="s">
        <v>20</v>
      </c>
      <c r="E2434" s="326">
        <v>13</v>
      </c>
      <c r="F2434" s="327">
        <v>1167.1199999999999</v>
      </c>
      <c r="G2434" s="328"/>
      <c r="H2434" s="328" t="s">
        <v>1147</v>
      </c>
      <c r="I2434" s="324" t="s">
        <v>21</v>
      </c>
    </row>
    <row r="2435" spans="1:9" ht="11.1" customHeight="1" outlineLevel="1">
      <c r="A2435" s="325" t="s">
        <v>1067</v>
      </c>
      <c r="B2435" s="325" t="s">
        <v>4399</v>
      </c>
      <c r="C2435" s="325" t="s">
        <v>4400</v>
      </c>
      <c r="D2435" s="325" t="s">
        <v>20</v>
      </c>
      <c r="E2435" s="326">
        <v>2</v>
      </c>
      <c r="F2435" s="331">
        <v>196</v>
      </c>
      <c r="G2435" s="328"/>
      <c r="H2435" s="328" t="s">
        <v>1147</v>
      </c>
      <c r="I2435" s="324" t="s">
        <v>21</v>
      </c>
    </row>
    <row r="2436" spans="1:9" ht="11.1" customHeight="1">
      <c r="A2436" s="320" t="s">
        <v>4401</v>
      </c>
      <c r="B2436" s="320"/>
      <c r="C2436" s="320"/>
      <c r="D2436" s="320"/>
      <c r="E2436" s="323"/>
      <c r="F2436" s="337">
        <v>-0.01</v>
      </c>
      <c r="G2436" s="323"/>
      <c r="H2436" s="323"/>
    </row>
    <row r="2437" spans="1:9" ht="11.1" customHeight="1" outlineLevel="1">
      <c r="A2437" s="325" t="s">
        <v>1302</v>
      </c>
      <c r="B2437" s="325" t="s">
        <v>2965</v>
      </c>
      <c r="C2437" s="325" t="s">
        <v>2966</v>
      </c>
      <c r="D2437" s="325" t="s">
        <v>1115</v>
      </c>
      <c r="E2437" s="328"/>
      <c r="F2437" s="331">
        <v>-0.01</v>
      </c>
      <c r="G2437" s="328"/>
      <c r="H2437" s="328" t="s">
        <v>2959</v>
      </c>
      <c r="I2437" s="330" t="s">
        <v>1087</v>
      </c>
    </row>
    <row r="2438" spans="1:9" ht="11.1" customHeight="1">
      <c r="A2438" s="320" t="s">
        <v>4402</v>
      </c>
      <c r="B2438" s="320"/>
      <c r="C2438" s="320"/>
      <c r="D2438" s="320"/>
      <c r="E2438" s="321">
        <v>73</v>
      </c>
      <c r="F2438" s="322">
        <v>6752.2</v>
      </c>
      <c r="G2438" s="323"/>
      <c r="H2438" s="323"/>
    </row>
    <row r="2439" spans="1:9" ht="11.1" customHeight="1" outlineLevel="1">
      <c r="A2439" s="325" t="s">
        <v>1152</v>
      </c>
      <c r="B2439" s="325" t="s">
        <v>1232</v>
      </c>
      <c r="C2439" s="325" t="s">
        <v>1233</v>
      </c>
      <c r="D2439" s="325" t="s">
        <v>20</v>
      </c>
      <c r="E2439" s="326">
        <v>2</v>
      </c>
      <c r="F2439" s="331">
        <v>58.4</v>
      </c>
      <c r="G2439" s="328"/>
      <c r="H2439" s="328" t="s">
        <v>1147</v>
      </c>
      <c r="I2439" s="324" t="s">
        <v>21</v>
      </c>
    </row>
    <row r="2440" spans="1:9" ht="11.1" customHeight="1" outlineLevel="1">
      <c r="A2440" s="325" t="s">
        <v>1152</v>
      </c>
      <c r="B2440" s="325" t="s">
        <v>1232</v>
      </c>
      <c r="C2440" s="325" t="s">
        <v>1233</v>
      </c>
      <c r="D2440" s="325" t="s">
        <v>20</v>
      </c>
      <c r="E2440" s="326">
        <v>10</v>
      </c>
      <c r="F2440" s="331">
        <v>292</v>
      </c>
      <c r="G2440" s="328"/>
      <c r="H2440" s="328" t="s">
        <v>1147</v>
      </c>
      <c r="I2440" s="324" t="s">
        <v>21</v>
      </c>
    </row>
    <row r="2441" spans="1:9" ht="11.1" customHeight="1" outlineLevel="1">
      <c r="A2441" s="325" t="s">
        <v>1152</v>
      </c>
      <c r="B2441" s="325" t="s">
        <v>1238</v>
      </c>
      <c r="C2441" s="325" t="s">
        <v>1239</v>
      </c>
      <c r="D2441" s="325" t="s">
        <v>14</v>
      </c>
      <c r="E2441" s="326">
        <v>10</v>
      </c>
      <c r="F2441" s="327">
        <v>1125</v>
      </c>
      <c r="G2441" s="328"/>
      <c r="H2441" s="160" t="s">
        <v>720</v>
      </c>
      <c r="I2441" s="324" t="s">
        <v>21</v>
      </c>
    </row>
    <row r="2442" spans="1:9" ht="11.1" customHeight="1" outlineLevel="1">
      <c r="A2442" s="325" t="s">
        <v>1152</v>
      </c>
      <c r="B2442" s="325" t="s">
        <v>1238</v>
      </c>
      <c r="C2442" s="325" t="s">
        <v>1239</v>
      </c>
      <c r="D2442" s="325" t="s">
        <v>14</v>
      </c>
      <c r="E2442" s="326">
        <v>5</v>
      </c>
      <c r="F2442" s="331">
        <v>912</v>
      </c>
      <c r="G2442" s="328"/>
      <c r="H2442" s="160" t="s">
        <v>720</v>
      </c>
      <c r="I2442" s="324" t="s">
        <v>21</v>
      </c>
    </row>
    <row r="2443" spans="1:9" ht="11.1" customHeight="1" outlineLevel="1">
      <c r="A2443" s="325" t="s">
        <v>1152</v>
      </c>
      <c r="B2443" s="325" t="s">
        <v>1238</v>
      </c>
      <c r="C2443" s="325" t="s">
        <v>1239</v>
      </c>
      <c r="D2443" s="325" t="s">
        <v>14</v>
      </c>
      <c r="E2443" s="326">
        <v>5</v>
      </c>
      <c r="F2443" s="331">
        <v>912</v>
      </c>
      <c r="G2443" s="328"/>
      <c r="H2443" s="160" t="s">
        <v>720</v>
      </c>
      <c r="I2443" s="324" t="s">
        <v>21</v>
      </c>
    </row>
    <row r="2444" spans="1:9" ht="11.1" customHeight="1" outlineLevel="1">
      <c r="A2444" s="325" t="s">
        <v>1152</v>
      </c>
      <c r="B2444" s="325" t="s">
        <v>2191</v>
      </c>
      <c r="C2444" s="325" t="s">
        <v>2192</v>
      </c>
      <c r="D2444" s="325" t="s">
        <v>20</v>
      </c>
      <c r="E2444" s="326">
        <v>5</v>
      </c>
      <c r="F2444" s="331">
        <v>254</v>
      </c>
      <c r="G2444" s="328"/>
      <c r="H2444" s="328" t="s">
        <v>1147</v>
      </c>
      <c r="I2444" s="324" t="s">
        <v>21</v>
      </c>
    </row>
    <row r="2445" spans="1:9" ht="11.1" customHeight="1" outlineLevel="1">
      <c r="A2445" s="325" t="s">
        <v>1152</v>
      </c>
      <c r="B2445" s="325" t="s">
        <v>1157</v>
      </c>
      <c r="C2445" s="325" t="s">
        <v>1158</v>
      </c>
      <c r="D2445" s="325" t="s">
        <v>20</v>
      </c>
      <c r="E2445" s="326">
        <v>3</v>
      </c>
      <c r="F2445" s="331">
        <v>54.9</v>
      </c>
      <c r="G2445" s="328"/>
      <c r="H2445" s="160" t="s">
        <v>1159</v>
      </c>
      <c r="I2445" s="324" t="s">
        <v>21</v>
      </c>
    </row>
    <row r="2446" spans="1:9" ht="11.1" customHeight="1" outlineLevel="1">
      <c r="A2446" s="325" t="s">
        <v>1152</v>
      </c>
      <c r="B2446" s="325" t="s">
        <v>1157</v>
      </c>
      <c r="C2446" s="325" t="s">
        <v>1158</v>
      </c>
      <c r="D2446" s="325" t="s">
        <v>20</v>
      </c>
      <c r="E2446" s="326">
        <v>5</v>
      </c>
      <c r="F2446" s="331">
        <v>91.5</v>
      </c>
      <c r="G2446" s="328"/>
      <c r="H2446" s="160" t="s">
        <v>1159</v>
      </c>
      <c r="I2446" s="324" t="s">
        <v>21</v>
      </c>
    </row>
    <row r="2447" spans="1:9" ht="11.1" customHeight="1" outlineLevel="1">
      <c r="A2447" s="325" t="s">
        <v>1152</v>
      </c>
      <c r="B2447" s="325" t="s">
        <v>1264</v>
      </c>
      <c r="C2447" s="325" t="s">
        <v>1265</v>
      </c>
      <c r="D2447" s="325" t="s">
        <v>20</v>
      </c>
      <c r="E2447" s="326">
        <v>5</v>
      </c>
      <c r="F2447" s="331">
        <v>254</v>
      </c>
      <c r="G2447" s="328"/>
      <c r="H2447" s="160" t="s">
        <v>1159</v>
      </c>
      <c r="I2447" s="324" t="s">
        <v>21</v>
      </c>
    </row>
    <row r="2448" spans="1:9" ht="11.1" customHeight="1" outlineLevel="1">
      <c r="A2448" s="325" t="s">
        <v>1152</v>
      </c>
      <c r="B2448" s="325" t="s">
        <v>1264</v>
      </c>
      <c r="C2448" s="325" t="s">
        <v>1265</v>
      </c>
      <c r="D2448" s="325" t="s">
        <v>20</v>
      </c>
      <c r="E2448" s="326">
        <v>6</v>
      </c>
      <c r="F2448" s="331">
        <v>304.8</v>
      </c>
      <c r="G2448" s="328"/>
      <c r="H2448" s="160" t="s">
        <v>1159</v>
      </c>
      <c r="I2448" s="324" t="s">
        <v>21</v>
      </c>
    </row>
    <row r="2449" spans="1:9" ht="11.1" customHeight="1" outlineLevel="1">
      <c r="A2449" s="325" t="s">
        <v>1152</v>
      </c>
      <c r="B2449" s="325" t="s">
        <v>1266</v>
      </c>
      <c r="C2449" s="325" t="s">
        <v>1267</v>
      </c>
      <c r="D2449" s="325" t="s">
        <v>20</v>
      </c>
      <c r="E2449" s="326">
        <v>2</v>
      </c>
      <c r="F2449" s="331">
        <v>73.400000000000006</v>
      </c>
      <c r="G2449" s="328"/>
      <c r="H2449" s="328" t="s">
        <v>1147</v>
      </c>
      <c r="I2449" s="324" t="s">
        <v>21</v>
      </c>
    </row>
    <row r="2450" spans="1:9" ht="11.1" customHeight="1" outlineLevel="1">
      <c r="A2450" s="325" t="s">
        <v>1152</v>
      </c>
      <c r="B2450" s="325" t="s">
        <v>1266</v>
      </c>
      <c r="C2450" s="325" t="s">
        <v>1267</v>
      </c>
      <c r="D2450" s="325" t="s">
        <v>20</v>
      </c>
      <c r="E2450" s="326">
        <v>2</v>
      </c>
      <c r="F2450" s="331">
        <v>73.400000000000006</v>
      </c>
      <c r="G2450" s="328"/>
      <c r="H2450" s="328" t="s">
        <v>1147</v>
      </c>
      <c r="I2450" s="324" t="s">
        <v>21</v>
      </c>
    </row>
    <row r="2451" spans="1:9" ht="11.1" customHeight="1" outlineLevel="1">
      <c r="A2451" s="325" t="s">
        <v>1152</v>
      </c>
      <c r="B2451" s="325" t="s">
        <v>1168</v>
      </c>
      <c r="C2451" s="325" t="s">
        <v>1169</v>
      </c>
      <c r="D2451" s="325" t="s">
        <v>20</v>
      </c>
      <c r="E2451" s="326">
        <v>2</v>
      </c>
      <c r="F2451" s="331">
        <v>81.599999999999994</v>
      </c>
      <c r="G2451" s="328"/>
      <c r="H2451" s="328" t="s">
        <v>1147</v>
      </c>
      <c r="I2451" s="324" t="s">
        <v>21</v>
      </c>
    </row>
    <row r="2452" spans="1:9" ht="11.1" customHeight="1" outlineLevel="1">
      <c r="A2452" s="325" t="s">
        <v>1152</v>
      </c>
      <c r="B2452" s="325" t="s">
        <v>2307</v>
      </c>
      <c r="C2452" s="325" t="s">
        <v>2308</v>
      </c>
      <c r="D2452" s="325" t="s">
        <v>1187</v>
      </c>
      <c r="E2452" s="326">
        <v>4</v>
      </c>
      <c r="F2452" s="331">
        <v>260</v>
      </c>
      <c r="G2452" s="328"/>
      <c r="H2452" s="328" t="s">
        <v>1147</v>
      </c>
      <c r="I2452" s="324" t="s">
        <v>21</v>
      </c>
    </row>
    <row r="2453" spans="1:9" ht="11.1" customHeight="1" outlineLevel="1">
      <c r="A2453" s="325" t="s">
        <v>1152</v>
      </c>
      <c r="B2453" s="325" t="s">
        <v>1185</v>
      </c>
      <c r="C2453" s="325" t="s">
        <v>1186</v>
      </c>
      <c r="D2453" s="325" t="s">
        <v>1187</v>
      </c>
      <c r="E2453" s="326">
        <v>4</v>
      </c>
      <c r="F2453" s="327">
        <v>1076.8</v>
      </c>
      <c r="G2453" s="328"/>
      <c r="H2453" s="328" t="s">
        <v>1147</v>
      </c>
      <c r="I2453" s="324" t="s">
        <v>21</v>
      </c>
    </row>
    <row r="2454" spans="1:9" ht="11.1" customHeight="1" outlineLevel="1">
      <c r="A2454" s="325" t="s">
        <v>1152</v>
      </c>
      <c r="B2454" s="325" t="s">
        <v>1185</v>
      </c>
      <c r="C2454" s="325" t="s">
        <v>1186</v>
      </c>
      <c r="D2454" s="325" t="s">
        <v>1187</v>
      </c>
      <c r="E2454" s="326">
        <v>2</v>
      </c>
      <c r="F2454" s="331">
        <v>538.4</v>
      </c>
      <c r="G2454" s="328"/>
      <c r="H2454" s="328" t="s">
        <v>1147</v>
      </c>
      <c r="I2454" s="324" t="s">
        <v>21</v>
      </c>
    </row>
    <row r="2455" spans="1:9" ht="11.1" customHeight="1" outlineLevel="1">
      <c r="A2455" s="325" t="s">
        <v>1152</v>
      </c>
      <c r="B2455" s="325" t="s">
        <v>1290</v>
      </c>
      <c r="C2455" s="325" t="s">
        <v>1291</v>
      </c>
      <c r="D2455" s="325" t="s">
        <v>20</v>
      </c>
      <c r="E2455" s="326">
        <v>1</v>
      </c>
      <c r="F2455" s="331">
        <v>390</v>
      </c>
      <c r="G2455" s="328"/>
      <c r="H2455" s="328" t="s">
        <v>1147</v>
      </c>
      <c r="I2455" s="324" t="s">
        <v>21</v>
      </c>
    </row>
    <row r="2456" spans="1:9" ht="11.1" customHeight="1">
      <c r="A2456" s="320" t="s">
        <v>4403</v>
      </c>
      <c r="B2456" s="320"/>
      <c r="C2456" s="320"/>
      <c r="D2456" s="320"/>
      <c r="E2456" s="321">
        <v>22</v>
      </c>
      <c r="F2456" s="322">
        <v>21417</v>
      </c>
      <c r="G2456" s="323"/>
      <c r="H2456" s="323"/>
    </row>
    <row r="2457" spans="1:9" ht="11.1" customHeight="1" outlineLevel="1">
      <c r="A2457" s="325" t="s">
        <v>1067</v>
      </c>
      <c r="B2457" s="325" t="s">
        <v>4404</v>
      </c>
      <c r="C2457" s="325" t="s">
        <v>4405</v>
      </c>
      <c r="D2457" s="325" t="s">
        <v>20</v>
      </c>
      <c r="E2457" s="326">
        <v>2</v>
      </c>
      <c r="F2457" s="331">
        <v>216</v>
      </c>
      <c r="G2457" s="328"/>
      <c r="H2457" s="328" t="s">
        <v>4406</v>
      </c>
      <c r="I2457" s="324" t="s">
        <v>289</v>
      </c>
    </row>
    <row r="2458" spans="1:9" ht="11.1" customHeight="1" outlineLevel="1">
      <c r="A2458" s="325" t="s">
        <v>1067</v>
      </c>
      <c r="B2458" s="325" t="s">
        <v>1536</v>
      </c>
      <c r="C2458" s="325" t="s">
        <v>1537</v>
      </c>
      <c r="D2458" s="325" t="s">
        <v>20</v>
      </c>
      <c r="E2458" s="326">
        <v>12</v>
      </c>
      <c r="F2458" s="327">
        <v>2892</v>
      </c>
      <c r="G2458" s="328"/>
      <c r="H2458" s="328" t="s">
        <v>1147</v>
      </c>
      <c r="I2458" s="324" t="s">
        <v>21</v>
      </c>
    </row>
    <row r="2459" spans="1:9" ht="11.1" customHeight="1" outlineLevel="1">
      <c r="A2459" s="325" t="s">
        <v>1067</v>
      </c>
      <c r="B2459" s="325" t="s">
        <v>1544</v>
      </c>
      <c r="C2459" s="325" t="s">
        <v>1545</v>
      </c>
      <c r="D2459" s="325" t="s">
        <v>20</v>
      </c>
      <c r="E2459" s="326">
        <v>2</v>
      </c>
      <c r="F2459" s="331">
        <v>564</v>
      </c>
      <c r="G2459" s="328"/>
      <c r="H2459" s="174" t="s">
        <v>1546</v>
      </c>
      <c r="I2459" s="324" t="s">
        <v>289</v>
      </c>
    </row>
    <row r="2460" spans="1:9" ht="11.1" customHeight="1" outlineLevel="1">
      <c r="A2460" s="325" t="s">
        <v>1067</v>
      </c>
      <c r="B2460" s="325" t="s">
        <v>2720</v>
      </c>
      <c r="C2460" s="325" t="s">
        <v>2721</v>
      </c>
      <c r="D2460" s="325" t="s">
        <v>1558</v>
      </c>
      <c r="E2460" s="326">
        <v>1</v>
      </c>
      <c r="F2460" s="327">
        <v>17350</v>
      </c>
      <c r="G2460" s="328"/>
      <c r="H2460" s="174" t="s">
        <v>1624</v>
      </c>
      <c r="I2460" s="324" t="s">
        <v>1839</v>
      </c>
    </row>
    <row r="2461" spans="1:9" ht="11.1" customHeight="1" outlineLevel="1">
      <c r="A2461" s="325" t="s">
        <v>1067</v>
      </c>
      <c r="B2461" s="325" t="s">
        <v>1659</v>
      </c>
      <c r="C2461" s="325" t="s">
        <v>1660</v>
      </c>
      <c r="D2461" s="325" t="s">
        <v>20</v>
      </c>
      <c r="E2461" s="326">
        <v>5</v>
      </c>
      <c r="F2461" s="331">
        <v>395</v>
      </c>
      <c r="G2461" s="328"/>
      <c r="H2461" s="160" t="s">
        <v>1661</v>
      </c>
      <c r="I2461" s="324" t="s">
        <v>1070</v>
      </c>
    </row>
    <row r="2462" spans="1:9" ht="11.1" customHeight="1">
      <c r="A2462" s="320" t="s">
        <v>4407</v>
      </c>
      <c r="B2462" s="320"/>
      <c r="C2462" s="320"/>
      <c r="D2462" s="320"/>
      <c r="E2462" s="321">
        <v>31</v>
      </c>
      <c r="F2462" s="322">
        <v>5709.3</v>
      </c>
      <c r="G2462" s="323"/>
      <c r="H2462" s="323"/>
    </row>
    <row r="2463" spans="1:9" ht="11.1" customHeight="1" outlineLevel="1">
      <c r="A2463" s="325" t="s">
        <v>1067</v>
      </c>
      <c r="B2463" s="325" t="s">
        <v>1320</v>
      </c>
      <c r="C2463" s="325" t="s">
        <v>1321</v>
      </c>
      <c r="D2463" s="325" t="s">
        <v>20</v>
      </c>
      <c r="E2463" s="326">
        <v>4</v>
      </c>
      <c r="F2463" s="327">
        <v>1069.3</v>
      </c>
      <c r="G2463" s="328"/>
      <c r="H2463" s="160" t="s">
        <v>1322</v>
      </c>
      <c r="I2463" s="324" t="s">
        <v>1070</v>
      </c>
    </row>
    <row r="2464" spans="1:9" ht="11.1" customHeight="1" outlineLevel="1">
      <c r="A2464" s="325" t="s">
        <v>1067</v>
      </c>
      <c r="B2464" s="325" t="s">
        <v>4408</v>
      </c>
      <c r="C2464" s="325" t="s">
        <v>4409</v>
      </c>
      <c r="D2464" s="325" t="s">
        <v>20</v>
      </c>
      <c r="E2464" s="326">
        <v>2</v>
      </c>
      <c r="F2464" s="331">
        <v>244</v>
      </c>
      <c r="G2464" s="328"/>
      <c r="H2464" s="325" t="s">
        <v>4410</v>
      </c>
      <c r="I2464" s="324" t="s">
        <v>1070</v>
      </c>
    </row>
    <row r="2465" spans="1:9" ht="11.1" customHeight="1" outlineLevel="1">
      <c r="A2465" s="325" t="s">
        <v>1067</v>
      </c>
      <c r="B2465" s="325" t="s">
        <v>4411</v>
      </c>
      <c r="C2465" s="325" t="s">
        <v>4412</v>
      </c>
      <c r="D2465" s="325" t="s">
        <v>20</v>
      </c>
      <c r="E2465" s="326">
        <v>1</v>
      </c>
      <c r="F2465" s="331">
        <v>317</v>
      </c>
      <c r="G2465" s="328"/>
      <c r="H2465" s="328" t="s">
        <v>1555</v>
      </c>
      <c r="I2465" s="324" t="s">
        <v>1070</v>
      </c>
    </row>
    <row r="2466" spans="1:9" ht="11.1" customHeight="1" outlineLevel="1">
      <c r="A2466" s="325" t="s">
        <v>1067</v>
      </c>
      <c r="B2466" s="325" t="s">
        <v>2697</v>
      </c>
      <c r="C2466" s="325" t="s">
        <v>2698</v>
      </c>
      <c r="D2466" s="325" t="s">
        <v>20</v>
      </c>
      <c r="E2466" s="326">
        <v>2</v>
      </c>
      <c r="F2466" s="331">
        <v>454</v>
      </c>
      <c r="G2466" s="328"/>
      <c r="H2466" s="160" t="s">
        <v>1589</v>
      </c>
      <c r="I2466" s="324" t="s">
        <v>1070</v>
      </c>
    </row>
    <row r="2467" spans="1:9" ht="11.1" customHeight="1" outlineLevel="1">
      <c r="A2467" s="325" t="s">
        <v>1067</v>
      </c>
      <c r="B2467" s="325" t="s">
        <v>1587</v>
      </c>
      <c r="C2467" s="325" t="s">
        <v>1588</v>
      </c>
      <c r="D2467" s="325" t="s">
        <v>20</v>
      </c>
      <c r="E2467" s="326">
        <v>6</v>
      </c>
      <c r="F2467" s="327">
        <v>1608</v>
      </c>
      <c r="G2467" s="328"/>
      <c r="H2467" s="160" t="s">
        <v>1589</v>
      </c>
      <c r="I2467" s="324" t="s">
        <v>1070</v>
      </c>
    </row>
    <row r="2468" spans="1:9" ht="11.1" customHeight="1" outlineLevel="1">
      <c r="A2468" s="325" t="s">
        <v>1067</v>
      </c>
      <c r="B2468" s="325" t="s">
        <v>4413</v>
      </c>
      <c r="C2468" s="325" t="s">
        <v>4414</v>
      </c>
      <c r="D2468" s="325" t="s">
        <v>20</v>
      </c>
      <c r="E2468" s="326">
        <v>2</v>
      </c>
      <c r="F2468" s="331">
        <v>754</v>
      </c>
      <c r="G2468" s="328"/>
      <c r="H2468" s="160" t="s">
        <v>1589</v>
      </c>
      <c r="I2468" s="324" t="s">
        <v>1070</v>
      </c>
    </row>
    <row r="2469" spans="1:9" ht="11.1" customHeight="1" outlineLevel="1">
      <c r="A2469" s="325" t="s">
        <v>1067</v>
      </c>
      <c r="B2469" s="325" t="s">
        <v>4415</v>
      </c>
      <c r="C2469" s="325" t="s">
        <v>4416</v>
      </c>
      <c r="D2469" s="325" t="s">
        <v>20</v>
      </c>
      <c r="E2469" s="326">
        <v>2</v>
      </c>
      <c r="F2469" s="331">
        <v>264</v>
      </c>
      <c r="G2469" s="328"/>
      <c r="H2469" s="160" t="s">
        <v>560</v>
      </c>
      <c r="I2469" s="324" t="s">
        <v>1070</v>
      </c>
    </row>
    <row r="2470" spans="1:9" ht="11.1" customHeight="1" outlineLevel="1">
      <c r="A2470" s="325" t="s">
        <v>1067</v>
      </c>
      <c r="B2470" s="325" t="s">
        <v>4417</v>
      </c>
      <c r="C2470" s="325" t="s">
        <v>4418</v>
      </c>
      <c r="D2470" s="325" t="s">
        <v>20</v>
      </c>
      <c r="E2470" s="326">
        <v>2</v>
      </c>
      <c r="F2470" s="331">
        <v>180</v>
      </c>
      <c r="G2470" s="328"/>
      <c r="H2470" s="160" t="s">
        <v>560</v>
      </c>
      <c r="I2470" s="324" t="s">
        <v>1070</v>
      </c>
    </row>
    <row r="2471" spans="1:9" ht="11.1" customHeight="1" outlineLevel="1">
      <c r="A2471" s="325" t="s">
        <v>1067</v>
      </c>
      <c r="B2471" s="325" t="s">
        <v>4419</v>
      </c>
      <c r="C2471" s="325" t="s">
        <v>4420</v>
      </c>
      <c r="D2471" s="325" t="s">
        <v>20</v>
      </c>
      <c r="E2471" s="326">
        <v>2</v>
      </c>
      <c r="F2471" s="331">
        <v>370</v>
      </c>
      <c r="G2471" s="328"/>
      <c r="H2471" s="328" t="s">
        <v>4421</v>
      </c>
      <c r="I2471" s="324" t="s">
        <v>1070</v>
      </c>
    </row>
    <row r="2472" spans="1:9" ht="11.1" customHeight="1" outlineLevel="1">
      <c r="A2472" s="325" t="s">
        <v>1067</v>
      </c>
      <c r="B2472" s="325" t="s">
        <v>1942</v>
      </c>
      <c r="C2472" s="325" t="s">
        <v>1943</v>
      </c>
      <c r="D2472" s="325" t="s">
        <v>20</v>
      </c>
      <c r="E2472" s="326">
        <v>1</v>
      </c>
      <c r="F2472" s="331">
        <v>91</v>
      </c>
      <c r="G2472" s="328"/>
      <c r="H2472" s="328" t="s">
        <v>1147</v>
      </c>
      <c r="I2472" s="324" t="s">
        <v>21</v>
      </c>
    </row>
    <row r="2473" spans="1:9" ht="11.1" customHeight="1" outlineLevel="1">
      <c r="A2473" s="325" t="s">
        <v>1067</v>
      </c>
      <c r="B2473" s="325" t="s">
        <v>1944</v>
      </c>
      <c r="C2473" s="325" t="s">
        <v>1945</v>
      </c>
      <c r="D2473" s="325" t="s">
        <v>20</v>
      </c>
      <c r="E2473" s="326">
        <v>2</v>
      </c>
      <c r="F2473" s="331">
        <v>158</v>
      </c>
      <c r="G2473" s="328"/>
      <c r="H2473" s="328" t="s">
        <v>1946</v>
      </c>
      <c r="I2473" s="324" t="s">
        <v>1070</v>
      </c>
    </row>
    <row r="2474" spans="1:9" ht="11.1" customHeight="1" outlineLevel="1">
      <c r="A2474" s="325" t="s">
        <v>1067</v>
      </c>
      <c r="B2474" s="325" t="s">
        <v>4422</v>
      </c>
      <c r="C2474" s="325" t="s">
        <v>4423</v>
      </c>
      <c r="D2474" s="325" t="s">
        <v>20</v>
      </c>
      <c r="E2474" s="326">
        <v>5</v>
      </c>
      <c r="F2474" s="331">
        <v>200</v>
      </c>
      <c r="G2474" s="328"/>
      <c r="H2474" s="160" t="s">
        <v>657</v>
      </c>
      <c r="I2474" s="324" t="s">
        <v>1307</v>
      </c>
    </row>
    <row r="2475" spans="1:9" ht="11.1" customHeight="1">
      <c r="A2475" s="320" t="s">
        <v>4424</v>
      </c>
      <c r="B2475" s="320"/>
      <c r="C2475" s="320"/>
      <c r="D2475" s="320"/>
      <c r="E2475" s="321">
        <v>0.93400000000000005</v>
      </c>
      <c r="F2475" s="322">
        <v>35218.339999999997</v>
      </c>
      <c r="G2475" s="323"/>
      <c r="H2475" s="323"/>
    </row>
    <row r="2476" spans="1:9" ht="11.1" customHeight="1" outlineLevel="1">
      <c r="A2476" s="325" t="s">
        <v>1067</v>
      </c>
      <c r="B2476" s="325" t="s">
        <v>1095</v>
      </c>
      <c r="C2476" s="325" t="s">
        <v>1096</v>
      </c>
      <c r="D2476" s="325" t="s">
        <v>517</v>
      </c>
      <c r="E2476" s="326">
        <v>0.56000000000000005</v>
      </c>
      <c r="F2476" s="327">
        <v>23450</v>
      </c>
      <c r="G2476" s="328"/>
      <c r="H2476" s="160" t="s">
        <v>1029</v>
      </c>
      <c r="I2476" s="330" t="s">
        <v>1087</v>
      </c>
    </row>
    <row r="2477" spans="1:9" ht="11.1" customHeight="1" outlineLevel="1">
      <c r="A2477" s="325" t="s">
        <v>1067</v>
      </c>
      <c r="B2477" s="325" t="s">
        <v>1127</v>
      </c>
      <c r="C2477" s="325" t="s">
        <v>1128</v>
      </c>
      <c r="D2477" s="325" t="s">
        <v>1115</v>
      </c>
      <c r="E2477" s="326">
        <v>0.374</v>
      </c>
      <c r="F2477" s="327">
        <v>11768.34</v>
      </c>
      <c r="G2477" s="328"/>
      <c r="H2477" s="328" t="s">
        <v>1126</v>
      </c>
      <c r="I2477" s="330" t="s">
        <v>1087</v>
      </c>
    </row>
    <row r="2478" spans="1:9" ht="12.95" customHeight="1">
      <c r="A2478" s="338" t="s">
        <v>4425</v>
      </c>
      <c r="B2478" s="338"/>
      <c r="C2478" s="338"/>
      <c r="D2478" s="338"/>
      <c r="E2478" s="339">
        <v>2290191.7429999998</v>
      </c>
      <c r="F2478" s="340">
        <v>32732655.960000001</v>
      </c>
      <c r="G2478" s="338"/>
      <c r="H2478" s="338"/>
    </row>
    <row r="2479" spans="1:9" ht="11.45" customHeight="1">
      <c r="H2479" s="328"/>
    </row>
  </sheetData>
  <autoFilter ref="A2:I2478" xr:uid="{75E212DE-5101-4B3E-B0BD-987BB705248D}"/>
  <dataValidations count="1">
    <dataValidation type="list" allowBlank="1" showInputMessage="1" showErrorMessage="1" sqref="H278:H281 H1234:H1235 H1624:H1625 H1860 H319:H320 H1257 H1110 H312 H1247:H1248 H1641:H1642 H775 H1264 H331 H366 H432:H433 H1128" xr:uid="{0BD9C75F-DC19-4BBF-B020-9D39F6D39720}">
      <formula1>МШП_СПИСОК</formula1>
    </dataValidation>
  </dataValidations>
  <pageMargins left="0.39370078740157483" right="0.39370078740157483" top="0.39370078740157483" bottom="0.39370078740157483" header="0" footer="0"/>
  <pageSetup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872B-9883-4B18-B7DC-65A45CB32C44}">
  <dimension ref="A1:E901"/>
  <sheetViews>
    <sheetView zoomScale="70" zoomScaleNormal="70" workbookViewId="0">
      <pane xSplit="1" ySplit="1" topLeftCell="B2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B1" sqref="B1:B1048576"/>
    </sheetView>
  </sheetViews>
  <sheetFormatPr defaultColWidth="9.140625" defaultRowHeight="15.75"/>
  <cols>
    <col min="1" max="1" width="9.140625" style="343"/>
    <col min="2" max="2" width="73.85546875" style="343" customWidth="1"/>
    <col min="3" max="3" width="75.28515625" style="343" customWidth="1"/>
    <col min="4" max="4" width="14.42578125" style="343" customWidth="1"/>
    <col min="5" max="5" width="45" style="343" customWidth="1"/>
  </cols>
  <sheetData>
    <row r="1" spans="1:5" ht="15.75" customHeight="1">
      <c r="A1" s="341" t="s">
        <v>4426</v>
      </c>
      <c r="B1" s="342" t="s">
        <v>4427</v>
      </c>
      <c r="C1" s="342" t="s">
        <v>1064</v>
      </c>
      <c r="D1" s="342" t="s">
        <v>4428</v>
      </c>
      <c r="E1" s="342" t="s">
        <v>4429</v>
      </c>
    </row>
    <row r="2" spans="1:5">
      <c r="A2" s="343">
        <v>1</v>
      </c>
      <c r="B2" s="344" t="s">
        <v>4430</v>
      </c>
      <c r="C2" s="344" t="s">
        <v>1708</v>
      </c>
      <c r="D2" s="344" t="s">
        <v>20</v>
      </c>
      <c r="E2" s="345" t="s">
        <v>4431</v>
      </c>
    </row>
    <row r="3" spans="1:5">
      <c r="A3" s="343">
        <v>2</v>
      </c>
      <c r="B3" s="344" t="s">
        <v>2079</v>
      </c>
      <c r="C3" s="344" t="s">
        <v>4432</v>
      </c>
      <c r="D3" s="344" t="s">
        <v>20</v>
      </c>
      <c r="E3" s="345" t="s">
        <v>4431</v>
      </c>
    </row>
    <row r="4" spans="1:5">
      <c r="A4" s="343">
        <v>3</v>
      </c>
      <c r="B4" s="344" t="s">
        <v>4433</v>
      </c>
      <c r="C4" s="344" t="s">
        <v>4434</v>
      </c>
      <c r="D4" s="344" t="s">
        <v>20</v>
      </c>
      <c r="E4" s="345" t="s">
        <v>4431</v>
      </c>
    </row>
    <row r="5" spans="1:5">
      <c r="A5" s="343">
        <v>4</v>
      </c>
      <c r="B5" s="344" t="s">
        <v>1440</v>
      </c>
      <c r="C5" s="344" t="s">
        <v>1440</v>
      </c>
      <c r="D5" s="344" t="s">
        <v>20</v>
      </c>
      <c r="E5" s="345" t="s">
        <v>1105</v>
      </c>
    </row>
    <row r="6" spans="1:5">
      <c r="A6" s="343">
        <v>5</v>
      </c>
      <c r="B6" s="344" t="s">
        <v>1443</v>
      </c>
      <c r="C6" s="344" t="s">
        <v>1443</v>
      </c>
      <c r="D6" s="344" t="s">
        <v>20</v>
      </c>
      <c r="E6" s="345" t="s">
        <v>1105</v>
      </c>
    </row>
    <row r="7" spans="1:5">
      <c r="A7" s="343">
        <v>6</v>
      </c>
      <c r="B7" s="344" t="s">
        <v>4435</v>
      </c>
      <c r="C7" s="344" t="s">
        <v>807</v>
      </c>
      <c r="D7" s="344" t="s">
        <v>20</v>
      </c>
      <c r="E7" s="345" t="s">
        <v>4431</v>
      </c>
    </row>
    <row r="8" spans="1:5">
      <c r="A8" s="343">
        <v>7</v>
      </c>
      <c r="B8" s="344" t="s">
        <v>4436</v>
      </c>
      <c r="C8" s="344" t="s">
        <v>1595</v>
      </c>
      <c r="D8" s="344" t="s">
        <v>20</v>
      </c>
      <c r="E8" s="345" t="s">
        <v>4431</v>
      </c>
    </row>
    <row r="9" spans="1:5">
      <c r="A9" s="343">
        <v>8</v>
      </c>
      <c r="B9" s="344" t="s">
        <v>4437</v>
      </c>
      <c r="C9" s="344" t="s">
        <v>4438</v>
      </c>
      <c r="D9" s="344" t="s">
        <v>20</v>
      </c>
      <c r="E9" s="345" t="s">
        <v>4431</v>
      </c>
    </row>
    <row r="10" spans="1:5">
      <c r="A10" s="343">
        <v>9</v>
      </c>
      <c r="B10" s="344" t="s">
        <v>4439</v>
      </c>
      <c r="C10" s="344" t="s">
        <v>1531</v>
      </c>
      <c r="D10" s="344" t="s">
        <v>20</v>
      </c>
      <c r="E10" s="345" t="s">
        <v>4431</v>
      </c>
    </row>
    <row r="11" spans="1:5">
      <c r="A11" s="343">
        <v>10</v>
      </c>
      <c r="B11" s="344" t="s">
        <v>4440</v>
      </c>
      <c r="C11" s="344" t="s">
        <v>4440</v>
      </c>
      <c r="D11" s="344" t="s">
        <v>20</v>
      </c>
      <c r="E11" s="345" t="s">
        <v>4431</v>
      </c>
    </row>
    <row r="12" spans="1:5">
      <c r="A12" s="343">
        <v>11</v>
      </c>
      <c r="B12" s="344" t="s">
        <v>1039</v>
      </c>
      <c r="C12" s="344" t="s">
        <v>1039</v>
      </c>
      <c r="D12" s="344" t="s">
        <v>20</v>
      </c>
      <c r="E12" s="345" t="s">
        <v>1105</v>
      </c>
    </row>
    <row r="13" spans="1:5">
      <c r="A13" s="343">
        <v>12</v>
      </c>
      <c r="B13" s="344" t="s">
        <v>4441</v>
      </c>
      <c r="C13" s="344" t="s">
        <v>1508</v>
      </c>
      <c r="D13" s="344" t="s">
        <v>20</v>
      </c>
      <c r="E13" s="345" t="s">
        <v>4431</v>
      </c>
    </row>
    <row r="14" spans="1:5">
      <c r="A14" s="343">
        <v>13</v>
      </c>
      <c r="B14" s="344" t="s">
        <v>4442</v>
      </c>
      <c r="C14" s="344" t="s">
        <v>1555</v>
      </c>
      <c r="D14" s="344" t="s">
        <v>20</v>
      </c>
      <c r="E14" s="345" t="s">
        <v>1105</v>
      </c>
    </row>
    <row r="15" spans="1:5">
      <c r="A15" s="343">
        <v>14</v>
      </c>
      <c r="B15" s="344" t="s">
        <v>4443</v>
      </c>
      <c r="C15" s="344" t="s">
        <v>657</v>
      </c>
      <c r="D15" s="344" t="s">
        <v>20</v>
      </c>
      <c r="E15" s="345" t="s">
        <v>4431</v>
      </c>
    </row>
    <row r="16" spans="1:5">
      <c r="A16" s="343">
        <v>15</v>
      </c>
      <c r="B16" s="344" t="s">
        <v>4444</v>
      </c>
      <c r="C16" s="344" t="s">
        <v>4444</v>
      </c>
      <c r="D16" s="344" t="s">
        <v>20</v>
      </c>
      <c r="E16" s="345" t="s">
        <v>4431</v>
      </c>
    </row>
    <row r="17" spans="1:5">
      <c r="A17" s="343">
        <v>16</v>
      </c>
      <c r="B17" s="344" t="s">
        <v>4445</v>
      </c>
      <c r="C17" s="344" t="s">
        <v>1589</v>
      </c>
      <c r="D17" s="344" t="s">
        <v>20</v>
      </c>
      <c r="E17" s="345" t="s">
        <v>4431</v>
      </c>
    </row>
    <row r="18" spans="1:5">
      <c r="A18" s="343">
        <v>17</v>
      </c>
      <c r="B18" s="344" t="s">
        <v>4446</v>
      </c>
      <c r="C18" s="344" t="s">
        <v>4446</v>
      </c>
      <c r="D18" s="344" t="s">
        <v>20</v>
      </c>
      <c r="E18" s="345" t="s">
        <v>4431</v>
      </c>
    </row>
    <row r="19" spans="1:5">
      <c r="A19" s="343">
        <v>18</v>
      </c>
      <c r="B19" s="344" t="s">
        <v>4447</v>
      </c>
      <c r="C19" s="344" t="s">
        <v>4447</v>
      </c>
      <c r="D19" s="344" t="s">
        <v>20</v>
      </c>
      <c r="E19" s="345" t="s">
        <v>4431</v>
      </c>
    </row>
    <row r="20" spans="1:5">
      <c r="A20" s="343">
        <v>19</v>
      </c>
      <c r="B20" s="344" t="s">
        <v>4448</v>
      </c>
      <c r="C20" s="344" t="s">
        <v>1618</v>
      </c>
      <c r="D20" s="344" t="s">
        <v>20</v>
      </c>
      <c r="E20" s="345" t="s">
        <v>4431</v>
      </c>
    </row>
    <row r="21" spans="1:5">
      <c r="A21" s="343">
        <v>20</v>
      </c>
      <c r="B21" s="344" t="s">
        <v>4449</v>
      </c>
      <c r="C21" s="344" t="s">
        <v>4449</v>
      </c>
      <c r="D21" s="344" t="s">
        <v>20</v>
      </c>
      <c r="E21" s="345" t="s">
        <v>1105</v>
      </c>
    </row>
    <row r="22" spans="1:5">
      <c r="A22" s="343">
        <v>21</v>
      </c>
      <c r="B22" s="344" t="s">
        <v>4450</v>
      </c>
      <c r="C22" s="344" t="s">
        <v>4450</v>
      </c>
      <c r="D22" s="344" t="s">
        <v>20</v>
      </c>
      <c r="E22" s="345" t="s">
        <v>1105</v>
      </c>
    </row>
    <row r="23" spans="1:5">
      <c r="A23" s="343">
        <v>22</v>
      </c>
      <c r="B23" s="344" t="s">
        <v>4451</v>
      </c>
      <c r="C23" s="344" t="s">
        <v>4451</v>
      </c>
      <c r="D23" s="344" t="s">
        <v>20</v>
      </c>
      <c r="E23" s="345" t="s">
        <v>4431</v>
      </c>
    </row>
    <row r="24" spans="1:5">
      <c r="A24" s="343">
        <v>23</v>
      </c>
      <c r="B24" s="344" t="s">
        <v>4452</v>
      </c>
      <c r="C24" s="344" t="s">
        <v>560</v>
      </c>
      <c r="D24" s="344" t="s">
        <v>20</v>
      </c>
      <c r="E24" s="345" t="s">
        <v>4431</v>
      </c>
    </row>
    <row r="25" spans="1:5">
      <c r="A25" s="343">
        <v>24</v>
      </c>
      <c r="B25" s="344" t="s">
        <v>4453</v>
      </c>
      <c r="C25" s="344" t="s">
        <v>560</v>
      </c>
      <c r="D25" s="344" t="s">
        <v>20</v>
      </c>
      <c r="E25" s="345" t="s">
        <v>4431</v>
      </c>
    </row>
    <row r="26" spans="1:5">
      <c r="A26" s="343">
        <v>25</v>
      </c>
      <c r="B26" s="344" t="s">
        <v>4454</v>
      </c>
      <c r="C26" s="344" t="s">
        <v>4454</v>
      </c>
      <c r="D26" s="344" t="s">
        <v>20</v>
      </c>
      <c r="E26" s="345" t="s">
        <v>4431</v>
      </c>
    </row>
    <row r="27" spans="1:5">
      <c r="A27" s="343">
        <v>26</v>
      </c>
      <c r="B27" s="344" t="s">
        <v>4455</v>
      </c>
      <c r="C27" s="344" t="s">
        <v>1718</v>
      </c>
      <c r="D27" s="344" t="s">
        <v>20</v>
      </c>
      <c r="E27" s="345" t="s">
        <v>4431</v>
      </c>
    </row>
    <row r="28" spans="1:5">
      <c r="A28" s="343">
        <v>27</v>
      </c>
      <c r="B28" s="344" t="s">
        <v>4456</v>
      </c>
      <c r="C28" s="344" t="s">
        <v>4457</v>
      </c>
      <c r="D28" s="344" t="s">
        <v>295</v>
      </c>
      <c r="E28" s="345" t="s">
        <v>4431</v>
      </c>
    </row>
    <row r="29" spans="1:5">
      <c r="A29" s="343">
        <v>28</v>
      </c>
      <c r="B29" s="344" t="s">
        <v>4458</v>
      </c>
      <c r="C29" s="344" t="s">
        <v>4458</v>
      </c>
      <c r="D29" s="344" t="s">
        <v>20</v>
      </c>
      <c r="E29" s="345" t="s">
        <v>4431</v>
      </c>
    </row>
    <row r="30" spans="1:5">
      <c r="A30" s="343">
        <v>29</v>
      </c>
      <c r="B30" s="344" t="s">
        <v>4459</v>
      </c>
      <c r="C30" s="344" t="s">
        <v>4459</v>
      </c>
      <c r="D30" s="344" t="s">
        <v>20</v>
      </c>
      <c r="E30" s="345" t="s">
        <v>1105</v>
      </c>
    </row>
    <row r="31" spans="1:5">
      <c r="A31" s="343">
        <v>30</v>
      </c>
      <c r="B31" s="344" t="s">
        <v>4460</v>
      </c>
      <c r="C31" s="344" t="s">
        <v>1799</v>
      </c>
      <c r="D31" s="344" t="s">
        <v>20</v>
      </c>
      <c r="E31" s="345" t="s">
        <v>1105</v>
      </c>
    </row>
    <row r="32" spans="1:5">
      <c r="A32" s="343">
        <v>31</v>
      </c>
      <c r="B32" s="344" t="s">
        <v>4461</v>
      </c>
      <c r="C32" s="344" t="s">
        <v>1786</v>
      </c>
      <c r="D32" s="344" t="s">
        <v>20</v>
      </c>
      <c r="E32" s="345" t="s">
        <v>4431</v>
      </c>
    </row>
    <row r="33" spans="1:5">
      <c r="A33" s="343">
        <v>32</v>
      </c>
      <c r="B33" s="344" t="s">
        <v>4462</v>
      </c>
      <c r="C33" s="344" t="s">
        <v>576</v>
      </c>
      <c r="D33" s="344" t="s">
        <v>20</v>
      </c>
      <c r="E33" s="345" t="s">
        <v>4431</v>
      </c>
    </row>
    <row r="34" spans="1:5">
      <c r="A34" s="343">
        <v>33</v>
      </c>
      <c r="B34" s="344" t="s">
        <v>4463</v>
      </c>
      <c r="C34" s="344" t="s">
        <v>557</v>
      </c>
      <c r="D34" s="344" t="s">
        <v>20</v>
      </c>
      <c r="E34" s="345" t="s">
        <v>4431</v>
      </c>
    </row>
    <row r="35" spans="1:5">
      <c r="A35" s="343">
        <v>34</v>
      </c>
      <c r="B35" s="344" t="s">
        <v>4464</v>
      </c>
      <c r="C35" s="344" t="s">
        <v>557</v>
      </c>
      <c r="D35" s="344" t="s">
        <v>20</v>
      </c>
      <c r="E35" s="345" t="s">
        <v>4431</v>
      </c>
    </row>
    <row r="36" spans="1:5">
      <c r="A36" s="343">
        <v>35</v>
      </c>
      <c r="B36" s="344" t="s">
        <v>4465</v>
      </c>
      <c r="C36" s="344" t="s">
        <v>557</v>
      </c>
      <c r="D36" s="344" t="s">
        <v>20</v>
      </c>
      <c r="E36" s="345" t="s">
        <v>4431</v>
      </c>
    </row>
    <row r="37" spans="1:5">
      <c r="A37" s="343">
        <v>36</v>
      </c>
      <c r="B37" s="344" t="s">
        <v>4466</v>
      </c>
      <c r="C37" s="344" t="s">
        <v>1895</v>
      </c>
      <c r="D37" s="344" t="s">
        <v>20</v>
      </c>
      <c r="E37" s="345" t="s">
        <v>1105</v>
      </c>
    </row>
    <row r="38" spans="1:5">
      <c r="A38" s="343">
        <v>37</v>
      </c>
      <c r="B38" s="344" t="s">
        <v>4467</v>
      </c>
      <c r="C38" s="344" t="s">
        <v>1895</v>
      </c>
      <c r="D38" s="344" t="s">
        <v>20</v>
      </c>
      <c r="E38" s="345" t="s">
        <v>4431</v>
      </c>
    </row>
    <row r="39" spans="1:5">
      <c r="A39" s="343">
        <v>38</v>
      </c>
      <c r="B39" s="344" t="s">
        <v>4468</v>
      </c>
      <c r="C39" s="344" t="s">
        <v>573</v>
      </c>
      <c r="D39" s="344" t="s">
        <v>20</v>
      </c>
      <c r="E39" s="345" t="s">
        <v>4431</v>
      </c>
    </row>
    <row r="40" spans="1:5">
      <c r="A40" s="343">
        <v>39</v>
      </c>
      <c r="B40" s="344" t="s">
        <v>4469</v>
      </c>
      <c r="C40" s="344" t="s">
        <v>573</v>
      </c>
      <c r="D40" s="344" t="s">
        <v>20</v>
      </c>
      <c r="E40" s="345" t="s">
        <v>4431</v>
      </c>
    </row>
    <row r="41" spans="1:5">
      <c r="A41" s="343">
        <v>40</v>
      </c>
      <c r="B41" s="344" t="s">
        <v>4470</v>
      </c>
      <c r="C41" s="344" t="s">
        <v>573</v>
      </c>
      <c r="D41" s="344" t="s">
        <v>20</v>
      </c>
      <c r="E41" s="345" t="s">
        <v>4431</v>
      </c>
    </row>
    <row r="42" spans="1:5">
      <c r="A42" s="343">
        <v>41</v>
      </c>
      <c r="B42" s="344" t="s">
        <v>4471</v>
      </c>
      <c r="C42" s="344" t="s">
        <v>573</v>
      </c>
      <c r="D42" s="344" t="s">
        <v>20</v>
      </c>
      <c r="E42" s="345" t="s">
        <v>4431</v>
      </c>
    </row>
    <row r="43" spans="1:5">
      <c r="A43" s="343">
        <v>42</v>
      </c>
      <c r="B43" s="344" t="s">
        <v>4472</v>
      </c>
      <c r="C43" s="344" t="s">
        <v>573</v>
      </c>
      <c r="D43" s="344" t="s">
        <v>20</v>
      </c>
      <c r="E43" s="345" t="s">
        <v>4431</v>
      </c>
    </row>
    <row r="44" spans="1:5">
      <c r="A44" s="343">
        <v>43</v>
      </c>
      <c r="B44" s="344" t="s">
        <v>4473</v>
      </c>
      <c r="C44" s="344" t="s">
        <v>573</v>
      </c>
      <c r="D44" s="344" t="s">
        <v>20</v>
      </c>
      <c r="E44" s="345" t="s">
        <v>4431</v>
      </c>
    </row>
    <row r="45" spans="1:5">
      <c r="A45" s="343">
        <v>44</v>
      </c>
      <c r="B45" s="344" t="s">
        <v>4474</v>
      </c>
      <c r="C45" s="344" t="s">
        <v>4457</v>
      </c>
      <c r="D45" s="344" t="s">
        <v>295</v>
      </c>
      <c r="E45" s="345" t="s">
        <v>4431</v>
      </c>
    </row>
    <row r="46" spans="1:5">
      <c r="A46" s="343">
        <v>45</v>
      </c>
      <c r="B46" s="344" t="s">
        <v>4475</v>
      </c>
      <c r="C46" s="344" t="s">
        <v>4475</v>
      </c>
      <c r="D46" s="344" t="s">
        <v>20</v>
      </c>
      <c r="E46" s="345" t="s">
        <v>4431</v>
      </c>
    </row>
    <row r="47" spans="1:5" ht="13.5" customHeight="1">
      <c r="A47" s="343">
        <v>46</v>
      </c>
      <c r="B47" s="343" t="s">
        <v>4476</v>
      </c>
      <c r="C47" s="344" t="s">
        <v>657</v>
      </c>
      <c r="D47" s="343" t="s">
        <v>20</v>
      </c>
      <c r="E47" s="346" t="s">
        <v>4431</v>
      </c>
    </row>
    <row r="48" spans="1:5">
      <c r="A48" s="343">
        <v>47</v>
      </c>
      <c r="B48" s="343" t="s">
        <v>4477</v>
      </c>
      <c r="C48" s="343" t="s">
        <v>4477</v>
      </c>
      <c r="D48" s="343" t="s">
        <v>20</v>
      </c>
      <c r="E48" s="346" t="s">
        <v>425</v>
      </c>
    </row>
    <row r="49" spans="1:5">
      <c r="A49" s="343">
        <v>48</v>
      </c>
      <c r="B49" s="344" t="s">
        <v>4478</v>
      </c>
      <c r="C49" s="344" t="s">
        <v>571</v>
      </c>
      <c r="D49" s="344" t="s">
        <v>20</v>
      </c>
      <c r="E49" s="345" t="s">
        <v>2119</v>
      </c>
    </row>
    <row r="50" spans="1:5">
      <c r="A50" s="343">
        <v>49</v>
      </c>
      <c r="B50" s="344" t="s">
        <v>4479</v>
      </c>
      <c r="C50" s="344" t="s">
        <v>571</v>
      </c>
      <c r="D50" s="344" t="s">
        <v>20</v>
      </c>
      <c r="E50" s="345" t="s">
        <v>2119</v>
      </c>
    </row>
    <row r="51" spans="1:5">
      <c r="A51" s="343">
        <v>50</v>
      </c>
      <c r="B51" s="344" t="s">
        <v>4480</v>
      </c>
      <c r="C51" s="344" t="s">
        <v>571</v>
      </c>
      <c r="D51" s="344" t="s">
        <v>20</v>
      </c>
      <c r="E51" s="345" t="s">
        <v>2119</v>
      </c>
    </row>
    <row r="52" spans="1:5">
      <c r="A52" s="343">
        <v>51</v>
      </c>
      <c r="B52" s="344" t="s">
        <v>4481</v>
      </c>
      <c r="C52" s="344" t="s">
        <v>571</v>
      </c>
      <c r="D52" s="344" t="s">
        <v>20</v>
      </c>
      <c r="E52" s="345" t="s">
        <v>2119</v>
      </c>
    </row>
    <row r="53" spans="1:5">
      <c r="A53" s="343">
        <v>52</v>
      </c>
      <c r="B53" s="344" t="s">
        <v>4482</v>
      </c>
      <c r="C53" s="344" t="s">
        <v>571</v>
      </c>
      <c r="D53" s="344" t="s">
        <v>20</v>
      </c>
      <c r="E53" s="345" t="s">
        <v>2119</v>
      </c>
    </row>
    <row r="54" spans="1:5">
      <c r="A54" s="343">
        <v>53</v>
      </c>
      <c r="B54" s="344" t="s">
        <v>4483</v>
      </c>
      <c r="C54" s="344" t="s">
        <v>571</v>
      </c>
      <c r="D54" s="344" t="s">
        <v>20</v>
      </c>
      <c r="E54" s="345" t="s">
        <v>2119</v>
      </c>
    </row>
    <row r="55" spans="1:5">
      <c r="A55" s="343">
        <v>54</v>
      </c>
      <c r="B55" s="344" t="s">
        <v>4484</v>
      </c>
      <c r="C55" s="344" t="s">
        <v>571</v>
      </c>
      <c r="D55" s="344" t="s">
        <v>20</v>
      </c>
      <c r="E55" s="345" t="s">
        <v>2119</v>
      </c>
    </row>
    <row r="56" spans="1:5">
      <c r="A56" s="343">
        <v>55</v>
      </c>
      <c r="B56" s="344" t="s">
        <v>4485</v>
      </c>
      <c r="C56" s="344" t="s">
        <v>571</v>
      </c>
      <c r="D56" s="344" t="s">
        <v>20</v>
      </c>
      <c r="E56" s="345" t="s">
        <v>2119</v>
      </c>
    </row>
    <row r="57" spans="1:5">
      <c r="A57" s="343">
        <v>56</v>
      </c>
      <c r="B57" s="344" t="s">
        <v>4486</v>
      </c>
      <c r="C57" s="344" t="s">
        <v>571</v>
      </c>
      <c r="D57" s="344" t="s">
        <v>20</v>
      </c>
      <c r="E57" s="345" t="s">
        <v>2119</v>
      </c>
    </row>
    <row r="58" spans="1:5">
      <c r="A58" s="343">
        <v>57</v>
      </c>
      <c r="B58" s="344" t="s">
        <v>4487</v>
      </c>
      <c r="C58" s="344" t="s">
        <v>571</v>
      </c>
      <c r="D58" s="344" t="s">
        <v>20</v>
      </c>
      <c r="E58" s="345" t="s">
        <v>2119</v>
      </c>
    </row>
    <row r="59" spans="1:5">
      <c r="A59" s="343">
        <v>58</v>
      </c>
      <c r="B59" s="344" t="s">
        <v>4488</v>
      </c>
      <c r="C59" s="344" t="s">
        <v>571</v>
      </c>
      <c r="D59" s="344" t="s">
        <v>20</v>
      </c>
      <c r="E59" s="345" t="s">
        <v>2119</v>
      </c>
    </row>
    <row r="60" spans="1:5">
      <c r="A60" s="343">
        <v>59</v>
      </c>
      <c r="B60" s="344" t="s">
        <v>4489</v>
      </c>
      <c r="C60" s="344" t="s">
        <v>571</v>
      </c>
      <c r="D60" s="344" t="s">
        <v>20</v>
      </c>
      <c r="E60" s="345" t="s">
        <v>2119</v>
      </c>
    </row>
    <row r="61" spans="1:5">
      <c r="A61" s="343">
        <v>60</v>
      </c>
      <c r="B61" s="344" t="s">
        <v>4490</v>
      </c>
      <c r="C61" s="344" t="s">
        <v>571</v>
      </c>
      <c r="D61" s="344" t="s">
        <v>20</v>
      </c>
      <c r="E61" s="345" t="s">
        <v>2119</v>
      </c>
    </row>
    <row r="62" spans="1:5">
      <c r="A62" s="343">
        <v>61</v>
      </c>
      <c r="B62" s="344" t="s">
        <v>4491</v>
      </c>
      <c r="C62" s="344" t="s">
        <v>571</v>
      </c>
      <c r="D62" s="344" t="s">
        <v>20</v>
      </c>
      <c r="E62" s="345" t="s">
        <v>2119</v>
      </c>
    </row>
    <row r="63" spans="1:5">
      <c r="A63" s="343">
        <v>62</v>
      </c>
      <c r="B63" s="344" t="s">
        <v>4492</v>
      </c>
      <c r="C63" s="344" t="s">
        <v>571</v>
      </c>
      <c r="D63" s="344" t="s">
        <v>20</v>
      </c>
      <c r="E63" s="345" t="s">
        <v>2119</v>
      </c>
    </row>
    <row r="64" spans="1:5">
      <c r="A64" s="343">
        <v>63</v>
      </c>
      <c r="B64" s="344" t="s">
        <v>4493</v>
      </c>
      <c r="C64" s="344" t="s">
        <v>571</v>
      </c>
      <c r="D64" s="344" t="s">
        <v>20</v>
      </c>
      <c r="E64" s="345" t="s">
        <v>2119</v>
      </c>
    </row>
    <row r="65" spans="1:5">
      <c r="A65" s="343">
        <v>64</v>
      </c>
      <c r="B65" s="344" t="s">
        <v>4494</v>
      </c>
      <c r="C65" s="344" t="s">
        <v>4495</v>
      </c>
      <c r="D65" s="344" t="s">
        <v>20</v>
      </c>
      <c r="E65" s="345" t="s">
        <v>2119</v>
      </c>
    </row>
    <row r="66" spans="1:5">
      <c r="A66" s="343">
        <v>65</v>
      </c>
      <c r="B66" s="344" t="s">
        <v>4496</v>
      </c>
      <c r="C66" s="344" t="s">
        <v>4495</v>
      </c>
      <c r="D66" s="344" t="s">
        <v>20</v>
      </c>
      <c r="E66" s="345" t="s">
        <v>2119</v>
      </c>
    </row>
    <row r="67" spans="1:5">
      <c r="A67" s="343">
        <v>66</v>
      </c>
      <c r="B67" s="344" t="s">
        <v>4497</v>
      </c>
      <c r="C67" s="344" t="s">
        <v>4495</v>
      </c>
      <c r="D67" s="344" t="s">
        <v>20</v>
      </c>
      <c r="E67" s="345" t="s">
        <v>2119</v>
      </c>
    </row>
    <row r="68" spans="1:5">
      <c r="A68" s="343">
        <v>67</v>
      </c>
      <c r="B68" s="344" t="s">
        <v>4498</v>
      </c>
      <c r="C68" s="344" t="s">
        <v>568</v>
      </c>
      <c r="D68" s="344" t="s">
        <v>20</v>
      </c>
      <c r="E68" s="345" t="s">
        <v>2119</v>
      </c>
    </row>
    <row r="69" spans="1:5">
      <c r="A69" s="343">
        <v>68</v>
      </c>
      <c r="B69" s="344" t="s">
        <v>4499</v>
      </c>
      <c r="C69" s="344" t="s">
        <v>568</v>
      </c>
      <c r="D69" s="344" t="s">
        <v>20</v>
      </c>
      <c r="E69" s="345" t="s">
        <v>2119</v>
      </c>
    </row>
    <row r="70" spans="1:5">
      <c r="A70" s="343">
        <v>69</v>
      </c>
      <c r="B70" s="344" t="s">
        <v>4500</v>
      </c>
      <c r="C70" s="344" t="s">
        <v>568</v>
      </c>
      <c r="D70" s="344" t="s">
        <v>20</v>
      </c>
      <c r="E70" s="345" t="s">
        <v>2119</v>
      </c>
    </row>
    <row r="71" spans="1:5">
      <c r="A71" s="343">
        <v>70</v>
      </c>
      <c r="B71" s="344" t="s">
        <v>4501</v>
      </c>
      <c r="C71" s="344" t="s">
        <v>568</v>
      </c>
      <c r="D71" s="344" t="s">
        <v>20</v>
      </c>
      <c r="E71" s="345" t="s">
        <v>2119</v>
      </c>
    </row>
    <row r="72" spans="1:5">
      <c r="A72" s="343">
        <v>71</v>
      </c>
      <c r="B72" s="344" t="s">
        <v>4502</v>
      </c>
      <c r="C72" s="344" t="s">
        <v>568</v>
      </c>
      <c r="D72" s="344" t="s">
        <v>20</v>
      </c>
      <c r="E72" s="345" t="s">
        <v>2119</v>
      </c>
    </row>
    <row r="73" spans="1:5">
      <c r="A73" s="343">
        <v>72</v>
      </c>
      <c r="B73" s="344" t="s">
        <v>4503</v>
      </c>
      <c r="C73" s="344" t="s">
        <v>568</v>
      </c>
      <c r="D73" s="344" t="s">
        <v>20</v>
      </c>
      <c r="E73" s="345" t="s">
        <v>2119</v>
      </c>
    </row>
    <row r="74" spans="1:5">
      <c r="A74" s="343">
        <v>73</v>
      </c>
      <c r="B74" s="344" t="s">
        <v>4504</v>
      </c>
      <c r="C74" s="344" t="s">
        <v>4505</v>
      </c>
      <c r="D74" s="344" t="s">
        <v>20</v>
      </c>
      <c r="E74" s="345" t="s">
        <v>2119</v>
      </c>
    </row>
    <row r="75" spans="1:5">
      <c r="A75" s="343">
        <v>74</v>
      </c>
      <c r="B75" s="344" t="s">
        <v>4506</v>
      </c>
      <c r="C75" s="344" t="s">
        <v>569</v>
      </c>
      <c r="D75" s="344" t="s">
        <v>20</v>
      </c>
      <c r="E75" s="345" t="s">
        <v>2119</v>
      </c>
    </row>
    <row r="76" spans="1:5">
      <c r="A76" s="343">
        <v>75</v>
      </c>
      <c r="B76" s="344" t="s">
        <v>4507</v>
      </c>
      <c r="C76" s="344" t="s">
        <v>569</v>
      </c>
      <c r="D76" s="344" t="s">
        <v>20</v>
      </c>
      <c r="E76" s="345" t="s">
        <v>2119</v>
      </c>
    </row>
    <row r="77" spans="1:5">
      <c r="A77" s="343">
        <v>76</v>
      </c>
      <c r="B77" s="344" t="s">
        <v>4508</v>
      </c>
      <c r="C77" s="344" t="s">
        <v>568</v>
      </c>
      <c r="D77" s="344" t="s">
        <v>20</v>
      </c>
      <c r="E77" s="345" t="s">
        <v>2119</v>
      </c>
    </row>
    <row r="78" spans="1:5">
      <c r="A78" s="343">
        <v>77</v>
      </c>
      <c r="B78" s="344" t="s">
        <v>4509</v>
      </c>
      <c r="C78" s="344" t="s">
        <v>1430</v>
      </c>
      <c r="D78" s="344" t="s">
        <v>20</v>
      </c>
      <c r="E78" s="345" t="s">
        <v>2119</v>
      </c>
    </row>
    <row r="79" spans="1:5">
      <c r="A79" s="343">
        <v>78</v>
      </c>
      <c r="B79" s="344" t="s">
        <v>4510</v>
      </c>
      <c r="C79" s="344" t="s">
        <v>1430</v>
      </c>
      <c r="D79" s="344" t="s">
        <v>20</v>
      </c>
      <c r="E79" s="345" t="s">
        <v>2119</v>
      </c>
    </row>
    <row r="80" spans="1:5">
      <c r="A80" s="343">
        <v>79</v>
      </c>
      <c r="B80" s="344" t="s">
        <v>4511</v>
      </c>
      <c r="C80" s="344" t="s">
        <v>568</v>
      </c>
      <c r="D80" s="344" t="s">
        <v>20</v>
      </c>
      <c r="E80" s="345" t="s">
        <v>2119</v>
      </c>
    </row>
    <row r="81" spans="1:5">
      <c r="A81" s="343">
        <v>80</v>
      </c>
      <c r="B81" s="344" t="s">
        <v>4512</v>
      </c>
      <c r="C81" s="344" t="s">
        <v>569</v>
      </c>
      <c r="D81" s="344" t="s">
        <v>20</v>
      </c>
      <c r="E81" s="345" t="s">
        <v>2119</v>
      </c>
    </row>
    <row r="82" spans="1:5">
      <c r="A82" s="343">
        <v>81</v>
      </c>
      <c r="B82" s="344" t="s">
        <v>4513</v>
      </c>
      <c r="C82" s="344" t="s">
        <v>569</v>
      </c>
      <c r="D82" s="344" t="s">
        <v>20</v>
      </c>
      <c r="E82" s="345" t="s">
        <v>2119</v>
      </c>
    </row>
    <row r="83" spans="1:5">
      <c r="A83" s="343">
        <v>82</v>
      </c>
      <c r="B83" s="344" t="s">
        <v>4514</v>
      </c>
      <c r="C83" s="344" t="s">
        <v>569</v>
      </c>
      <c r="D83" s="344" t="s">
        <v>20</v>
      </c>
      <c r="E83" s="345" t="s">
        <v>2119</v>
      </c>
    </row>
    <row r="84" spans="1:5">
      <c r="A84" s="343">
        <v>83</v>
      </c>
      <c r="B84" s="344" t="s">
        <v>4515</v>
      </c>
      <c r="C84" s="344" t="s">
        <v>569</v>
      </c>
      <c r="D84" s="344" t="s">
        <v>20</v>
      </c>
      <c r="E84" s="345" t="s">
        <v>2119</v>
      </c>
    </row>
    <row r="85" spans="1:5">
      <c r="A85" s="343">
        <v>84</v>
      </c>
      <c r="B85" s="344" t="s">
        <v>4516</v>
      </c>
      <c r="C85" s="344" t="s">
        <v>569</v>
      </c>
      <c r="D85" s="344" t="s">
        <v>20</v>
      </c>
      <c r="E85" s="345" t="s">
        <v>2119</v>
      </c>
    </row>
    <row r="86" spans="1:5">
      <c r="A86" s="343">
        <v>85</v>
      </c>
      <c r="B86" s="344" t="s">
        <v>4517</v>
      </c>
      <c r="C86" s="344" t="s">
        <v>569</v>
      </c>
      <c r="D86" s="344" t="s">
        <v>20</v>
      </c>
      <c r="E86" s="345" t="s">
        <v>2119</v>
      </c>
    </row>
    <row r="87" spans="1:5">
      <c r="A87" s="343">
        <v>86</v>
      </c>
      <c r="B87" s="344" t="s">
        <v>4518</v>
      </c>
      <c r="C87" s="344" t="s">
        <v>569</v>
      </c>
      <c r="D87" s="344" t="s">
        <v>20</v>
      </c>
      <c r="E87" s="345" t="s">
        <v>2119</v>
      </c>
    </row>
    <row r="88" spans="1:5">
      <c r="A88" s="343">
        <v>87</v>
      </c>
      <c r="B88" s="344" t="s">
        <v>4519</v>
      </c>
      <c r="C88" s="344" t="s">
        <v>569</v>
      </c>
      <c r="D88" s="344" t="s">
        <v>20</v>
      </c>
      <c r="E88" s="345" t="s">
        <v>2119</v>
      </c>
    </row>
    <row r="89" spans="1:5">
      <c r="A89" s="343">
        <v>88</v>
      </c>
      <c r="B89" s="344" t="s">
        <v>4520</v>
      </c>
      <c r="C89" s="344" t="s">
        <v>568</v>
      </c>
      <c r="D89" s="344" t="s">
        <v>20</v>
      </c>
      <c r="E89" s="345" t="s">
        <v>2119</v>
      </c>
    </row>
    <row r="90" spans="1:5">
      <c r="A90" s="343">
        <v>89</v>
      </c>
      <c r="B90" s="344" t="s">
        <v>4521</v>
      </c>
      <c r="C90" s="344" t="s">
        <v>571</v>
      </c>
      <c r="D90" s="344" t="s">
        <v>20</v>
      </c>
      <c r="E90" s="345" t="s">
        <v>2119</v>
      </c>
    </row>
    <row r="91" spans="1:5">
      <c r="A91" s="343">
        <v>90</v>
      </c>
      <c r="B91" s="344" t="s">
        <v>4522</v>
      </c>
      <c r="C91" s="344" t="s">
        <v>767</v>
      </c>
      <c r="D91" s="344" t="s">
        <v>20</v>
      </c>
      <c r="E91" s="345" t="s">
        <v>2119</v>
      </c>
    </row>
    <row r="92" spans="1:5">
      <c r="A92" s="343">
        <v>91</v>
      </c>
      <c r="B92" s="344" t="s">
        <v>4523</v>
      </c>
      <c r="C92" s="344" t="s">
        <v>551</v>
      </c>
      <c r="D92" s="344" t="s">
        <v>20</v>
      </c>
      <c r="E92" s="345" t="s">
        <v>289</v>
      </c>
    </row>
    <row r="93" spans="1:5">
      <c r="A93" s="343">
        <v>92</v>
      </c>
      <c r="B93" s="343" t="s">
        <v>4524</v>
      </c>
      <c r="C93" s="343" t="s">
        <v>4525</v>
      </c>
      <c r="D93" s="343" t="s">
        <v>20</v>
      </c>
      <c r="E93" s="346" t="s">
        <v>425</v>
      </c>
    </row>
    <row r="94" spans="1:5">
      <c r="A94" s="343">
        <v>93</v>
      </c>
      <c r="B94" s="343" t="s">
        <v>4526</v>
      </c>
      <c r="C94" s="343" t="s">
        <v>4527</v>
      </c>
      <c r="D94" s="343" t="s">
        <v>20</v>
      </c>
      <c r="E94" s="346" t="s">
        <v>425</v>
      </c>
    </row>
    <row r="95" spans="1:5">
      <c r="A95" s="343">
        <v>94</v>
      </c>
      <c r="B95" s="344" t="s">
        <v>4528</v>
      </c>
      <c r="C95" s="344" t="s">
        <v>551</v>
      </c>
      <c r="D95" s="344" t="s">
        <v>20</v>
      </c>
      <c r="E95" s="345" t="s">
        <v>289</v>
      </c>
    </row>
    <row r="96" spans="1:5">
      <c r="A96" s="343">
        <v>95</v>
      </c>
      <c r="B96" s="343" t="s">
        <v>4529</v>
      </c>
      <c r="C96" s="343" t="s">
        <v>4530</v>
      </c>
      <c r="D96" s="343" t="s">
        <v>20</v>
      </c>
      <c r="E96" s="346" t="s">
        <v>425</v>
      </c>
    </row>
    <row r="97" spans="1:5">
      <c r="A97" s="343">
        <v>96</v>
      </c>
      <c r="B97" s="344" t="s">
        <v>4531</v>
      </c>
      <c r="C97" s="344" t="s">
        <v>4531</v>
      </c>
      <c r="D97" s="344" t="s">
        <v>20</v>
      </c>
      <c r="E97" s="345" t="s">
        <v>289</v>
      </c>
    </row>
    <row r="98" spans="1:5">
      <c r="A98" s="343">
        <v>97</v>
      </c>
      <c r="B98" s="343" t="s">
        <v>4532</v>
      </c>
      <c r="C98" s="343" t="s">
        <v>1546</v>
      </c>
      <c r="D98" s="343" t="s">
        <v>20</v>
      </c>
      <c r="E98" s="346" t="s">
        <v>289</v>
      </c>
    </row>
    <row r="99" spans="1:5">
      <c r="A99" s="343">
        <v>98</v>
      </c>
      <c r="B99" s="343" t="s">
        <v>4533</v>
      </c>
      <c r="C99" s="343" t="s">
        <v>4534</v>
      </c>
      <c r="D99" s="343" t="s">
        <v>20</v>
      </c>
      <c r="E99" s="346" t="s">
        <v>425</v>
      </c>
    </row>
    <row r="100" spans="1:5">
      <c r="A100" s="343">
        <v>99</v>
      </c>
      <c r="B100" s="343" t="s">
        <v>4535</v>
      </c>
      <c r="C100" s="343" t="s">
        <v>1054</v>
      </c>
      <c r="D100" s="343" t="s">
        <v>20</v>
      </c>
      <c r="E100" s="346" t="s">
        <v>4431</v>
      </c>
    </row>
    <row r="101" spans="1:5">
      <c r="A101" s="343">
        <v>100</v>
      </c>
      <c r="B101" s="343" t="s">
        <v>4536</v>
      </c>
      <c r="C101" s="343" t="s">
        <v>4537</v>
      </c>
      <c r="D101" s="343" t="s">
        <v>20</v>
      </c>
      <c r="E101" s="346" t="s">
        <v>425</v>
      </c>
    </row>
    <row r="102" spans="1:5">
      <c r="A102" s="343">
        <v>101</v>
      </c>
      <c r="B102" s="343" t="s">
        <v>4538</v>
      </c>
      <c r="C102" s="343" t="s">
        <v>4539</v>
      </c>
      <c r="D102" s="343" t="s">
        <v>20</v>
      </c>
      <c r="E102" s="346" t="s">
        <v>425</v>
      </c>
    </row>
    <row r="103" spans="1:5">
      <c r="A103" s="343">
        <v>102</v>
      </c>
      <c r="B103" s="343" t="s">
        <v>4540</v>
      </c>
      <c r="C103" s="343" t="s">
        <v>3138</v>
      </c>
      <c r="D103" s="343" t="s">
        <v>20</v>
      </c>
      <c r="E103" s="346" t="s">
        <v>425</v>
      </c>
    </row>
    <row r="104" spans="1:5">
      <c r="A104" s="343">
        <v>103</v>
      </c>
      <c r="B104" s="343" t="s">
        <v>4541</v>
      </c>
      <c r="C104" s="343" t="s">
        <v>3138</v>
      </c>
      <c r="D104" s="343" t="s">
        <v>20</v>
      </c>
      <c r="E104" s="346" t="s">
        <v>425</v>
      </c>
    </row>
    <row r="105" spans="1:5">
      <c r="A105" s="343">
        <v>104</v>
      </c>
      <c r="B105" s="343" t="s">
        <v>4542</v>
      </c>
      <c r="C105" s="343" t="s">
        <v>3138</v>
      </c>
      <c r="D105" s="343" t="s">
        <v>20</v>
      </c>
      <c r="E105" s="346" t="s">
        <v>425</v>
      </c>
    </row>
    <row r="106" spans="1:5">
      <c r="A106" s="343">
        <v>105</v>
      </c>
      <c r="B106" s="343" t="s">
        <v>4543</v>
      </c>
      <c r="C106" s="343" t="s">
        <v>3138</v>
      </c>
      <c r="D106" s="343" t="s">
        <v>20</v>
      </c>
      <c r="E106" s="346" t="s">
        <v>425</v>
      </c>
    </row>
    <row r="107" spans="1:5">
      <c r="A107" s="343">
        <v>106</v>
      </c>
      <c r="B107" s="343" t="s">
        <v>4544</v>
      </c>
      <c r="C107" s="343" t="s">
        <v>3138</v>
      </c>
      <c r="D107" s="343" t="s">
        <v>20</v>
      </c>
      <c r="E107" s="346" t="s">
        <v>425</v>
      </c>
    </row>
    <row r="108" spans="1:5">
      <c r="A108" s="343">
        <v>107</v>
      </c>
      <c r="B108" s="343" t="s">
        <v>4545</v>
      </c>
      <c r="C108" s="343" t="s">
        <v>2052</v>
      </c>
      <c r="D108" s="343" t="s">
        <v>20</v>
      </c>
      <c r="E108" s="346" t="s">
        <v>425</v>
      </c>
    </row>
    <row r="109" spans="1:5">
      <c r="A109" s="343">
        <v>108</v>
      </c>
      <c r="B109" s="343" t="s">
        <v>4546</v>
      </c>
      <c r="C109" s="343" t="s">
        <v>2052</v>
      </c>
      <c r="D109" s="343" t="s">
        <v>20</v>
      </c>
      <c r="E109" s="346" t="s">
        <v>425</v>
      </c>
    </row>
    <row r="110" spans="1:5">
      <c r="A110" s="343">
        <v>109</v>
      </c>
      <c r="B110" s="343" t="s">
        <v>4547</v>
      </c>
      <c r="C110" s="343" t="s">
        <v>2052</v>
      </c>
      <c r="D110" s="343" t="s">
        <v>20</v>
      </c>
      <c r="E110" s="346" t="s">
        <v>425</v>
      </c>
    </row>
    <row r="111" spans="1:5">
      <c r="A111" s="343">
        <v>110</v>
      </c>
      <c r="B111" s="343" t="s">
        <v>4548</v>
      </c>
      <c r="C111" s="343" t="s">
        <v>670</v>
      </c>
      <c r="D111" s="343" t="s">
        <v>20</v>
      </c>
      <c r="E111" s="346" t="s">
        <v>425</v>
      </c>
    </row>
    <row r="112" spans="1:5">
      <c r="A112" s="343">
        <v>111</v>
      </c>
      <c r="B112" s="343" t="s">
        <v>4549</v>
      </c>
      <c r="C112" s="343" t="s">
        <v>670</v>
      </c>
      <c r="D112" s="343" t="s">
        <v>20</v>
      </c>
      <c r="E112" s="346" t="s">
        <v>425</v>
      </c>
    </row>
    <row r="113" spans="1:5">
      <c r="A113" s="343">
        <v>112</v>
      </c>
      <c r="B113" s="343" t="s">
        <v>4550</v>
      </c>
      <c r="C113" s="343" t="s">
        <v>670</v>
      </c>
      <c r="D113" s="343" t="s">
        <v>20</v>
      </c>
      <c r="E113" s="346" t="s">
        <v>425</v>
      </c>
    </row>
    <row r="114" spans="1:5">
      <c r="A114" s="343">
        <v>113</v>
      </c>
      <c r="B114" s="343" t="s">
        <v>4551</v>
      </c>
      <c r="C114" s="343" t="s">
        <v>2606</v>
      </c>
      <c r="D114" s="343" t="s">
        <v>20</v>
      </c>
      <c r="E114" s="346" t="s">
        <v>425</v>
      </c>
    </row>
    <row r="115" spans="1:5">
      <c r="A115" s="343">
        <v>114</v>
      </c>
      <c r="B115" s="343" t="s">
        <v>4552</v>
      </c>
      <c r="C115" s="343" t="s">
        <v>2606</v>
      </c>
      <c r="D115" s="343" t="s">
        <v>20</v>
      </c>
      <c r="E115" s="346" t="s">
        <v>425</v>
      </c>
    </row>
    <row r="116" spans="1:5">
      <c r="A116" s="343">
        <v>115</v>
      </c>
      <c r="B116" s="343" t="s">
        <v>4553</v>
      </c>
      <c r="C116" s="343" t="s">
        <v>2606</v>
      </c>
      <c r="D116" s="343" t="s">
        <v>20</v>
      </c>
      <c r="E116" s="346" t="s">
        <v>425</v>
      </c>
    </row>
    <row r="117" spans="1:5">
      <c r="A117" s="343">
        <v>116</v>
      </c>
      <c r="B117" s="343" t="s">
        <v>4554</v>
      </c>
      <c r="C117" s="343" t="s">
        <v>2606</v>
      </c>
      <c r="D117" s="343" t="s">
        <v>20</v>
      </c>
      <c r="E117" s="346" t="s">
        <v>425</v>
      </c>
    </row>
    <row r="118" spans="1:5">
      <c r="A118" s="343">
        <v>117</v>
      </c>
      <c r="B118" s="343" t="s">
        <v>4555</v>
      </c>
      <c r="C118" s="343" t="s">
        <v>683</v>
      </c>
      <c r="D118" s="343" t="s">
        <v>20</v>
      </c>
      <c r="E118" s="346" t="s">
        <v>425</v>
      </c>
    </row>
    <row r="119" spans="1:5">
      <c r="A119" s="343">
        <v>118</v>
      </c>
      <c r="B119" s="343" t="s">
        <v>4556</v>
      </c>
      <c r="C119" s="343" t="s">
        <v>683</v>
      </c>
      <c r="D119" s="343" t="s">
        <v>20</v>
      </c>
      <c r="E119" s="346" t="s">
        <v>425</v>
      </c>
    </row>
    <row r="120" spans="1:5">
      <c r="A120" s="343">
        <v>119</v>
      </c>
      <c r="B120" s="343" t="s">
        <v>4557</v>
      </c>
      <c r="C120" s="343" t="s">
        <v>1054</v>
      </c>
      <c r="D120" s="343" t="s">
        <v>20</v>
      </c>
      <c r="E120" s="346" t="s">
        <v>4431</v>
      </c>
    </row>
    <row r="121" spans="1:5">
      <c r="A121" s="343">
        <v>120</v>
      </c>
      <c r="B121" s="343" t="s">
        <v>4558</v>
      </c>
      <c r="C121" s="343" t="s">
        <v>1446</v>
      </c>
      <c r="D121" s="343" t="s">
        <v>20</v>
      </c>
      <c r="E121" s="346" t="s">
        <v>425</v>
      </c>
    </row>
    <row r="122" spans="1:5">
      <c r="A122" s="343">
        <v>121</v>
      </c>
      <c r="B122" s="343" t="s">
        <v>4559</v>
      </c>
      <c r="C122" s="343" t="s">
        <v>1446</v>
      </c>
      <c r="D122" s="343" t="s">
        <v>20</v>
      </c>
      <c r="E122" s="346" t="s">
        <v>425</v>
      </c>
    </row>
    <row r="123" spans="1:5">
      <c r="A123" s="343">
        <v>122</v>
      </c>
      <c r="B123" s="343" t="s">
        <v>4560</v>
      </c>
      <c r="C123" s="343" t="s">
        <v>842</v>
      </c>
      <c r="D123" s="343" t="s">
        <v>20</v>
      </c>
      <c r="E123" s="346" t="s">
        <v>425</v>
      </c>
    </row>
    <row r="124" spans="1:5">
      <c r="A124" s="343">
        <v>123</v>
      </c>
      <c r="B124" s="343" t="s">
        <v>4561</v>
      </c>
      <c r="C124" s="343" t="s">
        <v>842</v>
      </c>
      <c r="D124" s="343" t="s">
        <v>20</v>
      </c>
      <c r="E124" s="346" t="s">
        <v>425</v>
      </c>
    </row>
    <row r="125" spans="1:5">
      <c r="A125" s="343">
        <v>124</v>
      </c>
      <c r="B125" s="343" t="s">
        <v>4562</v>
      </c>
      <c r="C125" s="343" t="s">
        <v>834</v>
      </c>
      <c r="D125" s="343" t="s">
        <v>20</v>
      </c>
      <c r="E125" s="346" t="s">
        <v>425</v>
      </c>
    </row>
    <row r="126" spans="1:5">
      <c r="A126" s="343">
        <v>125</v>
      </c>
      <c r="B126" s="343" t="s">
        <v>4563</v>
      </c>
      <c r="C126" s="343" t="s">
        <v>834</v>
      </c>
      <c r="D126" s="343" t="s">
        <v>20</v>
      </c>
      <c r="E126" s="346" t="s">
        <v>425</v>
      </c>
    </row>
    <row r="127" spans="1:5">
      <c r="A127" s="343">
        <v>126</v>
      </c>
      <c r="B127" s="343" t="s">
        <v>4564</v>
      </c>
      <c r="C127" s="343" t="s">
        <v>835</v>
      </c>
      <c r="D127" s="343" t="s">
        <v>20</v>
      </c>
      <c r="E127" s="346" t="s">
        <v>425</v>
      </c>
    </row>
    <row r="128" spans="1:5">
      <c r="A128" s="343">
        <v>127</v>
      </c>
      <c r="B128" s="343" t="s">
        <v>4565</v>
      </c>
      <c r="C128" s="343" t="s">
        <v>835</v>
      </c>
      <c r="D128" s="343" t="s">
        <v>20</v>
      </c>
      <c r="E128" s="346" t="s">
        <v>425</v>
      </c>
    </row>
    <row r="129" spans="1:5">
      <c r="A129" s="343">
        <v>128</v>
      </c>
      <c r="B129" s="344" t="s">
        <v>4566</v>
      </c>
      <c r="C129" s="344" t="s">
        <v>1082</v>
      </c>
      <c r="D129" s="344" t="s">
        <v>20</v>
      </c>
      <c r="E129" s="345" t="s">
        <v>4431</v>
      </c>
    </row>
    <row r="130" spans="1:5">
      <c r="A130" s="343">
        <v>129</v>
      </c>
      <c r="B130" s="343" t="s">
        <v>4567</v>
      </c>
      <c r="C130" s="343" t="s">
        <v>1054</v>
      </c>
      <c r="D130" s="343" t="s">
        <v>20</v>
      </c>
      <c r="E130" s="346" t="s">
        <v>4431</v>
      </c>
    </row>
    <row r="131" spans="1:5">
      <c r="A131" s="343">
        <v>130</v>
      </c>
      <c r="B131" s="343" t="s">
        <v>4568</v>
      </c>
      <c r="C131" s="343" t="s">
        <v>1054</v>
      </c>
      <c r="D131" s="343" t="s">
        <v>20</v>
      </c>
      <c r="E131" s="346" t="s">
        <v>4431</v>
      </c>
    </row>
    <row r="132" spans="1:5">
      <c r="A132" s="343">
        <v>131</v>
      </c>
      <c r="B132" s="343" t="s">
        <v>4569</v>
      </c>
      <c r="C132" s="343" t="s">
        <v>1480</v>
      </c>
      <c r="D132" s="343" t="s">
        <v>20</v>
      </c>
      <c r="E132" s="346" t="s">
        <v>425</v>
      </c>
    </row>
    <row r="133" spans="1:5">
      <c r="A133" s="343">
        <v>132</v>
      </c>
      <c r="B133" s="343" t="s">
        <v>4570</v>
      </c>
      <c r="C133" s="343" t="s">
        <v>2643</v>
      </c>
      <c r="D133" s="343" t="s">
        <v>20</v>
      </c>
      <c r="E133" s="346" t="s">
        <v>425</v>
      </c>
    </row>
    <row r="134" spans="1:5">
      <c r="A134" s="343">
        <v>133</v>
      </c>
      <c r="B134" s="343" t="s">
        <v>4571</v>
      </c>
      <c r="C134" s="343" t="s">
        <v>2643</v>
      </c>
      <c r="D134" s="343" t="s">
        <v>20</v>
      </c>
      <c r="E134" s="346" t="s">
        <v>425</v>
      </c>
    </row>
    <row r="135" spans="1:5">
      <c r="A135" s="343">
        <v>134</v>
      </c>
      <c r="B135" s="343" t="s">
        <v>4572</v>
      </c>
      <c r="C135" s="343" t="s">
        <v>4573</v>
      </c>
      <c r="D135" s="343" t="s">
        <v>20</v>
      </c>
      <c r="E135" s="346" t="s">
        <v>425</v>
      </c>
    </row>
    <row r="136" spans="1:5">
      <c r="A136" s="343">
        <v>135</v>
      </c>
      <c r="B136" s="343" t="s">
        <v>4574</v>
      </c>
      <c r="C136" s="343" t="s">
        <v>4573</v>
      </c>
      <c r="D136" s="343" t="s">
        <v>20</v>
      </c>
      <c r="E136" s="346" t="s">
        <v>425</v>
      </c>
    </row>
    <row r="137" spans="1:5">
      <c r="A137" s="343">
        <v>136</v>
      </c>
      <c r="B137" s="343" t="s">
        <v>4575</v>
      </c>
      <c r="C137" s="343" t="s">
        <v>2160</v>
      </c>
      <c r="D137" s="343" t="s">
        <v>295</v>
      </c>
      <c r="E137" s="346" t="s">
        <v>425</v>
      </c>
    </row>
    <row r="138" spans="1:5">
      <c r="A138" s="343">
        <v>137</v>
      </c>
      <c r="B138" s="343" t="s">
        <v>4576</v>
      </c>
      <c r="C138" s="343" t="s">
        <v>607</v>
      </c>
      <c r="D138" s="343" t="s">
        <v>20</v>
      </c>
      <c r="E138" s="346" t="s">
        <v>425</v>
      </c>
    </row>
    <row r="139" spans="1:5">
      <c r="A139" s="343">
        <v>138</v>
      </c>
      <c r="B139" s="343" t="s">
        <v>4577</v>
      </c>
      <c r="C139" s="344" t="s">
        <v>1520</v>
      </c>
      <c r="D139" s="343" t="s">
        <v>295</v>
      </c>
      <c r="E139" s="346" t="s">
        <v>425</v>
      </c>
    </row>
    <row r="140" spans="1:5">
      <c r="A140" s="343">
        <v>139</v>
      </c>
      <c r="B140" s="343" t="s">
        <v>4578</v>
      </c>
      <c r="C140" s="343" t="s">
        <v>4579</v>
      </c>
      <c r="D140" s="343" t="s">
        <v>20</v>
      </c>
      <c r="E140" s="346" t="s">
        <v>289</v>
      </c>
    </row>
    <row r="141" spans="1:5">
      <c r="A141" s="343">
        <v>140</v>
      </c>
      <c r="B141" s="343" t="s">
        <v>4580</v>
      </c>
      <c r="C141" s="343" t="s">
        <v>4579</v>
      </c>
      <c r="D141" s="343" t="s">
        <v>20</v>
      </c>
      <c r="E141" s="346" t="s">
        <v>425</v>
      </c>
    </row>
    <row r="142" spans="1:5">
      <c r="A142" s="343">
        <v>141</v>
      </c>
      <c r="B142" s="343" t="s">
        <v>4581</v>
      </c>
      <c r="C142" s="343" t="s">
        <v>672</v>
      </c>
      <c r="D142" s="343" t="s">
        <v>20</v>
      </c>
      <c r="E142" s="346" t="s">
        <v>425</v>
      </c>
    </row>
    <row r="143" spans="1:5">
      <c r="A143" s="343">
        <v>142</v>
      </c>
      <c r="B143" s="343" t="s">
        <v>4582</v>
      </c>
      <c r="C143" s="343" t="s">
        <v>672</v>
      </c>
      <c r="D143" s="343" t="s">
        <v>20</v>
      </c>
      <c r="E143" s="346" t="s">
        <v>425</v>
      </c>
    </row>
    <row r="144" spans="1:5">
      <c r="A144" s="343">
        <v>143</v>
      </c>
      <c r="B144" s="343" t="s">
        <v>4583</v>
      </c>
      <c r="C144" s="343" t="s">
        <v>672</v>
      </c>
      <c r="D144" s="343" t="s">
        <v>20</v>
      </c>
      <c r="E144" s="346" t="s">
        <v>425</v>
      </c>
    </row>
    <row r="145" spans="1:5">
      <c r="A145" s="343">
        <v>144</v>
      </c>
      <c r="B145" s="343" t="s">
        <v>4584</v>
      </c>
      <c r="C145" s="343" t="s">
        <v>672</v>
      </c>
      <c r="D145" s="343" t="s">
        <v>20</v>
      </c>
      <c r="E145" s="346" t="s">
        <v>425</v>
      </c>
    </row>
    <row r="146" spans="1:5">
      <c r="A146" s="343">
        <v>145</v>
      </c>
      <c r="B146" s="343" t="s">
        <v>4585</v>
      </c>
      <c r="C146" s="343" t="s">
        <v>1570</v>
      </c>
      <c r="D146" s="343" t="s">
        <v>20</v>
      </c>
      <c r="E146" s="346" t="s">
        <v>425</v>
      </c>
    </row>
    <row r="147" spans="1:5">
      <c r="A147" s="343">
        <v>146</v>
      </c>
      <c r="B147" s="343" t="s">
        <v>4586</v>
      </c>
      <c r="C147" s="343" t="s">
        <v>1570</v>
      </c>
      <c r="D147" s="343" t="s">
        <v>20</v>
      </c>
      <c r="E147" s="346" t="s">
        <v>425</v>
      </c>
    </row>
    <row r="148" spans="1:5">
      <c r="A148" s="343">
        <v>147</v>
      </c>
      <c r="B148" s="343" t="s">
        <v>4587</v>
      </c>
      <c r="C148" s="343" t="s">
        <v>1570</v>
      </c>
      <c r="D148" s="343" t="s">
        <v>20</v>
      </c>
      <c r="E148" s="346" t="s">
        <v>425</v>
      </c>
    </row>
    <row r="149" spans="1:5">
      <c r="A149" s="343">
        <v>148</v>
      </c>
      <c r="B149" s="343" t="s">
        <v>4588</v>
      </c>
      <c r="C149" s="343" t="s">
        <v>1592</v>
      </c>
      <c r="D149" s="343" t="s">
        <v>20</v>
      </c>
      <c r="E149" s="346" t="s">
        <v>425</v>
      </c>
    </row>
    <row r="150" spans="1:5">
      <c r="A150" s="343">
        <v>149</v>
      </c>
      <c r="B150" s="343" t="s">
        <v>1094</v>
      </c>
      <c r="C150" s="343" t="s">
        <v>1094</v>
      </c>
      <c r="D150" s="343" t="s">
        <v>20</v>
      </c>
      <c r="E150" s="346" t="s">
        <v>425</v>
      </c>
    </row>
    <row r="151" spans="1:5">
      <c r="A151" s="343">
        <v>150</v>
      </c>
      <c r="B151" s="343" t="s">
        <v>2704</v>
      </c>
      <c r="C151" s="343" t="s">
        <v>2704</v>
      </c>
      <c r="D151" s="343" t="s">
        <v>20</v>
      </c>
      <c r="E151" s="346" t="s">
        <v>425</v>
      </c>
    </row>
    <row r="152" spans="1:5">
      <c r="A152" s="343">
        <v>151</v>
      </c>
      <c r="B152" s="343" t="s">
        <v>4589</v>
      </c>
      <c r="C152" s="343" t="s">
        <v>4589</v>
      </c>
      <c r="D152" s="343" t="s">
        <v>20</v>
      </c>
      <c r="E152" s="346" t="s">
        <v>425</v>
      </c>
    </row>
    <row r="153" spans="1:5">
      <c r="A153" s="343">
        <v>152</v>
      </c>
      <c r="B153" s="343" t="s">
        <v>1624</v>
      </c>
      <c r="C153" s="343" t="s">
        <v>1624</v>
      </c>
      <c r="D153" s="343" t="s">
        <v>20</v>
      </c>
      <c r="E153" s="346" t="s">
        <v>425</v>
      </c>
    </row>
    <row r="154" spans="1:5">
      <c r="A154" s="343">
        <v>153</v>
      </c>
      <c r="B154" s="343" t="s">
        <v>2724</v>
      </c>
      <c r="C154" s="343" t="s">
        <v>2724</v>
      </c>
      <c r="D154" s="343" t="s">
        <v>20</v>
      </c>
      <c r="E154" s="346" t="s">
        <v>425</v>
      </c>
    </row>
    <row r="155" spans="1:5">
      <c r="A155" s="343">
        <v>154</v>
      </c>
      <c r="B155" s="343" t="s">
        <v>4590</v>
      </c>
      <c r="C155" s="343" t="s">
        <v>2724</v>
      </c>
      <c r="D155" s="343" t="s">
        <v>20</v>
      </c>
      <c r="E155" s="346" t="s">
        <v>425</v>
      </c>
    </row>
    <row r="156" spans="1:5">
      <c r="A156" s="343">
        <v>155</v>
      </c>
      <c r="B156" s="343" t="s">
        <v>4591</v>
      </c>
      <c r="C156" s="343" t="s">
        <v>4591</v>
      </c>
      <c r="D156" s="343" t="s">
        <v>20</v>
      </c>
      <c r="E156" s="346" t="s">
        <v>425</v>
      </c>
    </row>
    <row r="157" spans="1:5">
      <c r="A157" s="343">
        <v>156</v>
      </c>
      <c r="B157" s="343" t="s">
        <v>4592</v>
      </c>
      <c r="C157" s="343" t="s">
        <v>2738</v>
      </c>
      <c r="D157" s="343" t="s">
        <v>20</v>
      </c>
      <c r="E157" s="346" t="s">
        <v>425</v>
      </c>
    </row>
    <row r="158" spans="1:5">
      <c r="A158" s="343">
        <v>157</v>
      </c>
      <c r="B158" s="343" t="s">
        <v>4593</v>
      </c>
      <c r="C158" s="343" t="s">
        <v>1649</v>
      </c>
      <c r="D158" s="343" t="s">
        <v>20</v>
      </c>
      <c r="E158" s="346" t="s">
        <v>425</v>
      </c>
    </row>
    <row r="159" spans="1:5">
      <c r="A159" s="343">
        <v>158</v>
      </c>
      <c r="B159" s="343" t="s">
        <v>4594</v>
      </c>
      <c r="C159" s="343" t="s">
        <v>1652</v>
      </c>
      <c r="D159" s="343" t="s">
        <v>20</v>
      </c>
      <c r="E159" s="346" t="s">
        <v>425</v>
      </c>
    </row>
    <row r="160" spans="1:5">
      <c r="A160" s="343">
        <v>159</v>
      </c>
      <c r="B160" s="343" t="s">
        <v>4595</v>
      </c>
      <c r="C160" s="343" t="s">
        <v>1649</v>
      </c>
      <c r="D160" s="343" t="s">
        <v>20</v>
      </c>
      <c r="E160" s="346" t="s">
        <v>425</v>
      </c>
    </row>
    <row r="161" spans="1:5">
      <c r="A161" s="343">
        <v>160</v>
      </c>
      <c r="B161" s="343" t="s">
        <v>4596</v>
      </c>
      <c r="C161" s="343" t="s">
        <v>3312</v>
      </c>
      <c r="D161" s="343" t="s">
        <v>20</v>
      </c>
      <c r="E161" s="346" t="s">
        <v>425</v>
      </c>
    </row>
    <row r="162" spans="1:5">
      <c r="A162" s="343">
        <v>161</v>
      </c>
      <c r="B162" s="343" t="s">
        <v>4597</v>
      </c>
      <c r="C162" s="343" t="s">
        <v>3312</v>
      </c>
      <c r="D162" s="343" t="s">
        <v>20</v>
      </c>
      <c r="E162" s="346" t="s">
        <v>425</v>
      </c>
    </row>
    <row r="163" spans="1:5">
      <c r="A163" s="343">
        <v>162</v>
      </c>
      <c r="B163" s="343" t="s">
        <v>4598</v>
      </c>
      <c r="C163" s="343" t="s">
        <v>4599</v>
      </c>
      <c r="D163" s="343" t="s">
        <v>20</v>
      </c>
      <c r="E163" s="346" t="s">
        <v>425</v>
      </c>
    </row>
    <row r="164" spans="1:5">
      <c r="A164" s="343">
        <v>163</v>
      </c>
      <c r="B164" s="343" t="s">
        <v>4600</v>
      </c>
      <c r="C164" s="343" t="s">
        <v>1669</v>
      </c>
      <c r="D164" s="343" t="s">
        <v>20</v>
      </c>
      <c r="E164" s="346" t="s">
        <v>425</v>
      </c>
    </row>
    <row r="165" spans="1:5">
      <c r="A165" s="343">
        <v>164</v>
      </c>
      <c r="B165" s="343" t="s">
        <v>4601</v>
      </c>
      <c r="C165" s="343" t="s">
        <v>1669</v>
      </c>
      <c r="D165" s="343" t="s">
        <v>20</v>
      </c>
      <c r="E165" s="346" t="s">
        <v>425</v>
      </c>
    </row>
    <row r="166" spans="1:5">
      <c r="A166" s="343">
        <v>165</v>
      </c>
      <c r="B166" s="343" t="s">
        <v>4602</v>
      </c>
      <c r="C166" s="343" t="s">
        <v>2932</v>
      </c>
      <c r="D166" s="343" t="s">
        <v>20</v>
      </c>
      <c r="E166" s="346" t="s">
        <v>425</v>
      </c>
    </row>
    <row r="167" spans="1:5">
      <c r="A167" s="343">
        <v>166</v>
      </c>
      <c r="B167" s="343" t="s">
        <v>4603</v>
      </c>
      <c r="C167" s="343" t="s">
        <v>3321</v>
      </c>
      <c r="D167" s="343" t="s">
        <v>20</v>
      </c>
      <c r="E167" s="346" t="s">
        <v>425</v>
      </c>
    </row>
    <row r="168" spans="1:5">
      <c r="A168" s="343">
        <v>167</v>
      </c>
      <c r="B168" s="343" t="s">
        <v>4604</v>
      </c>
      <c r="C168" s="343" t="s">
        <v>3321</v>
      </c>
      <c r="D168" s="343" t="s">
        <v>20</v>
      </c>
      <c r="E168" s="346" t="s">
        <v>425</v>
      </c>
    </row>
    <row r="169" spans="1:5">
      <c r="A169" s="343">
        <v>168</v>
      </c>
      <c r="B169" s="343" t="s">
        <v>4605</v>
      </c>
      <c r="C169" s="343" t="s">
        <v>3324</v>
      </c>
      <c r="D169" s="343" t="s">
        <v>20</v>
      </c>
      <c r="E169" s="346" t="s">
        <v>425</v>
      </c>
    </row>
    <row r="170" spans="1:5">
      <c r="A170" s="343">
        <v>169</v>
      </c>
      <c r="B170" s="343" t="s">
        <v>4606</v>
      </c>
      <c r="C170" s="343" t="s">
        <v>4607</v>
      </c>
      <c r="D170" s="343" t="s">
        <v>20</v>
      </c>
      <c r="E170" s="346" t="s">
        <v>425</v>
      </c>
    </row>
    <row r="171" spans="1:5">
      <c r="A171" s="343">
        <v>170</v>
      </c>
      <c r="B171" s="343" t="s">
        <v>4608</v>
      </c>
      <c r="C171" s="343" t="s">
        <v>3328</v>
      </c>
      <c r="D171" s="343" t="s">
        <v>20</v>
      </c>
      <c r="E171" s="346" t="s">
        <v>425</v>
      </c>
    </row>
    <row r="172" spans="1:5">
      <c r="A172" s="343">
        <v>171</v>
      </c>
      <c r="B172" s="343" t="s">
        <v>4609</v>
      </c>
      <c r="C172" s="343" t="s">
        <v>3328</v>
      </c>
      <c r="D172" s="343" t="s">
        <v>20</v>
      </c>
      <c r="E172" s="346" t="s">
        <v>425</v>
      </c>
    </row>
    <row r="173" spans="1:5">
      <c r="A173" s="343">
        <v>172</v>
      </c>
      <c r="B173" s="343" t="s">
        <v>4610</v>
      </c>
      <c r="C173" s="343" t="s">
        <v>1478</v>
      </c>
      <c r="D173" s="343" t="s">
        <v>20</v>
      </c>
      <c r="E173" s="346" t="s">
        <v>425</v>
      </c>
    </row>
    <row r="174" spans="1:5">
      <c r="A174" s="343">
        <v>173</v>
      </c>
      <c r="B174" s="343" t="s">
        <v>4611</v>
      </c>
      <c r="C174" s="343" t="s">
        <v>1478</v>
      </c>
      <c r="D174" s="343" t="s">
        <v>20</v>
      </c>
      <c r="E174" s="346" t="s">
        <v>425</v>
      </c>
    </row>
    <row r="175" spans="1:5">
      <c r="A175" s="343">
        <v>174</v>
      </c>
      <c r="B175" s="343" t="s">
        <v>4612</v>
      </c>
      <c r="C175" s="343" t="s">
        <v>1478</v>
      </c>
      <c r="D175" s="343" t="s">
        <v>20</v>
      </c>
      <c r="E175" s="346" t="s">
        <v>425</v>
      </c>
    </row>
    <row r="176" spans="1:5">
      <c r="A176" s="343">
        <v>175</v>
      </c>
      <c r="B176" s="343" t="s">
        <v>4613</v>
      </c>
      <c r="C176" s="343" t="s">
        <v>1478</v>
      </c>
      <c r="D176" s="343" t="s">
        <v>20</v>
      </c>
      <c r="E176" s="346" t="s">
        <v>425</v>
      </c>
    </row>
    <row r="177" spans="1:5">
      <c r="A177" s="343">
        <v>176</v>
      </c>
      <c r="B177" s="343" t="s">
        <v>4614</v>
      </c>
      <c r="C177" s="343" t="s">
        <v>3392</v>
      </c>
      <c r="D177" s="343" t="s">
        <v>20</v>
      </c>
      <c r="E177" s="346" t="s">
        <v>425</v>
      </c>
    </row>
    <row r="178" spans="1:5">
      <c r="A178" s="343">
        <v>177</v>
      </c>
      <c r="B178" s="343" t="s">
        <v>4615</v>
      </c>
      <c r="C178" s="343" t="s">
        <v>682</v>
      </c>
      <c r="D178" s="343" t="s">
        <v>20</v>
      </c>
      <c r="E178" s="346" t="s">
        <v>425</v>
      </c>
    </row>
    <row r="179" spans="1:5">
      <c r="A179" s="343">
        <v>178</v>
      </c>
      <c r="B179" s="343" t="s">
        <v>4616</v>
      </c>
      <c r="C179" s="343" t="s">
        <v>682</v>
      </c>
      <c r="D179" s="343" t="s">
        <v>20</v>
      </c>
      <c r="E179" s="346" t="s">
        <v>425</v>
      </c>
    </row>
    <row r="180" spans="1:5">
      <c r="A180" s="343">
        <v>179</v>
      </c>
      <c r="B180" s="343" t="s">
        <v>4617</v>
      </c>
      <c r="C180" s="343" t="s">
        <v>1762</v>
      </c>
      <c r="D180" s="343" t="s">
        <v>20</v>
      </c>
      <c r="E180" s="346" t="s">
        <v>425</v>
      </c>
    </row>
    <row r="181" spans="1:5">
      <c r="A181" s="343">
        <v>180</v>
      </c>
      <c r="B181" s="343" t="s">
        <v>4618</v>
      </c>
      <c r="C181" s="343" t="s">
        <v>1762</v>
      </c>
      <c r="D181" s="343" t="s">
        <v>20</v>
      </c>
      <c r="E181" s="346" t="s">
        <v>425</v>
      </c>
    </row>
    <row r="182" spans="1:5">
      <c r="A182" s="343">
        <v>181</v>
      </c>
      <c r="B182" s="343" t="s">
        <v>4619</v>
      </c>
      <c r="C182" s="343" t="s">
        <v>4619</v>
      </c>
      <c r="D182" s="343" t="s">
        <v>20</v>
      </c>
      <c r="E182" s="346" t="s">
        <v>425</v>
      </c>
    </row>
    <row r="183" spans="1:5">
      <c r="A183" s="343">
        <v>182</v>
      </c>
      <c r="B183" s="343" t="s">
        <v>4620</v>
      </c>
      <c r="C183" s="343" t="s">
        <v>4619</v>
      </c>
      <c r="D183" s="343" t="s">
        <v>20</v>
      </c>
      <c r="E183" s="346" t="s">
        <v>425</v>
      </c>
    </row>
    <row r="184" spans="1:5">
      <c r="A184" s="343">
        <v>183</v>
      </c>
      <c r="B184" s="343" t="s">
        <v>4621</v>
      </c>
      <c r="C184" s="344" t="s">
        <v>633</v>
      </c>
      <c r="D184" s="343" t="s">
        <v>20</v>
      </c>
      <c r="E184" s="346" t="s">
        <v>289</v>
      </c>
    </row>
    <row r="185" spans="1:5">
      <c r="A185" s="343">
        <v>184</v>
      </c>
      <c r="B185" s="343" t="s">
        <v>4622</v>
      </c>
      <c r="C185" s="344" t="s">
        <v>633</v>
      </c>
      <c r="D185" s="343" t="s">
        <v>20</v>
      </c>
      <c r="E185" s="346" t="s">
        <v>289</v>
      </c>
    </row>
    <row r="186" spans="1:5">
      <c r="A186" s="343">
        <v>185</v>
      </c>
      <c r="B186" s="344" t="s">
        <v>4623</v>
      </c>
      <c r="C186" s="344" t="s">
        <v>633</v>
      </c>
      <c r="D186" s="344" t="s">
        <v>20</v>
      </c>
      <c r="E186" s="345" t="s">
        <v>289</v>
      </c>
    </row>
    <row r="187" spans="1:5">
      <c r="A187" s="343">
        <v>186</v>
      </c>
      <c r="B187" s="344" t="s">
        <v>4624</v>
      </c>
      <c r="C187" s="344" t="s">
        <v>625</v>
      </c>
      <c r="D187" s="344" t="s">
        <v>20</v>
      </c>
      <c r="E187" s="345" t="s">
        <v>289</v>
      </c>
    </row>
    <row r="188" spans="1:5">
      <c r="A188" s="343">
        <v>187</v>
      </c>
      <c r="B188" s="344" t="s">
        <v>4625</v>
      </c>
      <c r="C188" s="344" t="s">
        <v>4626</v>
      </c>
      <c r="D188" s="344" t="s">
        <v>20</v>
      </c>
      <c r="E188" s="345" t="s">
        <v>289</v>
      </c>
    </row>
    <row r="189" spans="1:5">
      <c r="A189" s="343">
        <v>188</v>
      </c>
      <c r="B189" s="344" t="s">
        <v>4627</v>
      </c>
      <c r="C189" s="344" t="s">
        <v>4626</v>
      </c>
      <c r="D189" s="344" t="s">
        <v>20</v>
      </c>
      <c r="E189" s="345" t="s">
        <v>289</v>
      </c>
    </row>
    <row r="190" spans="1:5">
      <c r="A190" s="343">
        <v>189</v>
      </c>
      <c r="B190" s="344" t="s">
        <v>4628</v>
      </c>
      <c r="C190" s="344" t="s">
        <v>4626</v>
      </c>
      <c r="D190" s="344" t="s">
        <v>20</v>
      </c>
      <c r="E190" s="345" t="s">
        <v>289</v>
      </c>
    </row>
    <row r="191" spans="1:5">
      <c r="A191" s="343">
        <v>190</v>
      </c>
      <c r="B191" s="343" t="s">
        <v>1838</v>
      </c>
      <c r="C191" s="343" t="s">
        <v>1838</v>
      </c>
      <c r="D191" s="343" t="s">
        <v>20</v>
      </c>
      <c r="E191" s="346" t="s">
        <v>425</v>
      </c>
    </row>
    <row r="192" spans="1:5">
      <c r="A192" s="343">
        <v>191</v>
      </c>
      <c r="B192" s="343" t="s">
        <v>4629</v>
      </c>
      <c r="C192" s="343" t="s">
        <v>1838</v>
      </c>
      <c r="D192" s="343" t="s">
        <v>20</v>
      </c>
      <c r="E192" s="346" t="s">
        <v>425</v>
      </c>
    </row>
    <row r="193" spans="1:5">
      <c r="A193" s="343">
        <v>192</v>
      </c>
      <c r="B193" s="343" t="s">
        <v>4630</v>
      </c>
      <c r="C193" s="343" t="s">
        <v>3454</v>
      </c>
      <c r="D193" s="343" t="s">
        <v>20</v>
      </c>
      <c r="E193" s="346" t="s">
        <v>425</v>
      </c>
    </row>
    <row r="194" spans="1:5">
      <c r="A194" s="343">
        <v>193</v>
      </c>
      <c r="B194" s="343" t="s">
        <v>4631</v>
      </c>
      <c r="C194" s="343" t="s">
        <v>2853</v>
      </c>
      <c r="D194" s="343" t="s">
        <v>20</v>
      </c>
      <c r="E194" s="346" t="s">
        <v>425</v>
      </c>
    </row>
    <row r="195" spans="1:5">
      <c r="A195" s="343">
        <v>194</v>
      </c>
      <c r="B195" s="343" t="s">
        <v>4632</v>
      </c>
      <c r="C195" s="343" t="s">
        <v>2853</v>
      </c>
      <c r="D195" s="343" t="s">
        <v>20</v>
      </c>
      <c r="E195" s="346" t="s">
        <v>425</v>
      </c>
    </row>
    <row r="196" spans="1:5">
      <c r="A196" s="343">
        <v>195</v>
      </c>
      <c r="B196" s="343" t="s">
        <v>4633</v>
      </c>
      <c r="C196" s="343" t="s">
        <v>2853</v>
      </c>
      <c r="D196" s="343" t="s">
        <v>20</v>
      </c>
      <c r="E196" s="346" t="s">
        <v>425</v>
      </c>
    </row>
    <row r="197" spans="1:5">
      <c r="A197" s="343">
        <v>196</v>
      </c>
      <c r="B197" s="343" t="s">
        <v>4634</v>
      </c>
      <c r="C197" s="343" t="s">
        <v>2853</v>
      </c>
      <c r="D197" s="343" t="s">
        <v>20</v>
      </c>
      <c r="E197" s="346" t="s">
        <v>425</v>
      </c>
    </row>
    <row r="198" spans="1:5">
      <c r="A198" s="343">
        <v>197</v>
      </c>
      <c r="B198" s="343" t="s">
        <v>4635</v>
      </c>
      <c r="C198" s="343" t="s">
        <v>675</v>
      </c>
      <c r="D198" s="343" t="s">
        <v>20</v>
      </c>
      <c r="E198" s="346" t="s">
        <v>425</v>
      </c>
    </row>
    <row r="199" spans="1:5">
      <c r="A199" s="343">
        <v>198</v>
      </c>
      <c r="B199" s="343" t="s">
        <v>4636</v>
      </c>
      <c r="C199" s="343" t="s">
        <v>675</v>
      </c>
      <c r="D199" s="343" t="s">
        <v>20</v>
      </c>
      <c r="E199" s="346" t="s">
        <v>425</v>
      </c>
    </row>
    <row r="200" spans="1:5">
      <c r="A200" s="343">
        <v>199</v>
      </c>
      <c r="B200" s="343" t="s">
        <v>4637</v>
      </c>
      <c r="C200" s="343" t="s">
        <v>675</v>
      </c>
      <c r="D200" s="343" t="s">
        <v>20</v>
      </c>
      <c r="E200" s="346" t="s">
        <v>425</v>
      </c>
    </row>
    <row r="201" spans="1:5">
      <c r="A201" s="343">
        <v>200</v>
      </c>
      <c r="B201" s="343" t="s">
        <v>4638</v>
      </c>
      <c r="C201" s="343" t="s">
        <v>675</v>
      </c>
      <c r="D201" s="343" t="s">
        <v>20</v>
      </c>
      <c r="E201" s="346" t="s">
        <v>425</v>
      </c>
    </row>
    <row r="202" spans="1:5">
      <c r="A202" s="343">
        <v>201</v>
      </c>
      <c r="B202" s="343" t="s">
        <v>4639</v>
      </c>
      <c r="C202" s="343" t="s">
        <v>675</v>
      </c>
      <c r="D202" s="343" t="s">
        <v>20</v>
      </c>
      <c r="E202" s="346" t="s">
        <v>425</v>
      </c>
    </row>
    <row r="203" spans="1:5">
      <c r="A203" s="343">
        <v>202</v>
      </c>
      <c r="B203" s="343" t="s">
        <v>4640</v>
      </c>
      <c r="C203" s="343" t="s">
        <v>675</v>
      </c>
      <c r="D203" s="343" t="s">
        <v>20</v>
      </c>
      <c r="E203" s="346" t="s">
        <v>425</v>
      </c>
    </row>
    <row r="204" spans="1:5">
      <c r="A204" s="343">
        <v>203</v>
      </c>
      <c r="B204" s="343" t="s">
        <v>4641</v>
      </c>
      <c r="C204" s="343" t="s">
        <v>675</v>
      </c>
      <c r="D204" s="343" t="s">
        <v>20</v>
      </c>
      <c r="E204" s="346" t="s">
        <v>425</v>
      </c>
    </row>
    <row r="205" spans="1:5">
      <c r="A205" s="343">
        <v>204</v>
      </c>
      <c r="B205" s="343" t="s">
        <v>4642</v>
      </c>
      <c r="C205" s="343" t="s">
        <v>675</v>
      </c>
      <c r="D205" s="343" t="s">
        <v>20</v>
      </c>
      <c r="E205" s="346" t="s">
        <v>425</v>
      </c>
    </row>
    <row r="206" spans="1:5">
      <c r="A206" s="343">
        <v>205</v>
      </c>
      <c r="B206" s="343" t="s">
        <v>4643</v>
      </c>
      <c r="C206" s="343" t="s">
        <v>1850</v>
      </c>
      <c r="D206" s="343" t="s">
        <v>20</v>
      </c>
      <c r="E206" s="346" t="s">
        <v>425</v>
      </c>
    </row>
    <row r="207" spans="1:5">
      <c r="A207" s="343">
        <v>206</v>
      </c>
      <c r="B207" s="343" t="s">
        <v>4644</v>
      </c>
      <c r="C207" s="343" t="s">
        <v>1850</v>
      </c>
      <c r="D207" s="343" t="s">
        <v>20</v>
      </c>
      <c r="E207" s="346" t="s">
        <v>425</v>
      </c>
    </row>
    <row r="208" spans="1:5">
      <c r="A208" s="343">
        <v>207</v>
      </c>
      <c r="B208" s="343" t="s">
        <v>4645</v>
      </c>
      <c r="C208" s="343" t="s">
        <v>1850</v>
      </c>
      <c r="D208" s="343" t="s">
        <v>20</v>
      </c>
      <c r="E208" s="346" t="s">
        <v>425</v>
      </c>
    </row>
    <row r="209" spans="1:5">
      <c r="A209" s="343">
        <v>208</v>
      </c>
      <c r="B209" s="343" t="s">
        <v>4646</v>
      </c>
      <c r="C209" s="343" t="s">
        <v>1850</v>
      </c>
      <c r="D209" s="343" t="s">
        <v>20</v>
      </c>
      <c r="E209" s="346" t="s">
        <v>425</v>
      </c>
    </row>
    <row r="210" spans="1:5">
      <c r="A210" s="343">
        <v>209</v>
      </c>
      <c r="B210" s="343" t="s">
        <v>4647</v>
      </c>
      <c r="C210" s="343" t="s">
        <v>675</v>
      </c>
      <c r="D210" s="343" t="s">
        <v>20</v>
      </c>
      <c r="E210" s="346" t="s">
        <v>425</v>
      </c>
    </row>
    <row r="211" spans="1:5">
      <c r="A211" s="343">
        <v>210</v>
      </c>
      <c r="B211" s="343" t="s">
        <v>4648</v>
      </c>
      <c r="C211" s="343" t="s">
        <v>675</v>
      </c>
      <c r="D211" s="343" t="s">
        <v>20</v>
      </c>
      <c r="E211" s="346" t="s">
        <v>425</v>
      </c>
    </row>
    <row r="212" spans="1:5">
      <c r="A212" s="343">
        <v>211</v>
      </c>
      <c r="B212" s="343" t="s">
        <v>4649</v>
      </c>
      <c r="C212" s="343" t="s">
        <v>1850</v>
      </c>
      <c r="D212" s="343" t="s">
        <v>20</v>
      </c>
      <c r="E212" s="346" t="s">
        <v>425</v>
      </c>
    </row>
    <row r="213" spans="1:5">
      <c r="A213" s="343">
        <v>212</v>
      </c>
      <c r="B213" s="343" t="s">
        <v>4650</v>
      </c>
      <c r="C213" s="343" t="s">
        <v>2475</v>
      </c>
      <c r="D213" s="343" t="s">
        <v>20</v>
      </c>
      <c r="E213" s="346" t="s">
        <v>425</v>
      </c>
    </row>
    <row r="214" spans="1:5">
      <c r="A214" s="343">
        <v>213</v>
      </c>
      <c r="B214" s="343" t="s">
        <v>4651</v>
      </c>
      <c r="C214" s="343" t="s">
        <v>2475</v>
      </c>
      <c r="D214" s="343" t="s">
        <v>20</v>
      </c>
      <c r="E214" s="346" t="s">
        <v>425</v>
      </c>
    </row>
    <row r="215" spans="1:5">
      <c r="A215" s="343">
        <v>214</v>
      </c>
      <c r="B215" s="343" t="s">
        <v>4652</v>
      </c>
      <c r="C215" s="343" t="s">
        <v>1112</v>
      </c>
      <c r="D215" s="343" t="s">
        <v>20</v>
      </c>
      <c r="E215" s="346" t="s">
        <v>425</v>
      </c>
    </row>
    <row r="216" spans="1:5">
      <c r="A216" s="343">
        <v>215</v>
      </c>
      <c r="B216" s="343" t="s">
        <v>4653</v>
      </c>
      <c r="C216" s="343" t="s">
        <v>4654</v>
      </c>
      <c r="D216" s="343" t="s">
        <v>20</v>
      </c>
      <c r="E216" s="346" t="s">
        <v>425</v>
      </c>
    </row>
    <row r="217" spans="1:5">
      <c r="A217" s="343">
        <v>216</v>
      </c>
      <c r="B217" s="343" t="s">
        <v>679</v>
      </c>
      <c r="C217" s="343" t="s">
        <v>575</v>
      </c>
      <c r="D217" s="343" t="s">
        <v>20</v>
      </c>
      <c r="E217" s="346" t="s">
        <v>425</v>
      </c>
    </row>
    <row r="218" spans="1:5">
      <c r="A218" s="343">
        <v>217</v>
      </c>
      <c r="B218" s="343" t="s">
        <v>4655</v>
      </c>
      <c r="C218" s="343" t="s">
        <v>575</v>
      </c>
      <c r="D218" s="343" t="s">
        <v>20</v>
      </c>
      <c r="E218" s="346" t="s">
        <v>425</v>
      </c>
    </row>
    <row r="219" spans="1:5">
      <c r="A219" s="343">
        <v>218</v>
      </c>
      <c r="B219" s="343" t="s">
        <v>4656</v>
      </c>
      <c r="C219" s="343" t="s">
        <v>575</v>
      </c>
      <c r="D219" s="343" t="s">
        <v>20</v>
      </c>
      <c r="E219" s="346" t="s">
        <v>425</v>
      </c>
    </row>
    <row r="220" spans="1:5">
      <c r="A220" s="343">
        <v>219</v>
      </c>
      <c r="B220" s="343" t="s">
        <v>4657</v>
      </c>
      <c r="C220" s="343" t="s">
        <v>575</v>
      </c>
      <c r="D220" s="343" t="s">
        <v>20</v>
      </c>
      <c r="E220" s="346" t="s">
        <v>425</v>
      </c>
    </row>
    <row r="221" spans="1:5">
      <c r="A221" s="343">
        <v>220</v>
      </c>
      <c r="B221" s="343" t="s">
        <v>4658</v>
      </c>
      <c r="C221" s="343" t="s">
        <v>656</v>
      </c>
      <c r="D221" s="343" t="s">
        <v>20</v>
      </c>
      <c r="E221" s="346" t="s">
        <v>4431</v>
      </c>
    </row>
    <row r="222" spans="1:5">
      <c r="A222" s="343">
        <v>221</v>
      </c>
      <c r="B222" s="343" t="s">
        <v>4659</v>
      </c>
      <c r="C222" s="343" t="s">
        <v>4660</v>
      </c>
      <c r="D222" s="343" t="s">
        <v>20</v>
      </c>
      <c r="E222" s="346" t="s">
        <v>4431</v>
      </c>
    </row>
    <row r="223" spans="1:5">
      <c r="A223" s="343">
        <v>222</v>
      </c>
      <c r="B223" s="343" t="s">
        <v>4661</v>
      </c>
      <c r="C223" s="343" t="s">
        <v>4662</v>
      </c>
      <c r="D223" s="343" t="s">
        <v>20</v>
      </c>
      <c r="E223" s="346" t="s">
        <v>425</v>
      </c>
    </row>
    <row r="224" spans="1:5">
      <c r="A224" s="343">
        <v>223</v>
      </c>
      <c r="B224" s="343" t="s">
        <v>4663</v>
      </c>
      <c r="C224" s="343" t="s">
        <v>4662</v>
      </c>
      <c r="D224" s="343" t="s">
        <v>20</v>
      </c>
      <c r="E224" s="346" t="s">
        <v>425</v>
      </c>
    </row>
    <row r="225" spans="1:5">
      <c r="A225" s="343">
        <v>224</v>
      </c>
      <c r="B225" s="343" t="s">
        <v>4664</v>
      </c>
      <c r="C225" s="343" t="s">
        <v>4665</v>
      </c>
      <c r="D225" s="343" t="s">
        <v>20</v>
      </c>
      <c r="E225" s="346" t="s">
        <v>425</v>
      </c>
    </row>
    <row r="226" spans="1:5">
      <c r="A226" s="343">
        <v>225</v>
      </c>
      <c r="B226" s="343" t="s">
        <v>1948</v>
      </c>
      <c r="C226" s="343" t="s">
        <v>1948</v>
      </c>
      <c r="D226" s="343" t="s">
        <v>20</v>
      </c>
      <c r="E226" s="346" t="s">
        <v>425</v>
      </c>
    </row>
    <row r="227" spans="1:5">
      <c r="A227" s="343">
        <v>226</v>
      </c>
      <c r="B227" s="343" t="s">
        <v>4666</v>
      </c>
      <c r="C227" s="343" t="s">
        <v>1948</v>
      </c>
      <c r="D227" s="343" t="s">
        <v>20</v>
      </c>
      <c r="E227" s="346" t="s">
        <v>425</v>
      </c>
    </row>
    <row r="228" spans="1:5">
      <c r="A228" s="343">
        <v>227</v>
      </c>
      <c r="B228" s="343" t="s">
        <v>4667</v>
      </c>
      <c r="C228" s="343" t="s">
        <v>1948</v>
      </c>
      <c r="D228" s="343" t="s">
        <v>20</v>
      </c>
      <c r="E228" s="346" t="s">
        <v>425</v>
      </c>
    </row>
    <row r="229" spans="1:5">
      <c r="A229" s="343">
        <v>228</v>
      </c>
      <c r="B229" s="343" t="s">
        <v>4668</v>
      </c>
      <c r="C229" s="343" t="s">
        <v>562</v>
      </c>
      <c r="D229" s="343" t="s">
        <v>20</v>
      </c>
      <c r="E229" s="346" t="s">
        <v>425</v>
      </c>
    </row>
    <row r="230" spans="1:5">
      <c r="A230" s="343">
        <v>229</v>
      </c>
      <c r="B230" s="343" t="s">
        <v>4669</v>
      </c>
      <c r="C230" s="343" t="s">
        <v>562</v>
      </c>
      <c r="D230" s="343" t="s">
        <v>20</v>
      </c>
      <c r="E230" s="346" t="s">
        <v>425</v>
      </c>
    </row>
    <row r="231" spans="1:5">
      <c r="A231" s="343">
        <v>230</v>
      </c>
      <c r="B231" s="343" t="s">
        <v>4670</v>
      </c>
      <c r="C231" s="343" t="s">
        <v>562</v>
      </c>
      <c r="D231" s="343" t="s">
        <v>20</v>
      </c>
      <c r="E231" s="346" t="s">
        <v>425</v>
      </c>
    </row>
    <row r="232" spans="1:5">
      <c r="A232" s="343">
        <v>231</v>
      </c>
      <c r="B232" s="343" t="s">
        <v>4671</v>
      </c>
      <c r="C232" s="343" t="s">
        <v>562</v>
      </c>
      <c r="D232" s="343" t="s">
        <v>20</v>
      </c>
      <c r="E232" s="346" t="s">
        <v>425</v>
      </c>
    </row>
    <row r="233" spans="1:5">
      <c r="A233" s="343">
        <v>232</v>
      </c>
      <c r="B233" s="343" t="s">
        <v>4672</v>
      </c>
      <c r="C233" s="343" t="s">
        <v>562</v>
      </c>
      <c r="D233" s="343" t="s">
        <v>20</v>
      </c>
      <c r="E233" s="346" t="s">
        <v>425</v>
      </c>
    </row>
    <row r="234" spans="1:5">
      <c r="A234" s="343">
        <v>233</v>
      </c>
      <c r="B234" s="343" t="s">
        <v>4673</v>
      </c>
      <c r="C234" s="343" t="s">
        <v>562</v>
      </c>
      <c r="D234" s="343" t="s">
        <v>20</v>
      </c>
      <c r="E234" s="346" t="s">
        <v>425</v>
      </c>
    </row>
    <row r="235" spans="1:5">
      <c r="A235" s="343">
        <v>234</v>
      </c>
      <c r="B235" s="343" t="s">
        <v>4674</v>
      </c>
      <c r="C235" s="343" t="s">
        <v>562</v>
      </c>
      <c r="D235" s="343" t="s">
        <v>20</v>
      </c>
      <c r="E235" s="346" t="s">
        <v>425</v>
      </c>
    </row>
    <row r="236" spans="1:5">
      <c r="A236" s="343">
        <v>235</v>
      </c>
      <c r="B236" s="343" t="s">
        <v>4675</v>
      </c>
      <c r="C236" s="343" t="s">
        <v>562</v>
      </c>
      <c r="D236" s="343" t="s">
        <v>20</v>
      </c>
      <c r="E236" s="346" t="s">
        <v>425</v>
      </c>
    </row>
    <row r="237" spans="1:5">
      <c r="A237" s="343">
        <v>236</v>
      </c>
      <c r="B237" s="343" t="s">
        <v>4676</v>
      </c>
      <c r="C237" s="343" t="s">
        <v>562</v>
      </c>
      <c r="D237" s="343" t="s">
        <v>20</v>
      </c>
      <c r="E237" s="346" t="s">
        <v>425</v>
      </c>
    </row>
    <row r="238" spans="1:5">
      <c r="A238" s="343">
        <v>237</v>
      </c>
      <c r="B238" s="343" t="s">
        <v>4677</v>
      </c>
      <c r="C238" s="343" t="s">
        <v>562</v>
      </c>
      <c r="D238" s="343" t="s">
        <v>20</v>
      </c>
      <c r="E238" s="346" t="s">
        <v>425</v>
      </c>
    </row>
    <row r="239" spans="1:5">
      <c r="A239" s="343">
        <v>238</v>
      </c>
      <c r="B239" s="343" t="s">
        <v>4678</v>
      </c>
      <c r="C239" s="343" t="s">
        <v>4678</v>
      </c>
      <c r="D239" s="343" t="s">
        <v>20</v>
      </c>
      <c r="E239" s="346" t="s">
        <v>425</v>
      </c>
    </row>
    <row r="240" spans="1:5">
      <c r="A240" s="343">
        <v>239</v>
      </c>
      <c r="B240" s="344" t="s">
        <v>4679</v>
      </c>
      <c r="C240" s="344" t="s">
        <v>4680</v>
      </c>
      <c r="D240" s="344" t="s">
        <v>20</v>
      </c>
      <c r="E240" s="345" t="s">
        <v>205</v>
      </c>
    </row>
    <row r="241" spans="1:5">
      <c r="A241" s="343">
        <v>240</v>
      </c>
      <c r="B241" s="344" t="s">
        <v>4681</v>
      </c>
      <c r="C241" s="344" t="s">
        <v>4680</v>
      </c>
      <c r="D241" s="344" t="s">
        <v>20</v>
      </c>
      <c r="E241" s="345" t="s">
        <v>205</v>
      </c>
    </row>
    <row r="242" spans="1:5">
      <c r="A242" s="343">
        <v>241</v>
      </c>
      <c r="B242" s="344" t="s">
        <v>4682</v>
      </c>
      <c r="C242" s="344" t="s">
        <v>4683</v>
      </c>
      <c r="D242" s="344" t="s">
        <v>12</v>
      </c>
      <c r="E242" s="345" t="s">
        <v>205</v>
      </c>
    </row>
    <row r="243" spans="1:5">
      <c r="A243" s="343">
        <v>242</v>
      </c>
      <c r="B243" s="344" t="s">
        <v>598</v>
      </c>
      <c r="C243" s="344" t="s">
        <v>536</v>
      </c>
      <c r="D243" s="344" t="s">
        <v>20</v>
      </c>
      <c r="E243" s="345" t="s">
        <v>1087</v>
      </c>
    </row>
    <row r="244" spans="1:5">
      <c r="A244" s="343">
        <v>243</v>
      </c>
      <c r="B244" s="344" t="s">
        <v>599</v>
      </c>
      <c r="C244" s="344" t="s">
        <v>536</v>
      </c>
      <c r="D244" s="344" t="s">
        <v>20</v>
      </c>
      <c r="E244" s="345" t="s">
        <v>1087</v>
      </c>
    </row>
    <row r="245" spans="1:5">
      <c r="A245" s="343">
        <v>244</v>
      </c>
      <c r="B245" s="344" t="s">
        <v>2591</v>
      </c>
      <c r="C245" s="344" t="s">
        <v>536</v>
      </c>
      <c r="D245" s="344" t="s">
        <v>20</v>
      </c>
      <c r="E245" s="345" t="s">
        <v>1087</v>
      </c>
    </row>
    <row r="246" spans="1:5">
      <c r="A246" s="343">
        <v>245</v>
      </c>
      <c r="B246" s="344" t="s">
        <v>4684</v>
      </c>
      <c r="C246" s="344" t="s">
        <v>536</v>
      </c>
      <c r="D246" s="344" t="s">
        <v>20</v>
      </c>
      <c r="E246" s="345" t="s">
        <v>1087</v>
      </c>
    </row>
    <row r="247" spans="1:5">
      <c r="A247" s="343">
        <v>246</v>
      </c>
      <c r="B247" s="344" t="s">
        <v>716</v>
      </c>
      <c r="C247" s="344" t="s">
        <v>536</v>
      </c>
      <c r="D247" s="344" t="s">
        <v>20</v>
      </c>
      <c r="E247" s="345" t="s">
        <v>1087</v>
      </c>
    </row>
    <row r="248" spans="1:5">
      <c r="A248" s="343">
        <v>247</v>
      </c>
      <c r="B248" s="344" t="s">
        <v>4685</v>
      </c>
      <c r="C248" s="344" t="s">
        <v>541</v>
      </c>
      <c r="D248" s="344" t="s">
        <v>912</v>
      </c>
      <c r="E248" s="345" t="s">
        <v>1087</v>
      </c>
    </row>
    <row r="249" spans="1:5">
      <c r="A249" s="343">
        <v>248</v>
      </c>
      <c r="B249" s="344" t="s">
        <v>4686</v>
      </c>
      <c r="C249" s="344" t="s">
        <v>541</v>
      </c>
      <c r="D249" s="344" t="s">
        <v>912</v>
      </c>
      <c r="E249" s="345" t="s">
        <v>1087</v>
      </c>
    </row>
    <row r="250" spans="1:5">
      <c r="A250" s="343">
        <v>249</v>
      </c>
      <c r="B250" s="344" t="s">
        <v>4687</v>
      </c>
      <c r="C250" s="344" t="s">
        <v>541</v>
      </c>
      <c r="D250" s="344" t="s">
        <v>912</v>
      </c>
      <c r="E250" s="345" t="s">
        <v>1087</v>
      </c>
    </row>
    <row r="251" spans="1:5">
      <c r="A251" s="343">
        <v>250</v>
      </c>
      <c r="B251" s="344" t="s">
        <v>4688</v>
      </c>
      <c r="C251" s="344" t="s">
        <v>541</v>
      </c>
      <c r="D251" s="344" t="s">
        <v>295</v>
      </c>
      <c r="E251" s="345" t="s">
        <v>1105</v>
      </c>
    </row>
    <row r="252" spans="1:5">
      <c r="A252" s="343">
        <v>251</v>
      </c>
      <c r="B252" s="344" t="s">
        <v>4689</v>
      </c>
      <c r="C252" s="344" t="s">
        <v>541</v>
      </c>
      <c r="D252" s="344" t="s">
        <v>262</v>
      </c>
      <c r="E252" s="345" t="s">
        <v>1105</v>
      </c>
    </row>
    <row r="253" spans="1:5">
      <c r="A253" s="343">
        <v>252</v>
      </c>
      <c r="B253" s="344" t="s">
        <v>4690</v>
      </c>
      <c r="C253" s="344" t="s">
        <v>4691</v>
      </c>
      <c r="D253" s="344" t="s">
        <v>20</v>
      </c>
      <c r="E253" s="345" t="s">
        <v>205</v>
      </c>
    </row>
    <row r="254" spans="1:5">
      <c r="A254" s="343">
        <v>253</v>
      </c>
      <c r="B254" s="344" t="s">
        <v>608</v>
      </c>
      <c r="C254" s="344" t="s">
        <v>608</v>
      </c>
      <c r="D254" s="344" t="s">
        <v>12</v>
      </c>
      <c r="E254" s="345" t="s">
        <v>1087</v>
      </c>
    </row>
    <row r="255" spans="1:5">
      <c r="A255" s="343">
        <v>254</v>
      </c>
      <c r="B255" s="344" t="s">
        <v>4692</v>
      </c>
      <c r="C255" s="347" t="s">
        <v>614</v>
      </c>
      <c r="D255" s="344" t="s">
        <v>14</v>
      </c>
      <c r="E255" s="345" t="s">
        <v>205</v>
      </c>
    </row>
    <row r="256" spans="1:5">
      <c r="A256" s="343">
        <v>255</v>
      </c>
      <c r="B256" s="344" t="s">
        <v>4693</v>
      </c>
      <c r="C256" s="344" t="s">
        <v>4694</v>
      </c>
      <c r="D256" s="344" t="s">
        <v>295</v>
      </c>
      <c r="E256" s="345" t="s">
        <v>205</v>
      </c>
    </row>
    <row r="257" spans="1:5">
      <c r="A257" s="343">
        <v>256</v>
      </c>
      <c r="B257" s="344" t="s">
        <v>4695</v>
      </c>
      <c r="C257" s="344" t="s">
        <v>537</v>
      </c>
      <c r="D257" s="344" t="s">
        <v>20</v>
      </c>
      <c r="E257" s="345" t="s">
        <v>1087</v>
      </c>
    </row>
    <row r="258" spans="1:5">
      <c r="A258" s="343">
        <v>257</v>
      </c>
      <c r="B258" s="344" t="s">
        <v>4696</v>
      </c>
      <c r="C258" s="344" t="s">
        <v>537</v>
      </c>
      <c r="D258" s="344" t="s">
        <v>20</v>
      </c>
      <c r="E258" s="345" t="s">
        <v>1087</v>
      </c>
    </row>
    <row r="259" spans="1:5">
      <c r="A259" s="343">
        <v>258</v>
      </c>
      <c r="B259" s="344" t="s">
        <v>4697</v>
      </c>
      <c r="C259" s="344" t="s">
        <v>537</v>
      </c>
      <c r="D259" s="344" t="s">
        <v>20</v>
      </c>
      <c r="E259" s="345" t="s">
        <v>1087</v>
      </c>
    </row>
    <row r="260" spans="1:5">
      <c r="A260" s="343">
        <v>259</v>
      </c>
      <c r="B260" s="344" t="s">
        <v>4698</v>
      </c>
      <c r="C260" s="344" t="s">
        <v>537</v>
      </c>
      <c r="D260" s="344" t="s">
        <v>20</v>
      </c>
      <c r="E260" s="345" t="s">
        <v>1087</v>
      </c>
    </row>
    <row r="261" spans="1:5">
      <c r="A261" s="343">
        <v>260</v>
      </c>
      <c r="B261" s="344" t="s">
        <v>4699</v>
      </c>
      <c r="C261" s="344" t="s">
        <v>537</v>
      </c>
      <c r="D261" s="344" t="s">
        <v>20</v>
      </c>
      <c r="E261" s="345" t="s">
        <v>1087</v>
      </c>
    </row>
    <row r="262" spans="1:5">
      <c r="A262" s="343">
        <v>261</v>
      </c>
      <c r="B262" s="344" t="s">
        <v>4700</v>
      </c>
      <c r="C262" s="344" t="s">
        <v>537</v>
      </c>
      <c r="D262" s="344" t="s">
        <v>20</v>
      </c>
      <c r="E262" s="345" t="s">
        <v>1087</v>
      </c>
    </row>
    <row r="263" spans="1:5">
      <c r="A263" s="343">
        <v>262</v>
      </c>
      <c r="B263" s="343" t="s">
        <v>4701</v>
      </c>
      <c r="C263" s="343" t="s">
        <v>4702</v>
      </c>
      <c r="D263" s="343" t="s">
        <v>20</v>
      </c>
      <c r="E263" s="346" t="s">
        <v>425</v>
      </c>
    </row>
    <row r="264" spans="1:5">
      <c r="A264" s="343">
        <v>263</v>
      </c>
      <c r="B264" s="344" t="s">
        <v>4703</v>
      </c>
      <c r="C264" s="344" t="s">
        <v>612</v>
      </c>
      <c r="D264" s="344" t="s">
        <v>20</v>
      </c>
      <c r="E264" s="345" t="s">
        <v>1105</v>
      </c>
    </row>
    <row r="265" spans="1:5">
      <c r="A265" s="343">
        <v>264</v>
      </c>
      <c r="B265" s="344" t="s">
        <v>4704</v>
      </c>
      <c r="C265" s="344" t="s">
        <v>612</v>
      </c>
      <c r="D265" s="344" t="s">
        <v>20</v>
      </c>
      <c r="E265" s="345" t="s">
        <v>1105</v>
      </c>
    </row>
    <row r="266" spans="1:5">
      <c r="A266" s="343">
        <v>265</v>
      </c>
      <c r="B266" s="344" t="s">
        <v>4705</v>
      </c>
      <c r="C266" s="344" t="s">
        <v>543</v>
      </c>
      <c r="D266" s="344" t="s">
        <v>14</v>
      </c>
      <c r="E266" s="345" t="s">
        <v>21</v>
      </c>
    </row>
    <row r="267" spans="1:5">
      <c r="A267" s="343">
        <v>266</v>
      </c>
      <c r="B267" s="344" t="s">
        <v>4706</v>
      </c>
      <c r="C267" s="344" t="s">
        <v>543</v>
      </c>
      <c r="D267" s="344" t="s">
        <v>20</v>
      </c>
      <c r="E267" s="345" t="s">
        <v>21</v>
      </c>
    </row>
    <row r="268" spans="1:5">
      <c r="A268" s="343">
        <v>267</v>
      </c>
      <c r="B268" s="344" t="s">
        <v>3646</v>
      </c>
      <c r="C268" s="344" t="s">
        <v>543</v>
      </c>
      <c r="D268" s="344" t="s">
        <v>20</v>
      </c>
      <c r="E268" s="345" t="s">
        <v>21</v>
      </c>
    </row>
    <row r="269" spans="1:5">
      <c r="A269" s="343">
        <v>268</v>
      </c>
      <c r="B269" s="344" t="s">
        <v>4707</v>
      </c>
      <c r="C269" s="344" t="s">
        <v>4707</v>
      </c>
      <c r="D269" s="344" t="s">
        <v>12</v>
      </c>
      <c r="E269" s="345" t="s">
        <v>1105</v>
      </c>
    </row>
    <row r="270" spans="1:5">
      <c r="A270" s="343">
        <v>269</v>
      </c>
      <c r="B270" s="344" t="s">
        <v>1748</v>
      </c>
      <c r="C270" s="344" t="s">
        <v>1748</v>
      </c>
      <c r="D270" s="344" t="s">
        <v>4708</v>
      </c>
      <c r="E270" s="345" t="s">
        <v>1105</v>
      </c>
    </row>
    <row r="271" spans="1:5">
      <c r="A271" s="343">
        <v>270</v>
      </c>
      <c r="B271" s="344" t="s">
        <v>3181</v>
      </c>
      <c r="C271" s="344" t="s">
        <v>1748</v>
      </c>
      <c r="D271" s="344" t="s">
        <v>4709</v>
      </c>
      <c r="E271" s="345" t="s">
        <v>1105</v>
      </c>
    </row>
    <row r="272" spans="1:5">
      <c r="A272" s="343">
        <v>271</v>
      </c>
      <c r="B272" s="344" t="s">
        <v>4710</v>
      </c>
      <c r="C272" s="344" t="s">
        <v>1748</v>
      </c>
      <c r="D272" s="344" t="s">
        <v>12</v>
      </c>
      <c r="E272" s="345" t="s">
        <v>1105</v>
      </c>
    </row>
    <row r="273" spans="1:5">
      <c r="A273" s="343">
        <v>272</v>
      </c>
      <c r="B273" s="344" t="s">
        <v>4711</v>
      </c>
      <c r="C273" s="344" t="s">
        <v>567</v>
      </c>
      <c r="D273" s="344" t="s">
        <v>12</v>
      </c>
      <c r="E273" s="345" t="s">
        <v>1105</v>
      </c>
    </row>
    <row r="274" spans="1:5">
      <c r="A274" s="343">
        <v>273</v>
      </c>
      <c r="B274" s="344" t="s">
        <v>4712</v>
      </c>
      <c r="C274" s="344" t="s">
        <v>1136</v>
      </c>
      <c r="D274" s="344" t="s">
        <v>20</v>
      </c>
      <c r="E274" s="345" t="s">
        <v>205</v>
      </c>
    </row>
    <row r="275" spans="1:5">
      <c r="A275" s="343">
        <v>274</v>
      </c>
      <c r="B275" s="344" t="s">
        <v>4713</v>
      </c>
      <c r="C275" s="344" t="s">
        <v>570</v>
      </c>
      <c r="D275" s="344" t="s">
        <v>4709</v>
      </c>
      <c r="E275" s="345" t="s">
        <v>1105</v>
      </c>
    </row>
    <row r="276" spans="1:5">
      <c r="A276" s="343">
        <v>275</v>
      </c>
      <c r="B276" s="344" t="s">
        <v>4714</v>
      </c>
      <c r="C276" s="344" t="s">
        <v>570</v>
      </c>
      <c r="D276" s="344" t="s">
        <v>4715</v>
      </c>
      <c r="E276" s="345" t="s">
        <v>1105</v>
      </c>
    </row>
    <row r="277" spans="1:5">
      <c r="A277" s="343">
        <v>276</v>
      </c>
      <c r="B277" s="344" t="s">
        <v>4716</v>
      </c>
      <c r="C277" s="344" t="s">
        <v>570</v>
      </c>
      <c r="D277" s="344" t="s">
        <v>489</v>
      </c>
      <c r="E277" s="345" t="s">
        <v>1105</v>
      </c>
    </row>
    <row r="278" spans="1:5">
      <c r="A278" s="343">
        <v>277</v>
      </c>
      <c r="B278" s="344" t="s">
        <v>4717</v>
      </c>
      <c r="C278" s="344" t="s">
        <v>570</v>
      </c>
      <c r="D278" s="344" t="s">
        <v>12</v>
      </c>
      <c r="E278" s="345" t="s">
        <v>1105</v>
      </c>
    </row>
    <row r="279" spans="1:5">
      <c r="A279" s="343">
        <v>278</v>
      </c>
      <c r="B279" s="344" t="s">
        <v>4718</v>
      </c>
      <c r="C279" s="344" t="s">
        <v>570</v>
      </c>
      <c r="D279" s="344" t="s">
        <v>12</v>
      </c>
      <c r="E279" s="345" t="s">
        <v>1105</v>
      </c>
    </row>
    <row r="280" spans="1:5">
      <c r="A280" s="343">
        <v>279</v>
      </c>
      <c r="B280" s="344" t="s">
        <v>4719</v>
      </c>
      <c r="C280" s="344" t="s">
        <v>570</v>
      </c>
      <c r="D280" s="344" t="s">
        <v>20</v>
      </c>
      <c r="E280" s="345" t="s">
        <v>1105</v>
      </c>
    </row>
    <row r="281" spans="1:5">
      <c r="A281" s="343">
        <v>280</v>
      </c>
      <c r="B281" s="344" t="s">
        <v>4720</v>
      </c>
      <c r="C281" s="344" t="s">
        <v>570</v>
      </c>
      <c r="D281" s="344" t="s">
        <v>12</v>
      </c>
      <c r="E281" s="345" t="s">
        <v>1105</v>
      </c>
    </row>
    <row r="282" spans="1:5">
      <c r="A282" s="343">
        <v>281</v>
      </c>
      <c r="B282" s="344" t="s">
        <v>4721</v>
      </c>
      <c r="C282" s="344" t="s">
        <v>570</v>
      </c>
      <c r="D282" s="344" t="s">
        <v>20</v>
      </c>
      <c r="E282" s="345" t="s">
        <v>1105</v>
      </c>
    </row>
    <row r="283" spans="1:5">
      <c r="A283" s="343">
        <v>282</v>
      </c>
      <c r="B283" s="344" t="s">
        <v>4722</v>
      </c>
      <c r="C283" s="344" t="s">
        <v>4723</v>
      </c>
      <c r="D283" s="344" t="s">
        <v>295</v>
      </c>
      <c r="E283" s="345" t="s">
        <v>1087</v>
      </c>
    </row>
    <row r="284" spans="1:5">
      <c r="A284" s="343">
        <v>283</v>
      </c>
      <c r="B284" s="344" t="s">
        <v>4724</v>
      </c>
      <c r="C284" s="344" t="s">
        <v>4723</v>
      </c>
      <c r="D284" s="344" t="s">
        <v>295</v>
      </c>
      <c r="E284" s="345" t="s">
        <v>1087</v>
      </c>
    </row>
    <row r="285" spans="1:5">
      <c r="A285" s="343">
        <v>284</v>
      </c>
      <c r="B285" s="344" t="s">
        <v>601</v>
      </c>
      <c r="C285" s="344" t="s">
        <v>539</v>
      </c>
      <c r="D285" s="344" t="s">
        <v>20</v>
      </c>
      <c r="E285" s="345" t="s">
        <v>1087</v>
      </c>
    </row>
    <row r="286" spans="1:5">
      <c r="A286" s="343">
        <v>285</v>
      </c>
      <c r="B286" s="344" t="s">
        <v>4725</v>
      </c>
      <c r="C286" s="344" t="s">
        <v>539</v>
      </c>
      <c r="D286" s="344" t="s">
        <v>20</v>
      </c>
      <c r="E286" s="345" t="s">
        <v>1087</v>
      </c>
    </row>
    <row r="287" spans="1:5">
      <c r="A287" s="343">
        <v>286</v>
      </c>
      <c r="B287" s="344" t="s">
        <v>4726</v>
      </c>
      <c r="C287" s="344" t="s">
        <v>1034</v>
      </c>
      <c r="D287" s="344" t="s">
        <v>14</v>
      </c>
      <c r="E287" s="345" t="s">
        <v>1087</v>
      </c>
    </row>
    <row r="288" spans="1:5">
      <c r="A288" s="343">
        <v>287</v>
      </c>
      <c r="B288" s="344" t="s">
        <v>4727</v>
      </c>
      <c r="C288" s="344" t="s">
        <v>1034</v>
      </c>
      <c r="D288" s="344" t="s">
        <v>14</v>
      </c>
      <c r="E288" s="345" t="s">
        <v>1087</v>
      </c>
    </row>
    <row r="289" spans="1:5">
      <c r="A289" s="343">
        <v>288</v>
      </c>
      <c r="B289" s="344" t="s">
        <v>4728</v>
      </c>
      <c r="C289" s="344" t="s">
        <v>1437</v>
      </c>
      <c r="D289" s="344" t="s">
        <v>20</v>
      </c>
      <c r="E289" s="345" t="s">
        <v>205</v>
      </c>
    </row>
    <row r="290" spans="1:5">
      <c r="A290" s="343">
        <v>289</v>
      </c>
      <c r="B290" s="344" t="s">
        <v>4729</v>
      </c>
      <c r="C290" s="344" t="s">
        <v>4730</v>
      </c>
      <c r="D290" s="344" t="s">
        <v>262</v>
      </c>
      <c r="E290" s="345" t="s">
        <v>205</v>
      </c>
    </row>
    <row r="291" spans="1:5">
      <c r="A291" s="343">
        <v>290</v>
      </c>
      <c r="B291" s="344" t="s">
        <v>4731</v>
      </c>
      <c r="C291" s="344" t="s">
        <v>1159</v>
      </c>
      <c r="D291" s="344" t="s">
        <v>20</v>
      </c>
      <c r="E291" s="345" t="s">
        <v>1147</v>
      </c>
    </row>
    <row r="292" spans="1:5">
      <c r="A292" s="343">
        <v>291</v>
      </c>
      <c r="B292" s="344" t="s">
        <v>4732</v>
      </c>
      <c r="C292" s="344" t="s">
        <v>4733</v>
      </c>
      <c r="D292" s="344" t="s">
        <v>912</v>
      </c>
      <c r="E292" s="345" t="s">
        <v>205</v>
      </c>
    </row>
    <row r="293" spans="1:5">
      <c r="A293" s="343">
        <v>292</v>
      </c>
      <c r="B293" s="344" t="s">
        <v>4734</v>
      </c>
      <c r="C293" s="344" t="s">
        <v>4733</v>
      </c>
      <c r="D293" s="344" t="s">
        <v>912</v>
      </c>
      <c r="E293" s="345" t="s">
        <v>205</v>
      </c>
    </row>
    <row r="294" spans="1:5">
      <c r="A294" s="343">
        <v>293</v>
      </c>
      <c r="B294" s="344" t="s">
        <v>4735</v>
      </c>
      <c r="C294" s="344" t="s">
        <v>542</v>
      </c>
      <c r="D294" s="344" t="s">
        <v>262</v>
      </c>
      <c r="E294" s="345" t="s">
        <v>205</v>
      </c>
    </row>
    <row r="295" spans="1:5">
      <c r="A295" s="343">
        <v>294</v>
      </c>
      <c r="B295" s="344" t="s">
        <v>4736</v>
      </c>
      <c r="C295" s="344" t="s">
        <v>542</v>
      </c>
      <c r="D295" s="344" t="s">
        <v>262</v>
      </c>
      <c r="E295" s="345" t="s">
        <v>205</v>
      </c>
    </row>
    <row r="296" spans="1:5">
      <c r="A296" s="343">
        <v>295</v>
      </c>
      <c r="B296" s="344" t="s">
        <v>4737</v>
      </c>
      <c r="C296" s="344" t="s">
        <v>542</v>
      </c>
      <c r="D296" s="344" t="s">
        <v>295</v>
      </c>
      <c r="E296" s="345" t="s">
        <v>205</v>
      </c>
    </row>
    <row r="297" spans="1:5">
      <c r="A297" s="343">
        <v>296</v>
      </c>
      <c r="B297" s="344" t="s">
        <v>4738</v>
      </c>
      <c r="C297" s="344" t="s">
        <v>4739</v>
      </c>
      <c r="D297" s="344" t="s">
        <v>4740</v>
      </c>
      <c r="E297" s="345" t="s">
        <v>1087</v>
      </c>
    </row>
    <row r="298" spans="1:5">
      <c r="A298" s="343">
        <v>297</v>
      </c>
      <c r="B298" s="344" t="s">
        <v>4741</v>
      </c>
      <c r="C298" s="344" t="s">
        <v>4742</v>
      </c>
      <c r="D298" s="344" t="s">
        <v>4740</v>
      </c>
      <c r="E298" s="345" t="s">
        <v>1087</v>
      </c>
    </row>
    <row r="299" spans="1:5">
      <c r="A299" s="343">
        <v>298</v>
      </c>
      <c r="B299" s="344" t="s">
        <v>4743</v>
      </c>
      <c r="C299" s="344" t="s">
        <v>4742</v>
      </c>
      <c r="D299" s="344" t="s">
        <v>4740</v>
      </c>
      <c r="E299" s="345" t="s">
        <v>1087</v>
      </c>
    </row>
    <row r="300" spans="1:5">
      <c r="A300" s="343">
        <v>299</v>
      </c>
      <c r="B300" s="344" t="s">
        <v>4744</v>
      </c>
      <c r="C300" s="344" t="s">
        <v>4745</v>
      </c>
      <c r="D300" s="344" t="s">
        <v>4740</v>
      </c>
      <c r="E300" s="345" t="s">
        <v>1087</v>
      </c>
    </row>
    <row r="301" spans="1:5">
      <c r="A301" s="343">
        <v>300</v>
      </c>
      <c r="B301" s="344" t="s">
        <v>4746</v>
      </c>
      <c r="C301" s="344" t="s">
        <v>4745</v>
      </c>
      <c r="D301" s="344" t="s">
        <v>4740</v>
      </c>
      <c r="E301" s="345" t="s">
        <v>1087</v>
      </c>
    </row>
    <row r="302" spans="1:5">
      <c r="A302" s="343">
        <v>301</v>
      </c>
      <c r="B302" s="344" t="s">
        <v>4747</v>
      </c>
      <c r="C302" s="344" t="s">
        <v>4748</v>
      </c>
      <c r="D302" s="344" t="s">
        <v>4740</v>
      </c>
      <c r="E302" s="345" t="s">
        <v>1087</v>
      </c>
    </row>
    <row r="303" spans="1:5">
      <c r="A303" s="343">
        <v>302</v>
      </c>
      <c r="B303" s="344" t="s">
        <v>4749</v>
      </c>
      <c r="C303" s="344" t="s">
        <v>4748</v>
      </c>
      <c r="D303" s="344" t="s">
        <v>4740</v>
      </c>
      <c r="E303" s="345" t="s">
        <v>1087</v>
      </c>
    </row>
    <row r="304" spans="1:5">
      <c r="A304" s="343">
        <v>303</v>
      </c>
      <c r="B304" s="344" t="s">
        <v>4750</v>
      </c>
      <c r="C304" s="344" t="s">
        <v>4748</v>
      </c>
      <c r="D304" s="344" t="s">
        <v>4740</v>
      </c>
      <c r="E304" s="345" t="s">
        <v>1087</v>
      </c>
    </row>
    <row r="305" spans="1:5">
      <c r="A305" s="343">
        <v>304</v>
      </c>
      <c r="B305" s="344" t="s">
        <v>719</v>
      </c>
      <c r="C305" s="344" t="s">
        <v>720</v>
      </c>
      <c r="D305" s="344" t="s">
        <v>14</v>
      </c>
      <c r="E305" s="345" t="s">
        <v>1147</v>
      </c>
    </row>
    <row r="306" spans="1:5">
      <c r="A306" s="343">
        <v>305</v>
      </c>
      <c r="B306" s="344" t="s">
        <v>4751</v>
      </c>
      <c r="C306" s="344" t="s">
        <v>720</v>
      </c>
      <c r="D306" s="344" t="s">
        <v>14</v>
      </c>
      <c r="E306" s="345" t="s">
        <v>1147</v>
      </c>
    </row>
    <row r="307" spans="1:5">
      <c r="A307" s="343">
        <v>306</v>
      </c>
      <c r="B307" s="344" t="s">
        <v>602</v>
      </c>
      <c r="C307" s="344" t="s">
        <v>4752</v>
      </c>
      <c r="D307" s="344" t="s">
        <v>20</v>
      </c>
      <c r="E307" s="345" t="s">
        <v>1087</v>
      </c>
    </row>
    <row r="308" spans="1:5">
      <c r="A308" s="343">
        <v>307</v>
      </c>
      <c r="B308" s="344" t="s">
        <v>4753</v>
      </c>
      <c r="C308" s="344" t="s">
        <v>4752</v>
      </c>
      <c r="D308" s="344" t="s">
        <v>20</v>
      </c>
      <c r="E308" s="345" t="s">
        <v>1087</v>
      </c>
    </row>
    <row r="309" spans="1:5">
      <c r="A309" s="343">
        <v>308</v>
      </c>
      <c r="B309" s="344" t="s">
        <v>4754</v>
      </c>
      <c r="C309" s="344" t="s">
        <v>4752</v>
      </c>
      <c r="D309" s="344" t="s">
        <v>20</v>
      </c>
      <c r="E309" s="345" t="s">
        <v>1087</v>
      </c>
    </row>
    <row r="310" spans="1:5">
      <c r="A310" s="343">
        <v>309</v>
      </c>
      <c r="B310" s="344" t="s">
        <v>4755</v>
      </c>
      <c r="C310" s="344" t="s">
        <v>807</v>
      </c>
      <c r="D310" s="344" t="s">
        <v>20</v>
      </c>
      <c r="E310" s="345" t="s">
        <v>1087</v>
      </c>
    </row>
    <row r="311" spans="1:5">
      <c r="A311" s="343">
        <v>310</v>
      </c>
      <c r="B311" s="344" t="s">
        <v>4756</v>
      </c>
      <c r="C311" s="344" t="s">
        <v>921</v>
      </c>
      <c r="D311" s="344" t="s">
        <v>20</v>
      </c>
      <c r="E311" s="345" t="s">
        <v>1105</v>
      </c>
    </row>
    <row r="312" spans="1:5">
      <c r="A312" s="343">
        <v>311</v>
      </c>
      <c r="B312" s="343" t="s">
        <v>730</v>
      </c>
      <c r="C312" s="343" t="s">
        <v>730</v>
      </c>
      <c r="D312" s="343" t="s">
        <v>20</v>
      </c>
      <c r="E312" s="346" t="s">
        <v>425</v>
      </c>
    </row>
    <row r="313" spans="1:5">
      <c r="A313" s="343">
        <v>312</v>
      </c>
      <c r="B313" s="344" t="s">
        <v>4757</v>
      </c>
      <c r="C313" s="344" t="s">
        <v>4758</v>
      </c>
      <c r="D313" s="344" t="s">
        <v>14</v>
      </c>
      <c r="E313" s="345" t="s">
        <v>1147</v>
      </c>
    </row>
    <row r="314" spans="1:5">
      <c r="A314" s="343">
        <v>313</v>
      </c>
      <c r="B314" s="344" t="s">
        <v>664</v>
      </c>
      <c r="C314" s="344" t="s">
        <v>664</v>
      </c>
      <c r="D314" s="344" t="s">
        <v>20</v>
      </c>
      <c r="E314" s="345" t="s">
        <v>1105</v>
      </c>
    </row>
    <row r="315" spans="1:5">
      <c r="A315" s="343">
        <v>314</v>
      </c>
      <c r="B315" s="344" t="s">
        <v>666</v>
      </c>
      <c r="C315" s="344" t="s">
        <v>666</v>
      </c>
      <c r="D315" s="344" t="s">
        <v>20</v>
      </c>
      <c r="E315" s="345" t="s">
        <v>1105</v>
      </c>
    </row>
    <row r="316" spans="1:5">
      <c r="A316" s="343">
        <v>315</v>
      </c>
      <c r="B316" s="343" t="s">
        <v>4759</v>
      </c>
      <c r="C316" s="343" t="s">
        <v>607</v>
      </c>
      <c r="E316" s="346" t="s">
        <v>425</v>
      </c>
    </row>
    <row r="317" spans="1:5">
      <c r="A317" s="343">
        <v>316</v>
      </c>
      <c r="B317" s="344" t="s">
        <v>4760</v>
      </c>
      <c r="C317" s="344" t="s">
        <v>4761</v>
      </c>
      <c r="D317" s="344" t="s">
        <v>20</v>
      </c>
      <c r="E317" s="345" t="s">
        <v>1105</v>
      </c>
    </row>
    <row r="318" spans="1:5">
      <c r="A318" s="343">
        <v>317</v>
      </c>
      <c r="B318" s="344" t="s">
        <v>4762</v>
      </c>
      <c r="C318" s="344" t="s">
        <v>4762</v>
      </c>
      <c r="D318" s="344" t="s">
        <v>4708</v>
      </c>
      <c r="E318" s="345" t="s">
        <v>205</v>
      </c>
    </row>
    <row r="319" spans="1:5">
      <c r="A319" s="343">
        <v>318</v>
      </c>
      <c r="B319" s="344" t="s">
        <v>611</v>
      </c>
      <c r="C319" s="344" t="s">
        <v>611</v>
      </c>
      <c r="D319" s="344" t="s">
        <v>14</v>
      </c>
      <c r="E319" s="345" t="s">
        <v>205</v>
      </c>
    </row>
    <row r="320" spans="1:5">
      <c r="A320" s="343">
        <v>319</v>
      </c>
      <c r="B320" s="344" t="s">
        <v>4763</v>
      </c>
      <c r="C320" s="344" t="s">
        <v>4763</v>
      </c>
      <c r="D320" s="344" t="s">
        <v>14</v>
      </c>
      <c r="E320" s="345" t="s">
        <v>205</v>
      </c>
    </row>
    <row r="321" spans="1:5">
      <c r="A321" s="343">
        <v>320</v>
      </c>
      <c r="B321" s="344" t="s">
        <v>4764</v>
      </c>
      <c r="C321" s="344" t="s">
        <v>4764</v>
      </c>
      <c r="D321" s="344" t="s">
        <v>14</v>
      </c>
      <c r="E321" s="345" t="s">
        <v>205</v>
      </c>
    </row>
    <row r="322" spans="1:5">
      <c r="A322" s="343">
        <v>321</v>
      </c>
      <c r="B322" s="344" t="s">
        <v>617</v>
      </c>
      <c r="C322" s="344" t="s">
        <v>617</v>
      </c>
      <c r="D322" s="344" t="s">
        <v>20</v>
      </c>
      <c r="E322" s="345" t="s">
        <v>205</v>
      </c>
    </row>
    <row r="323" spans="1:5">
      <c r="A323" s="343">
        <v>322</v>
      </c>
      <c r="B323" s="344" t="s">
        <v>4765</v>
      </c>
      <c r="C323" s="344" t="s">
        <v>4765</v>
      </c>
      <c r="D323" s="344" t="s">
        <v>20</v>
      </c>
      <c r="E323" s="345" t="s">
        <v>205</v>
      </c>
    </row>
    <row r="324" spans="1:5">
      <c r="A324" s="343">
        <v>323</v>
      </c>
      <c r="B324" s="344" t="s">
        <v>4766</v>
      </c>
      <c r="C324" s="344" t="s">
        <v>4767</v>
      </c>
      <c r="D324" s="344" t="s">
        <v>20</v>
      </c>
      <c r="E324" s="345" t="s">
        <v>1105</v>
      </c>
    </row>
    <row r="325" spans="1:5">
      <c r="A325" s="343">
        <v>324</v>
      </c>
      <c r="B325" s="344" t="s">
        <v>668</v>
      </c>
      <c r="C325" s="344" t="s">
        <v>4767</v>
      </c>
      <c r="D325" s="344" t="s">
        <v>20</v>
      </c>
      <c r="E325" s="345" t="s">
        <v>1105</v>
      </c>
    </row>
    <row r="326" spans="1:5">
      <c r="A326" s="343">
        <v>325</v>
      </c>
      <c r="B326" s="344" t="s">
        <v>4768</v>
      </c>
      <c r="C326" s="344" t="s">
        <v>4768</v>
      </c>
      <c r="D326" s="344" t="s">
        <v>20</v>
      </c>
      <c r="E326" s="345" t="s">
        <v>1105</v>
      </c>
    </row>
    <row r="327" spans="1:5">
      <c r="A327" s="343">
        <v>326</v>
      </c>
      <c r="B327" s="344" t="s">
        <v>4769</v>
      </c>
      <c r="C327" s="344" t="s">
        <v>4769</v>
      </c>
      <c r="D327" s="344" t="s">
        <v>20</v>
      </c>
      <c r="E327" s="345" t="s">
        <v>1105</v>
      </c>
    </row>
    <row r="328" spans="1:5">
      <c r="A328" s="343">
        <v>327</v>
      </c>
      <c r="B328" s="344" t="s">
        <v>4770</v>
      </c>
      <c r="C328" s="347" t="s">
        <v>4739</v>
      </c>
      <c r="D328" s="344" t="s">
        <v>262</v>
      </c>
      <c r="E328" s="345" t="s">
        <v>1087</v>
      </c>
    </row>
    <row r="329" spans="1:5">
      <c r="A329" s="343">
        <v>328</v>
      </c>
      <c r="B329" s="344" t="s">
        <v>593</v>
      </c>
      <c r="C329" s="347" t="s">
        <v>4739</v>
      </c>
      <c r="D329" s="344" t="s">
        <v>518</v>
      </c>
      <c r="E329" s="345" t="s">
        <v>1087</v>
      </c>
    </row>
    <row r="330" spans="1:5">
      <c r="A330" s="343">
        <v>329</v>
      </c>
      <c r="B330" s="344" t="s">
        <v>4771</v>
      </c>
      <c r="C330" s="347" t="s">
        <v>4739</v>
      </c>
      <c r="D330" s="344" t="s">
        <v>295</v>
      </c>
      <c r="E330" s="345" t="s">
        <v>1087</v>
      </c>
    </row>
    <row r="331" spans="1:5">
      <c r="A331" s="343">
        <v>330</v>
      </c>
      <c r="B331" s="344" t="s">
        <v>4772</v>
      </c>
      <c r="C331" s="344" t="s">
        <v>1029</v>
      </c>
      <c r="D331" s="344" t="s">
        <v>20</v>
      </c>
      <c r="E331" s="345" t="s">
        <v>205</v>
      </c>
    </row>
    <row r="332" spans="1:5">
      <c r="A332" s="343">
        <v>331</v>
      </c>
      <c r="B332" s="344" t="s">
        <v>4773</v>
      </c>
      <c r="C332" s="344" t="s">
        <v>1029</v>
      </c>
      <c r="D332" s="344" t="s">
        <v>262</v>
      </c>
      <c r="E332" s="345" t="s">
        <v>205</v>
      </c>
    </row>
    <row r="333" spans="1:5">
      <c r="A333" s="343">
        <v>332</v>
      </c>
      <c r="B333" s="344" t="s">
        <v>4774</v>
      </c>
      <c r="C333" s="344" t="s">
        <v>1029</v>
      </c>
      <c r="D333" s="344" t="s">
        <v>20</v>
      </c>
      <c r="E333" s="345" t="s">
        <v>205</v>
      </c>
    </row>
    <row r="334" spans="1:5">
      <c r="A334" s="343">
        <v>333</v>
      </c>
      <c r="B334" s="344" t="s">
        <v>4775</v>
      </c>
      <c r="C334" s="344" t="s">
        <v>1029</v>
      </c>
      <c r="D334" s="344" t="s">
        <v>20</v>
      </c>
      <c r="E334" s="345" t="s">
        <v>205</v>
      </c>
    </row>
    <row r="335" spans="1:5">
      <c r="A335" s="343">
        <v>334</v>
      </c>
      <c r="B335" s="344" t="s">
        <v>4776</v>
      </c>
      <c r="C335" s="344" t="s">
        <v>1489</v>
      </c>
      <c r="D335" s="344"/>
      <c r="E335" s="345" t="s">
        <v>205</v>
      </c>
    </row>
    <row r="336" spans="1:5">
      <c r="A336" s="343">
        <v>335</v>
      </c>
      <c r="B336" s="344" t="s">
        <v>4777</v>
      </c>
      <c r="C336" s="344" t="s">
        <v>1029</v>
      </c>
      <c r="D336" s="344" t="s">
        <v>295</v>
      </c>
      <c r="E336" s="345" t="s">
        <v>205</v>
      </c>
    </row>
    <row r="337" spans="1:5">
      <c r="A337" s="343">
        <v>337</v>
      </c>
      <c r="B337" s="344" t="s">
        <v>4778</v>
      </c>
      <c r="C337" s="344" t="s">
        <v>4779</v>
      </c>
      <c r="D337" s="344" t="s">
        <v>20</v>
      </c>
      <c r="E337" s="345" t="s">
        <v>205</v>
      </c>
    </row>
    <row r="338" spans="1:5">
      <c r="A338" s="343">
        <v>338</v>
      </c>
      <c r="B338" s="344" t="s">
        <v>4780</v>
      </c>
      <c r="C338" s="344" t="s">
        <v>4779</v>
      </c>
      <c r="D338" s="344" t="s">
        <v>261</v>
      </c>
      <c r="E338" s="345" t="s">
        <v>205</v>
      </c>
    </row>
    <row r="339" spans="1:5">
      <c r="A339" s="343">
        <v>339</v>
      </c>
      <c r="B339" s="344" t="s">
        <v>4781</v>
      </c>
      <c r="C339" s="344" t="s">
        <v>2469</v>
      </c>
      <c r="D339" s="344" t="s">
        <v>12</v>
      </c>
      <c r="E339" s="345" t="s">
        <v>205</v>
      </c>
    </row>
    <row r="340" spans="1:5">
      <c r="A340" s="343">
        <v>340</v>
      </c>
      <c r="B340" s="344" t="s">
        <v>4782</v>
      </c>
      <c r="C340" s="344" t="s">
        <v>2469</v>
      </c>
      <c r="D340" s="344" t="s">
        <v>4708</v>
      </c>
      <c r="E340" s="345" t="s">
        <v>205</v>
      </c>
    </row>
    <row r="341" spans="1:5">
      <c r="A341" s="343">
        <v>341</v>
      </c>
      <c r="B341" s="344" t="s">
        <v>488</v>
      </c>
      <c r="C341" s="344" t="s">
        <v>4745</v>
      </c>
      <c r="D341" s="344" t="s">
        <v>489</v>
      </c>
      <c r="E341" s="345" t="s">
        <v>1087</v>
      </c>
    </row>
    <row r="342" spans="1:5">
      <c r="A342" s="343">
        <v>342</v>
      </c>
      <c r="B342" s="344" t="s">
        <v>4783</v>
      </c>
      <c r="C342" s="344" t="s">
        <v>4745</v>
      </c>
      <c r="D342" s="344" t="s">
        <v>489</v>
      </c>
      <c r="E342" s="345" t="s">
        <v>1087</v>
      </c>
    </row>
    <row r="343" spans="1:5">
      <c r="A343" s="343">
        <v>343</v>
      </c>
      <c r="B343" s="344" t="s">
        <v>4784</v>
      </c>
      <c r="C343" s="344" t="s">
        <v>4745</v>
      </c>
      <c r="D343" s="344" t="s">
        <v>4740</v>
      </c>
      <c r="E343" s="345" t="s">
        <v>1087</v>
      </c>
    </row>
    <row r="344" spans="1:5">
      <c r="A344" s="343">
        <v>344</v>
      </c>
      <c r="B344" s="344" t="s">
        <v>486</v>
      </c>
      <c r="C344" s="344" t="s">
        <v>4745</v>
      </c>
      <c r="D344" s="344" t="s">
        <v>489</v>
      </c>
      <c r="E344" s="345" t="s">
        <v>1087</v>
      </c>
    </row>
    <row r="345" spans="1:5">
      <c r="A345" s="343">
        <v>345</v>
      </c>
      <c r="B345" s="344" t="s">
        <v>4785</v>
      </c>
      <c r="C345" s="344" t="s">
        <v>4745</v>
      </c>
      <c r="D345" s="344" t="s">
        <v>489</v>
      </c>
      <c r="E345" s="345" t="s">
        <v>1087</v>
      </c>
    </row>
    <row r="346" spans="1:5">
      <c r="A346" s="343">
        <v>346</v>
      </c>
      <c r="B346" s="344" t="s">
        <v>4786</v>
      </c>
      <c r="C346" s="344" t="s">
        <v>4745</v>
      </c>
      <c r="D346" s="344" t="s">
        <v>517</v>
      </c>
      <c r="E346" s="345" t="s">
        <v>1087</v>
      </c>
    </row>
    <row r="347" spans="1:5">
      <c r="A347" s="343">
        <v>347</v>
      </c>
      <c r="B347" s="344" t="s">
        <v>487</v>
      </c>
      <c r="C347" s="344" t="s">
        <v>4745</v>
      </c>
      <c r="D347" s="344" t="s">
        <v>489</v>
      </c>
      <c r="E347" s="345" t="s">
        <v>1087</v>
      </c>
    </row>
    <row r="348" spans="1:5">
      <c r="A348" s="343">
        <v>348</v>
      </c>
      <c r="B348" s="344" t="s">
        <v>4787</v>
      </c>
      <c r="C348" s="344" t="s">
        <v>570</v>
      </c>
      <c r="D348" s="344" t="s">
        <v>12</v>
      </c>
      <c r="E348" s="345" t="s">
        <v>1087</v>
      </c>
    </row>
    <row r="349" spans="1:5">
      <c r="A349" s="343">
        <v>349</v>
      </c>
      <c r="B349" s="344" t="s">
        <v>4788</v>
      </c>
      <c r="C349" s="344" t="s">
        <v>4788</v>
      </c>
      <c r="D349" s="344" t="s">
        <v>20</v>
      </c>
      <c r="E349" s="345" t="s">
        <v>1105</v>
      </c>
    </row>
    <row r="350" spans="1:5">
      <c r="A350" s="343">
        <v>350</v>
      </c>
      <c r="B350" s="344" t="s">
        <v>610</v>
      </c>
      <c r="C350" s="344" t="s">
        <v>610</v>
      </c>
      <c r="D350" s="344" t="s">
        <v>4709</v>
      </c>
      <c r="E350" s="345" t="s">
        <v>205</v>
      </c>
    </row>
    <row r="351" spans="1:5">
      <c r="A351" s="343">
        <v>351</v>
      </c>
      <c r="B351" s="344" t="s">
        <v>4789</v>
      </c>
      <c r="C351" s="344" t="s">
        <v>610</v>
      </c>
      <c r="D351" s="344" t="s">
        <v>4709</v>
      </c>
      <c r="E351" s="345" t="s">
        <v>205</v>
      </c>
    </row>
    <row r="352" spans="1:5">
      <c r="A352" s="343">
        <v>352</v>
      </c>
      <c r="B352" s="344" t="s">
        <v>4790</v>
      </c>
      <c r="C352" s="344" t="s">
        <v>610</v>
      </c>
      <c r="D352" s="344" t="s">
        <v>4708</v>
      </c>
      <c r="E352" s="345" t="s">
        <v>205</v>
      </c>
    </row>
    <row r="353" spans="1:5">
      <c r="A353" s="343">
        <v>353</v>
      </c>
      <c r="B353" s="344" t="s">
        <v>4791</v>
      </c>
      <c r="C353" s="344" t="s">
        <v>610</v>
      </c>
      <c r="D353" s="344" t="s">
        <v>12</v>
      </c>
      <c r="E353" s="345" t="s">
        <v>205</v>
      </c>
    </row>
    <row r="354" spans="1:5">
      <c r="A354" s="343">
        <v>354</v>
      </c>
      <c r="B354" s="344" t="s">
        <v>4792</v>
      </c>
      <c r="C354" s="344" t="s">
        <v>610</v>
      </c>
      <c r="D354" s="344" t="s">
        <v>12</v>
      </c>
      <c r="E354" s="345" t="s">
        <v>205</v>
      </c>
    </row>
    <row r="355" spans="1:5">
      <c r="A355" s="343">
        <v>355</v>
      </c>
      <c r="B355" s="344" t="s">
        <v>4793</v>
      </c>
      <c r="C355" s="344" t="s">
        <v>4793</v>
      </c>
      <c r="D355" s="344" t="s">
        <v>262</v>
      </c>
      <c r="E355" s="345" t="s">
        <v>205</v>
      </c>
    </row>
    <row r="356" spans="1:5">
      <c r="A356" s="343">
        <v>356</v>
      </c>
      <c r="B356" s="344" t="s">
        <v>4794</v>
      </c>
      <c r="C356" s="344" t="s">
        <v>567</v>
      </c>
      <c r="D356" s="344" t="s">
        <v>4709</v>
      </c>
      <c r="E356" s="345" t="s">
        <v>1105</v>
      </c>
    </row>
    <row r="357" spans="1:5">
      <c r="A357" s="343">
        <v>357</v>
      </c>
      <c r="B357" s="344" t="s">
        <v>4795</v>
      </c>
      <c r="C357" s="344" t="s">
        <v>1306</v>
      </c>
      <c r="D357" s="344" t="s">
        <v>12</v>
      </c>
      <c r="E357" s="345" t="s">
        <v>205</v>
      </c>
    </row>
    <row r="358" spans="1:5">
      <c r="A358" s="343">
        <v>358</v>
      </c>
      <c r="B358" s="344" t="s">
        <v>4796</v>
      </c>
      <c r="C358" s="344" t="s">
        <v>1306</v>
      </c>
      <c r="D358" s="344" t="s">
        <v>12</v>
      </c>
      <c r="E358" s="345" t="s">
        <v>205</v>
      </c>
    </row>
    <row r="359" spans="1:5">
      <c r="A359" s="343">
        <v>359</v>
      </c>
      <c r="B359" s="344" t="s">
        <v>4797</v>
      </c>
      <c r="C359" s="344" t="s">
        <v>1306</v>
      </c>
      <c r="D359" s="344" t="s">
        <v>12</v>
      </c>
      <c r="E359" s="345" t="s">
        <v>205</v>
      </c>
    </row>
    <row r="360" spans="1:5">
      <c r="A360" s="343">
        <v>360</v>
      </c>
      <c r="B360" s="343" t="s">
        <v>4798</v>
      </c>
      <c r="C360" s="343" t="s">
        <v>4799</v>
      </c>
      <c r="D360" s="343" t="s">
        <v>20</v>
      </c>
      <c r="E360" s="346" t="s">
        <v>425</v>
      </c>
    </row>
    <row r="361" spans="1:5">
      <c r="A361" s="343">
        <v>361</v>
      </c>
      <c r="B361" s="344" t="s">
        <v>4800</v>
      </c>
      <c r="C361" s="344" t="s">
        <v>610</v>
      </c>
      <c r="D361" s="344" t="s">
        <v>12</v>
      </c>
      <c r="E361" s="345" t="s">
        <v>205</v>
      </c>
    </row>
    <row r="362" spans="1:5">
      <c r="A362" s="343">
        <v>362</v>
      </c>
      <c r="B362" s="344" t="s">
        <v>4801</v>
      </c>
      <c r="C362" s="344" t="s">
        <v>1159</v>
      </c>
      <c r="D362" s="344" t="s">
        <v>20</v>
      </c>
      <c r="E362" s="345" t="s">
        <v>1147</v>
      </c>
    </row>
    <row r="363" spans="1:5">
      <c r="A363" s="343">
        <v>363</v>
      </c>
      <c r="B363" s="344" t="s">
        <v>4802</v>
      </c>
      <c r="C363" s="344" t="s">
        <v>615</v>
      </c>
      <c r="D363" s="344" t="s">
        <v>20</v>
      </c>
      <c r="E363" s="345" t="s">
        <v>205</v>
      </c>
    </row>
    <row r="364" spans="1:5">
      <c r="A364" s="343">
        <v>364</v>
      </c>
      <c r="B364" s="344" t="s">
        <v>4803</v>
      </c>
      <c r="C364" s="344" t="s">
        <v>570</v>
      </c>
      <c r="D364" s="344" t="s">
        <v>20</v>
      </c>
      <c r="E364" s="345" t="s">
        <v>1105</v>
      </c>
    </row>
    <row r="365" spans="1:5">
      <c r="A365" s="343">
        <v>365</v>
      </c>
      <c r="B365" s="344" t="s">
        <v>4804</v>
      </c>
      <c r="C365" s="344" t="s">
        <v>546</v>
      </c>
      <c r="D365" s="344" t="s">
        <v>4708</v>
      </c>
      <c r="E365" s="345" t="s">
        <v>1105</v>
      </c>
    </row>
    <row r="366" spans="1:5">
      <c r="A366" s="343">
        <v>366</v>
      </c>
      <c r="B366" s="344" t="s">
        <v>4805</v>
      </c>
      <c r="C366" s="344" t="s">
        <v>546</v>
      </c>
      <c r="D366" s="344" t="s">
        <v>12</v>
      </c>
      <c r="E366" s="345" t="s">
        <v>1105</v>
      </c>
    </row>
    <row r="367" spans="1:5">
      <c r="A367" s="343">
        <v>367</v>
      </c>
      <c r="B367" s="344" t="s">
        <v>1031</v>
      </c>
      <c r="C367" s="344" t="s">
        <v>1031</v>
      </c>
      <c r="D367" s="344" t="s">
        <v>4708</v>
      </c>
      <c r="E367" s="345" t="s">
        <v>1105</v>
      </c>
    </row>
    <row r="368" spans="1:5">
      <c r="A368" s="343">
        <v>368</v>
      </c>
      <c r="B368" s="344" t="s">
        <v>4806</v>
      </c>
      <c r="C368" s="344" t="s">
        <v>1031</v>
      </c>
      <c r="D368" s="344" t="s">
        <v>4709</v>
      </c>
      <c r="E368" s="345" t="s">
        <v>1105</v>
      </c>
    </row>
    <row r="369" spans="1:5">
      <c r="A369" s="343">
        <v>369</v>
      </c>
      <c r="B369" s="344" t="s">
        <v>4807</v>
      </c>
      <c r="C369" s="344" t="s">
        <v>1031</v>
      </c>
      <c r="D369" s="344" t="s">
        <v>489</v>
      </c>
      <c r="E369" s="345" t="s">
        <v>1105</v>
      </c>
    </row>
    <row r="370" spans="1:5">
      <c r="A370" s="343">
        <v>370</v>
      </c>
      <c r="B370" s="344" t="s">
        <v>4808</v>
      </c>
      <c r="C370" s="344" t="s">
        <v>1031</v>
      </c>
      <c r="D370" s="344" t="s">
        <v>12</v>
      </c>
      <c r="E370" s="345" t="s">
        <v>1105</v>
      </c>
    </row>
    <row r="371" spans="1:5">
      <c r="A371" s="343">
        <v>371</v>
      </c>
      <c r="B371" s="344" t="s">
        <v>4809</v>
      </c>
      <c r="C371" s="344" t="s">
        <v>1031</v>
      </c>
      <c r="D371" s="344" t="s">
        <v>12</v>
      </c>
      <c r="E371" s="345" t="s">
        <v>1105</v>
      </c>
    </row>
    <row r="372" spans="1:5">
      <c r="A372" s="343">
        <v>372</v>
      </c>
      <c r="B372" s="344" t="s">
        <v>4810</v>
      </c>
      <c r="C372" s="344" t="s">
        <v>621</v>
      </c>
      <c r="D372" s="344" t="s">
        <v>12</v>
      </c>
      <c r="E372" s="345" t="s">
        <v>205</v>
      </c>
    </row>
    <row r="373" spans="1:5">
      <c r="A373" s="343">
        <v>373</v>
      </c>
      <c r="B373" s="344" t="s">
        <v>4811</v>
      </c>
      <c r="C373" s="344" t="s">
        <v>621</v>
      </c>
      <c r="D373" s="344" t="s">
        <v>262</v>
      </c>
      <c r="E373" s="345" t="s">
        <v>205</v>
      </c>
    </row>
    <row r="374" spans="1:5">
      <c r="A374" s="343">
        <v>374</v>
      </c>
      <c r="B374" s="344" t="s">
        <v>4812</v>
      </c>
      <c r="C374" s="344" t="s">
        <v>4813</v>
      </c>
      <c r="D374" s="344" t="s">
        <v>4708</v>
      </c>
      <c r="E374" s="345" t="s">
        <v>205</v>
      </c>
    </row>
    <row r="375" spans="1:5">
      <c r="A375" s="343">
        <v>375</v>
      </c>
      <c r="B375" s="344" t="s">
        <v>572</v>
      </c>
      <c r="C375" s="344" t="s">
        <v>572</v>
      </c>
      <c r="D375" s="344" t="s">
        <v>20</v>
      </c>
      <c r="E375" s="345" t="s">
        <v>1147</v>
      </c>
    </row>
    <row r="376" spans="1:5">
      <c r="A376" s="343">
        <v>376</v>
      </c>
      <c r="B376" s="344" t="s">
        <v>4814</v>
      </c>
      <c r="C376" s="344" t="s">
        <v>572</v>
      </c>
      <c r="D376" s="344" t="s">
        <v>4815</v>
      </c>
      <c r="E376" s="345" t="s">
        <v>1147</v>
      </c>
    </row>
    <row r="377" spans="1:5">
      <c r="A377" s="343">
        <v>377</v>
      </c>
      <c r="B377" s="344" t="s">
        <v>4816</v>
      </c>
      <c r="C377" s="344" t="s">
        <v>572</v>
      </c>
      <c r="D377" s="344" t="s">
        <v>725</v>
      </c>
      <c r="E377" s="345" t="s">
        <v>1147</v>
      </c>
    </row>
    <row r="378" spans="1:5">
      <c r="A378" s="343">
        <v>378</v>
      </c>
      <c r="B378" s="344" t="s">
        <v>4008</v>
      </c>
      <c r="C378" s="344" t="s">
        <v>572</v>
      </c>
      <c r="D378" s="344" t="s">
        <v>20</v>
      </c>
      <c r="E378" s="345" t="s">
        <v>1147</v>
      </c>
    </row>
    <row r="379" spans="1:5">
      <c r="A379" s="343">
        <v>379</v>
      </c>
      <c r="B379" s="344" t="s">
        <v>4817</v>
      </c>
      <c r="C379" s="344" t="s">
        <v>606</v>
      </c>
      <c r="D379" s="344" t="s">
        <v>20</v>
      </c>
      <c r="E379" s="345" t="s">
        <v>205</v>
      </c>
    </row>
    <row r="380" spans="1:5">
      <c r="A380" s="343">
        <v>380</v>
      </c>
      <c r="B380" s="344" t="s">
        <v>4818</v>
      </c>
      <c r="C380" s="344" t="s">
        <v>606</v>
      </c>
      <c r="D380" s="344" t="s">
        <v>489</v>
      </c>
      <c r="E380" s="345" t="s">
        <v>205</v>
      </c>
    </row>
    <row r="381" spans="1:5">
      <c r="A381" s="343">
        <v>381</v>
      </c>
      <c r="B381" s="344" t="s">
        <v>4819</v>
      </c>
      <c r="C381" s="344" t="s">
        <v>606</v>
      </c>
      <c r="D381" s="344" t="s">
        <v>12</v>
      </c>
      <c r="E381" s="345" t="s">
        <v>205</v>
      </c>
    </row>
    <row r="382" spans="1:5">
      <c r="A382" s="343">
        <v>382</v>
      </c>
      <c r="B382" s="344" t="s">
        <v>4820</v>
      </c>
      <c r="C382" s="344" t="s">
        <v>606</v>
      </c>
      <c r="D382" s="344" t="s">
        <v>12</v>
      </c>
      <c r="E382" s="345" t="s">
        <v>205</v>
      </c>
    </row>
    <row r="383" spans="1:5">
      <c r="A383" s="343">
        <v>383</v>
      </c>
      <c r="B383" s="344" t="s">
        <v>743</v>
      </c>
      <c r="C383" s="344" t="s">
        <v>606</v>
      </c>
      <c r="D383" s="344" t="s">
        <v>12</v>
      </c>
      <c r="E383" s="345" t="s">
        <v>205</v>
      </c>
    </row>
    <row r="384" spans="1:5">
      <c r="A384" s="343">
        <v>384</v>
      </c>
      <c r="B384" s="344" t="s">
        <v>1030</v>
      </c>
      <c r="C384" s="344" t="s">
        <v>1030</v>
      </c>
      <c r="D384" s="344" t="s">
        <v>20</v>
      </c>
      <c r="E384" s="345" t="s">
        <v>205</v>
      </c>
    </row>
    <row r="385" spans="1:5">
      <c r="A385" s="343">
        <v>385</v>
      </c>
      <c r="B385" s="344" t="s">
        <v>718</v>
      </c>
      <c r="C385" s="344" t="s">
        <v>1030</v>
      </c>
      <c r="D385" s="344" t="s">
        <v>20</v>
      </c>
      <c r="E385" s="345" t="s">
        <v>205</v>
      </c>
    </row>
    <row r="386" spans="1:5">
      <c r="A386" s="343">
        <v>386</v>
      </c>
      <c r="B386" s="344" t="s">
        <v>4821</v>
      </c>
      <c r="C386" s="344" t="s">
        <v>1754</v>
      </c>
      <c r="D386" s="344" t="s">
        <v>262</v>
      </c>
      <c r="E386" s="345" t="s">
        <v>205</v>
      </c>
    </row>
    <row r="387" spans="1:5">
      <c r="A387" s="343">
        <v>387</v>
      </c>
      <c r="B387" s="344" t="s">
        <v>4822</v>
      </c>
      <c r="C387" s="344" t="s">
        <v>4680</v>
      </c>
      <c r="D387" s="344" t="s">
        <v>20</v>
      </c>
      <c r="E387" s="345" t="s">
        <v>205</v>
      </c>
    </row>
    <row r="388" spans="1:5">
      <c r="A388" s="343">
        <v>388</v>
      </c>
      <c r="B388" s="344" t="s">
        <v>4823</v>
      </c>
      <c r="C388" s="344" t="s">
        <v>4680</v>
      </c>
      <c r="D388" s="344" t="s">
        <v>20</v>
      </c>
      <c r="E388" s="345" t="s">
        <v>205</v>
      </c>
    </row>
    <row r="389" spans="1:5">
      <c r="A389" s="343">
        <v>389</v>
      </c>
      <c r="B389" s="344" t="s">
        <v>4824</v>
      </c>
      <c r="C389" s="344" t="s">
        <v>4680</v>
      </c>
      <c r="D389" s="344" t="s">
        <v>4708</v>
      </c>
      <c r="E389" s="345" t="s">
        <v>205</v>
      </c>
    </row>
    <row r="390" spans="1:5">
      <c r="A390" s="343">
        <v>390</v>
      </c>
      <c r="B390" s="344" t="s">
        <v>4825</v>
      </c>
      <c r="C390" s="344" t="s">
        <v>4680</v>
      </c>
      <c r="D390" s="344" t="s">
        <v>4708</v>
      </c>
      <c r="E390" s="345" t="s">
        <v>205</v>
      </c>
    </row>
    <row r="391" spans="1:5">
      <c r="A391" s="343">
        <v>391</v>
      </c>
      <c r="B391" s="344" t="s">
        <v>4826</v>
      </c>
      <c r="C391" s="344" t="s">
        <v>4680</v>
      </c>
      <c r="D391" s="344" t="s">
        <v>4708</v>
      </c>
      <c r="E391" s="345" t="s">
        <v>205</v>
      </c>
    </row>
    <row r="392" spans="1:5">
      <c r="A392" s="343">
        <v>392</v>
      </c>
      <c r="B392" s="344" t="s">
        <v>4827</v>
      </c>
      <c r="C392" s="344" t="s">
        <v>4827</v>
      </c>
      <c r="D392" s="344"/>
      <c r="E392" s="345" t="s">
        <v>205</v>
      </c>
    </row>
    <row r="393" spans="1:5">
      <c r="A393" s="343">
        <v>393</v>
      </c>
      <c r="B393" s="344" t="s">
        <v>4828</v>
      </c>
      <c r="C393" s="344" t="s">
        <v>4829</v>
      </c>
      <c r="D393" s="344" t="s">
        <v>20</v>
      </c>
      <c r="E393" s="345" t="s">
        <v>205</v>
      </c>
    </row>
    <row r="394" spans="1:5">
      <c r="A394" s="343">
        <v>394</v>
      </c>
      <c r="B394" s="344" t="s">
        <v>4830</v>
      </c>
      <c r="C394" s="344" t="s">
        <v>4830</v>
      </c>
      <c r="D394" s="344" t="s">
        <v>262</v>
      </c>
      <c r="E394" s="345" t="s">
        <v>205</v>
      </c>
    </row>
    <row r="395" spans="1:5">
      <c r="A395" s="343">
        <v>395</v>
      </c>
      <c r="B395" s="344" t="s">
        <v>749</v>
      </c>
      <c r="C395" s="344" t="s">
        <v>4830</v>
      </c>
      <c r="D395" s="344" t="s">
        <v>262</v>
      </c>
      <c r="E395" s="345" t="s">
        <v>205</v>
      </c>
    </row>
    <row r="396" spans="1:5">
      <c r="A396" s="343">
        <v>396</v>
      </c>
      <c r="B396" s="344" t="s">
        <v>4831</v>
      </c>
      <c r="C396" s="344" t="s">
        <v>4830</v>
      </c>
      <c r="D396" s="344" t="s">
        <v>20</v>
      </c>
      <c r="E396" s="345" t="s">
        <v>205</v>
      </c>
    </row>
    <row r="397" spans="1:5">
      <c r="A397" s="343">
        <v>397</v>
      </c>
      <c r="B397" s="344" t="s">
        <v>4832</v>
      </c>
      <c r="C397" s="344" t="s">
        <v>4830</v>
      </c>
      <c r="D397" s="344" t="s">
        <v>295</v>
      </c>
      <c r="E397" s="345" t="s">
        <v>205</v>
      </c>
    </row>
    <row r="398" spans="1:5">
      <c r="A398" s="343">
        <v>398</v>
      </c>
      <c r="B398" s="344" t="s">
        <v>4833</v>
      </c>
      <c r="C398" s="344" t="s">
        <v>4834</v>
      </c>
      <c r="D398" s="344" t="s">
        <v>12</v>
      </c>
      <c r="E398" s="345" t="s">
        <v>1105</v>
      </c>
    </row>
    <row r="399" spans="1:5">
      <c r="A399" s="343">
        <v>399</v>
      </c>
      <c r="B399" s="344" t="s">
        <v>4835</v>
      </c>
      <c r="C399" s="344" t="s">
        <v>4836</v>
      </c>
      <c r="D399" s="344" t="s">
        <v>295</v>
      </c>
      <c r="E399" s="345" t="s">
        <v>205</v>
      </c>
    </row>
    <row r="400" spans="1:5">
      <c r="A400" s="343">
        <v>400</v>
      </c>
      <c r="B400" s="344" t="s">
        <v>4837</v>
      </c>
      <c r="C400" s="344" t="s">
        <v>4838</v>
      </c>
      <c r="D400" s="344" t="s">
        <v>4715</v>
      </c>
      <c r="E400" s="345" t="s">
        <v>1105</v>
      </c>
    </row>
    <row r="401" spans="1:5">
      <c r="A401" s="343">
        <v>401</v>
      </c>
      <c r="B401" s="344" t="s">
        <v>4839</v>
      </c>
      <c r="C401" s="344" t="s">
        <v>4838</v>
      </c>
      <c r="D401" s="344" t="s">
        <v>4715</v>
      </c>
      <c r="E401" s="345" t="s">
        <v>1105</v>
      </c>
    </row>
    <row r="402" spans="1:5">
      <c r="A402" s="343">
        <v>402</v>
      </c>
      <c r="B402" s="344" t="s">
        <v>4840</v>
      </c>
      <c r="C402" s="344" t="s">
        <v>4838</v>
      </c>
      <c r="D402" s="344" t="s">
        <v>12</v>
      </c>
      <c r="E402" s="345" t="s">
        <v>1105</v>
      </c>
    </row>
    <row r="403" spans="1:5">
      <c r="A403" s="343">
        <v>403</v>
      </c>
      <c r="B403" s="344" t="s">
        <v>4841</v>
      </c>
      <c r="C403" s="344" t="s">
        <v>4838</v>
      </c>
      <c r="D403" s="344" t="s">
        <v>4715</v>
      </c>
      <c r="E403" s="345" t="s">
        <v>1105</v>
      </c>
    </row>
    <row r="404" spans="1:5">
      <c r="A404" s="343">
        <v>404</v>
      </c>
      <c r="B404" s="344" t="s">
        <v>4842</v>
      </c>
      <c r="C404" s="344" t="s">
        <v>4838</v>
      </c>
      <c r="D404" s="344" t="s">
        <v>12</v>
      </c>
      <c r="E404" s="345" t="s">
        <v>1105</v>
      </c>
    </row>
    <row r="405" spans="1:5">
      <c r="A405" s="343">
        <v>405</v>
      </c>
      <c r="B405" s="344" t="s">
        <v>4843</v>
      </c>
      <c r="C405" s="344" t="s">
        <v>4838</v>
      </c>
      <c r="D405" s="344" t="s">
        <v>4844</v>
      </c>
      <c r="E405" s="345" t="s">
        <v>1105</v>
      </c>
    </row>
    <row r="406" spans="1:5">
      <c r="A406" s="343">
        <v>406</v>
      </c>
      <c r="B406" s="344" t="s">
        <v>4845</v>
      </c>
      <c r="C406" s="344" t="s">
        <v>4838</v>
      </c>
      <c r="D406" s="344" t="s">
        <v>4715</v>
      </c>
      <c r="E406" s="345" t="s">
        <v>1105</v>
      </c>
    </row>
    <row r="407" spans="1:5">
      <c r="A407" s="343">
        <v>407</v>
      </c>
      <c r="B407" s="344" t="s">
        <v>721</v>
      </c>
      <c r="C407" s="344" t="s">
        <v>721</v>
      </c>
      <c r="D407" s="344" t="s">
        <v>14</v>
      </c>
      <c r="E407" s="345" t="s">
        <v>1147</v>
      </c>
    </row>
    <row r="408" spans="1:5">
      <c r="A408" s="343">
        <v>408</v>
      </c>
      <c r="B408" s="344" t="s">
        <v>4846</v>
      </c>
      <c r="C408" s="344" t="s">
        <v>535</v>
      </c>
      <c r="D408" s="344" t="s">
        <v>4847</v>
      </c>
      <c r="E408" s="345" t="s">
        <v>1105</v>
      </c>
    </row>
    <row r="409" spans="1:5">
      <c r="A409" s="343">
        <v>409</v>
      </c>
      <c r="B409" s="344" t="s">
        <v>4848</v>
      </c>
      <c r="C409" s="344" t="s">
        <v>535</v>
      </c>
      <c r="D409" s="344" t="s">
        <v>295</v>
      </c>
      <c r="E409" s="345" t="s">
        <v>1087</v>
      </c>
    </row>
    <row r="410" spans="1:5">
      <c r="A410" s="343">
        <v>410</v>
      </c>
      <c r="B410" s="344" t="s">
        <v>4849</v>
      </c>
      <c r="C410" s="344" t="s">
        <v>535</v>
      </c>
      <c r="D410" s="344" t="s">
        <v>262</v>
      </c>
      <c r="E410" s="345" t="s">
        <v>1087</v>
      </c>
    </row>
    <row r="411" spans="1:5">
      <c r="A411" s="343">
        <v>411</v>
      </c>
      <c r="B411" s="344" t="s">
        <v>4850</v>
      </c>
      <c r="C411" s="344" t="s">
        <v>535</v>
      </c>
      <c r="D411" s="344" t="s">
        <v>295</v>
      </c>
      <c r="E411" s="345" t="s">
        <v>1087</v>
      </c>
    </row>
    <row r="412" spans="1:5">
      <c r="A412" s="343">
        <v>412</v>
      </c>
      <c r="B412" s="344" t="s">
        <v>4851</v>
      </c>
      <c r="C412" s="344" t="s">
        <v>535</v>
      </c>
      <c r="D412" s="344" t="s">
        <v>295</v>
      </c>
      <c r="E412" s="345" t="s">
        <v>1087</v>
      </c>
    </row>
    <row r="413" spans="1:5">
      <c r="A413" s="343">
        <v>413</v>
      </c>
      <c r="B413" s="344" t="s">
        <v>4852</v>
      </c>
      <c r="C413" s="344" t="s">
        <v>535</v>
      </c>
      <c r="D413" s="344" t="s">
        <v>295</v>
      </c>
      <c r="E413" s="345" t="s">
        <v>1087</v>
      </c>
    </row>
    <row r="414" spans="1:5">
      <c r="A414" s="343">
        <v>414</v>
      </c>
      <c r="B414" s="344" t="s">
        <v>4853</v>
      </c>
      <c r="C414" s="344" t="s">
        <v>535</v>
      </c>
      <c r="D414" s="344" t="s">
        <v>262</v>
      </c>
      <c r="E414" s="345" t="s">
        <v>1087</v>
      </c>
    </row>
    <row r="415" spans="1:5">
      <c r="A415" s="343">
        <v>415</v>
      </c>
      <c r="B415" s="344" t="s">
        <v>4854</v>
      </c>
      <c r="C415" s="344" t="s">
        <v>535</v>
      </c>
      <c r="D415" s="344" t="s">
        <v>295</v>
      </c>
      <c r="E415" s="345" t="s">
        <v>1087</v>
      </c>
    </row>
    <row r="416" spans="1:5">
      <c r="A416" s="343">
        <v>416</v>
      </c>
      <c r="B416" s="344" t="s">
        <v>4855</v>
      </c>
      <c r="C416" s="344" t="s">
        <v>535</v>
      </c>
      <c r="D416" s="344" t="s">
        <v>262</v>
      </c>
      <c r="E416" s="345" t="s">
        <v>1087</v>
      </c>
    </row>
    <row r="417" spans="1:5">
      <c r="A417" s="343">
        <v>417</v>
      </c>
      <c r="B417" s="344" t="s">
        <v>4856</v>
      </c>
      <c r="C417" s="344" t="s">
        <v>535</v>
      </c>
      <c r="D417" s="344" t="s">
        <v>262</v>
      </c>
      <c r="E417" s="345" t="s">
        <v>1087</v>
      </c>
    </row>
    <row r="418" spans="1:5">
      <c r="A418" s="343">
        <v>418</v>
      </c>
      <c r="B418" s="344" t="s">
        <v>4857</v>
      </c>
      <c r="C418" s="344" t="s">
        <v>535</v>
      </c>
      <c r="D418" s="344" t="s">
        <v>262</v>
      </c>
      <c r="E418" s="345" t="s">
        <v>1087</v>
      </c>
    </row>
    <row r="419" spans="1:5">
      <c r="A419" s="343">
        <v>419</v>
      </c>
      <c r="B419" s="344" t="s">
        <v>4858</v>
      </c>
      <c r="C419" s="344" t="s">
        <v>546</v>
      </c>
      <c r="D419" s="344" t="s">
        <v>489</v>
      </c>
      <c r="E419" s="345" t="s">
        <v>1105</v>
      </c>
    </row>
    <row r="420" spans="1:5">
      <c r="A420" s="343">
        <v>420</v>
      </c>
      <c r="B420" s="344" t="s">
        <v>4859</v>
      </c>
      <c r="C420" s="344" t="s">
        <v>546</v>
      </c>
      <c r="D420" s="344" t="s">
        <v>12</v>
      </c>
      <c r="E420" s="345" t="s">
        <v>1105</v>
      </c>
    </row>
    <row r="421" spans="1:5">
      <c r="A421" s="343">
        <v>421</v>
      </c>
      <c r="B421" s="344" t="s">
        <v>4860</v>
      </c>
      <c r="C421" s="344" t="s">
        <v>546</v>
      </c>
      <c r="D421" s="344" t="s">
        <v>4708</v>
      </c>
      <c r="E421" s="345" t="s">
        <v>1105</v>
      </c>
    </row>
    <row r="422" spans="1:5">
      <c r="A422" s="343">
        <v>422</v>
      </c>
      <c r="B422" s="344" t="s">
        <v>1107</v>
      </c>
      <c r="C422" s="344" t="s">
        <v>546</v>
      </c>
      <c r="D422" s="344" t="s">
        <v>4708</v>
      </c>
      <c r="E422" s="345" t="s">
        <v>1105</v>
      </c>
    </row>
    <row r="423" spans="1:5">
      <c r="A423" s="343">
        <v>423</v>
      </c>
      <c r="B423" s="344" t="s">
        <v>4861</v>
      </c>
      <c r="C423" s="344" t="s">
        <v>546</v>
      </c>
      <c r="D423" s="344" t="s">
        <v>4708</v>
      </c>
      <c r="E423" s="345" t="s">
        <v>1105</v>
      </c>
    </row>
    <row r="424" spans="1:5">
      <c r="A424" s="343">
        <v>424</v>
      </c>
      <c r="B424" s="344" t="s">
        <v>4862</v>
      </c>
      <c r="C424" s="344" t="s">
        <v>1789</v>
      </c>
      <c r="D424" s="344" t="s">
        <v>20</v>
      </c>
      <c r="E424" s="345" t="s">
        <v>1105</v>
      </c>
    </row>
    <row r="425" spans="1:5">
      <c r="A425" s="343">
        <v>425</v>
      </c>
      <c r="B425" s="344" t="s">
        <v>4863</v>
      </c>
      <c r="C425" s="344" t="s">
        <v>1789</v>
      </c>
      <c r="D425" s="344" t="s">
        <v>518</v>
      </c>
      <c r="E425" s="345" t="s">
        <v>1105</v>
      </c>
    </row>
    <row r="426" spans="1:5">
      <c r="A426" s="343">
        <v>426</v>
      </c>
      <c r="B426" s="344" t="s">
        <v>662</v>
      </c>
      <c r="C426" s="344" t="s">
        <v>662</v>
      </c>
      <c r="D426" s="344" t="s">
        <v>20</v>
      </c>
      <c r="E426" s="345" t="s">
        <v>1105</v>
      </c>
    </row>
    <row r="427" spans="1:5">
      <c r="A427" s="343">
        <v>427</v>
      </c>
      <c r="B427" s="344" t="s">
        <v>4864</v>
      </c>
      <c r="C427" s="344" t="s">
        <v>662</v>
      </c>
      <c r="D427" s="344" t="s">
        <v>20</v>
      </c>
      <c r="E427" s="345" t="s">
        <v>1105</v>
      </c>
    </row>
    <row r="428" spans="1:5">
      <c r="A428" s="343">
        <v>428</v>
      </c>
      <c r="B428" s="344" t="s">
        <v>203</v>
      </c>
      <c r="C428" s="344" t="s">
        <v>203</v>
      </c>
      <c r="D428" s="344" t="s">
        <v>261</v>
      </c>
      <c r="E428" s="345" t="s">
        <v>1087</v>
      </c>
    </row>
    <row r="429" spans="1:5">
      <c r="A429" s="343">
        <v>429</v>
      </c>
      <c r="B429" s="344" t="s">
        <v>4865</v>
      </c>
      <c r="C429" s="344" t="s">
        <v>203</v>
      </c>
      <c r="D429" s="344" t="s">
        <v>261</v>
      </c>
      <c r="E429" s="345" t="s">
        <v>1087</v>
      </c>
    </row>
    <row r="430" spans="1:5">
      <c r="A430" s="343">
        <v>430</v>
      </c>
      <c r="B430" s="344" t="s">
        <v>4866</v>
      </c>
      <c r="C430" s="344" t="s">
        <v>545</v>
      </c>
      <c r="D430" s="344" t="s">
        <v>20</v>
      </c>
      <c r="E430" s="345" t="s">
        <v>205</v>
      </c>
    </row>
    <row r="431" spans="1:5">
      <c r="A431" s="343">
        <v>431</v>
      </c>
      <c r="B431" s="344" t="s">
        <v>4867</v>
      </c>
      <c r="C431" s="344" t="s">
        <v>545</v>
      </c>
      <c r="D431" s="344" t="s">
        <v>20</v>
      </c>
      <c r="E431" s="345" t="s">
        <v>205</v>
      </c>
    </row>
    <row r="432" spans="1:5">
      <c r="A432" s="343">
        <v>432</v>
      </c>
      <c r="B432" s="344" t="s">
        <v>4868</v>
      </c>
      <c r="C432" s="344" t="s">
        <v>545</v>
      </c>
      <c r="D432" s="344" t="s">
        <v>20</v>
      </c>
      <c r="E432" s="345" t="s">
        <v>205</v>
      </c>
    </row>
    <row r="433" spans="1:5">
      <c r="A433" s="343">
        <v>433</v>
      </c>
      <c r="B433" s="344" t="s">
        <v>4869</v>
      </c>
      <c r="C433" s="344" t="s">
        <v>545</v>
      </c>
      <c r="D433" s="344" t="s">
        <v>20</v>
      </c>
      <c r="E433" s="345" t="s">
        <v>205</v>
      </c>
    </row>
    <row r="434" spans="1:5">
      <c r="A434" s="343">
        <v>434</v>
      </c>
      <c r="B434" s="344" t="s">
        <v>4870</v>
      </c>
      <c r="C434" s="344" t="s">
        <v>545</v>
      </c>
      <c r="D434" s="344" t="s">
        <v>20</v>
      </c>
      <c r="E434" s="345" t="s">
        <v>205</v>
      </c>
    </row>
    <row r="435" spans="1:5">
      <c r="A435" s="343">
        <v>435</v>
      </c>
      <c r="B435" s="344" t="s">
        <v>4871</v>
      </c>
      <c r="C435" s="344" t="s">
        <v>545</v>
      </c>
      <c r="D435" s="344" t="s">
        <v>20</v>
      </c>
      <c r="E435" s="345" t="s">
        <v>205</v>
      </c>
    </row>
    <row r="436" spans="1:5">
      <c r="A436" s="343">
        <v>436</v>
      </c>
      <c r="B436" s="344" t="s">
        <v>4872</v>
      </c>
      <c r="C436" s="344" t="s">
        <v>545</v>
      </c>
      <c r="D436" s="344" t="s">
        <v>20</v>
      </c>
      <c r="E436" s="345" t="s">
        <v>1105</v>
      </c>
    </row>
    <row r="437" spans="1:5">
      <c r="A437" s="343">
        <v>437</v>
      </c>
      <c r="B437" s="344" t="s">
        <v>4873</v>
      </c>
      <c r="C437" s="344" t="s">
        <v>545</v>
      </c>
      <c r="D437" s="344" t="s">
        <v>20</v>
      </c>
      <c r="E437" s="345" t="s">
        <v>1105</v>
      </c>
    </row>
    <row r="438" spans="1:5">
      <c r="A438" s="343">
        <v>438</v>
      </c>
      <c r="B438" s="344" t="s">
        <v>4874</v>
      </c>
      <c r="C438" s="344" t="s">
        <v>545</v>
      </c>
      <c r="D438" s="344" t="s">
        <v>20</v>
      </c>
      <c r="E438" s="345" t="s">
        <v>1105</v>
      </c>
    </row>
    <row r="439" spans="1:5">
      <c r="A439" s="343">
        <v>439</v>
      </c>
      <c r="B439" s="344" t="s">
        <v>4875</v>
      </c>
      <c r="C439" s="344" t="s">
        <v>545</v>
      </c>
      <c r="D439" s="344" t="s">
        <v>20</v>
      </c>
      <c r="E439" s="345" t="s">
        <v>1105</v>
      </c>
    </row>
    <row r="440" spans="1:5">
      <c r="A440" s="343">
        <v>440</v>
      </c>
      <c r="B440" s="344" t="s">
        <v>4876</v>
      </c>
      <c r="C440" s="344" t="s">
        <v>545</v>
      </c>
      <c r="D440" s="344" t="s">
        <v>20</v>
      </c>
      <c r="E440" s="345" t="s">
        <v>1105</v>
      </c>
    </row>
    <row r="441" spans="1:5">
      <c r="A441" s="343">
        <v>441</v>
      </c>
      <c r="B441" s="344" t="s">
        <v>4877</v>
      </c>
      <c r="C441" s="344" t="s">
        <v>545</v>
      </c>
      <c r="D441" s="344" t="s">
        <v>20</v>
      </c>
      <c r="E441" s="345" t="s">
        <v>205</v>
      </c>
    </row>
    <row r="442" spans="1:5">
      <c r="A442" s="343">
        <v>442</v>
      </c>
      <c r="B442" s="344" t="s">
        <v>4878</v>
      </c>
      <c r="C442" s="344" t="s">
        <v>4879</v>
      </c>
      <c r="D442" s="344" t="s">
        <v>20</v>
      </c>
      <c r="E442" s="345" t="s">
        <v>1105</v>
      </c>
    </row>
    <row r="443" spans="1:5">
      <c r="A443" s="343">
        <v>443</v>
      </c>
      <c r="B443" s="344" t="s">
        <v>4880</v>
      </c>
      <c r="C443" s="344" t="s">
        <v>4879</v>
      </c>
      <c r="D443" s="344" t="s">
        <v>12</v>
      </c>
      <c r="E443" s="345" t="s">
        <v>205</v>
      </c>
    </row>
    <row r="444" spans="1:5">
      <c r="A444" s="343">
        <v>444</v>
      </c>
      <c r="B444" s="344" t="s">
        <v>4881</v>
      </c>
      <c r="C444" s="344" t="s">
        <v>4881</v>
      </c>
      <c r="D444" s="344"/>
      <c r="E444" s="345" t="s">
        <v>205</v>
      </c>
    </row>
    <row r="445" spans="1:5">
      <c r="A445" s="343">
        <v>445</v>
      </c>
      <c r="B445" s="344" t="s">
        <v>4882</v>
      </c>
      <c r="C445" s="344" t="s">
        <v>545</v>
      </c>
      <c r="D445" s="344" t="s">
        <v>20</v>
      </c>
      <c r="E445" s="345" t="s">
        <v>1105</v>
      </c>
    </row>
    <row r="446" spans="1:5">
      <c r="A446" s="343">
        <v>446</v>
      </c>
      <c r="B446" s="344" t="s">
        <v>4883</v>
      </c>
      <c r="C446" s="344" t="s">
        <v>4879</v>
      </c>
      <c r="D446" s="344" t="s">
        <v>20</v>
      </c>
      <c r="E446" s="345" t="s">
        <v>1105</v>
      </c>
    </row>
    <row r="447" spans="1:5">
      <c r="A447" s="343">
        <v>447</v>
      </c>
      <c r="B447" s="344" t="s">
        <v>613</v>
      </c>
      <c r="C447" s="344" t="s">
        <v>613</v>
      </c>
      <c r="D447" s="344" t="s">
        <v>14</v>
      </c>
      <c r="E447" s="345" t="s">
        <v>1087</v>
      </c>
    </row>
    <row r="448" spans="1:5">
      <c r="A448" s="343">
        <v>448</v>
      </c>
      <c r="B448" s="344" t="s">
        <v>4884</v>
      </c>
      <c r="C448" s="344" t="s">
        <v>4884</v>
      </c>
      <c r="D448" s="344" t="s">
        <v>262</v>
      </c>
      <c r="E448" s="345" t="s">
        <v>1105</v>
      </c>
    </row>
    <row r="449" spans="1:5">
      <c r="A449" s="343">
        <v>449</v>
      </c>
      <c r="B449" s="344" t="s">
        <v>619</v>
      </c>
      <c r="C449" s="344" t="s">
        <v>619</v>
      </c>
      <c r="D449" s="344" t="s">
        <v>596</v>
      </c>
      <c r="E449" s="345" t="s">
        <v>205</v>
      </c>
    </row>
    <row r="450" spans="1:5">
      <c r="A450" s="343">
        <v>451</v>
      </c>
      <c r="B450" s="344" t="s">
        <v>4885</v>
      </c>
      <c r="C450" s="344" t="s">
        <v>535</v>
      </c>
      <c r="D450" s="344" t="s">
        <v>518</v>
      </c>
      <c r="E450" s="345" t="s">
        <v>1087</v>
      </c>
    </row>
    <row r="451" spans="1:5">
      <c r="A451" s="343">
        <v>452</v>
      </c>
      <c r="B451" s="344" t="s">
        <v>4886</v>
      </c>
      <c r="C451" s="344" t="s">
        <v>535</v>
      </c>
      <c r="D451" s="344" t="s">
        <v>518</v>
      </c>
      <c r="E451" s="345" t="s">
        <v>1087</v>
      </c>
    </row>
    <row r="452" spans="1:5">
      <c r="A452" s="343">
        <v>453</v>
      </c>
      <c r="B452" s="344" t="s">
        <v>592</v>
      </c>
      <c r="C452" s="344" t="s">
        <v>535</v>
      </c>
      <c r="D452" s="344" t="s">
        <v>518</v>
      </c>
      <c r="E452" s="345" t="s">
        <v>1087</v>
      </c>
    </row>
    <row r="453" spans="1:5">
      <c r="A453" s="343">
        <v>454</v>
      </c>
      <c r="B453" s="344" t="s">
        <v>4887</v>
      </c>
      <c r="C453" s="344" t="s">
        <v>535</v>
      </c>
      <c r="D453" s="344" t="s">
        <v>518</v>
      </c>
      <c r="E453" s="345" t="s">
        <v>1087</v>
      </c>
    </row>
    <row r="454" spans="1:5">
      <c r="A454" s="343">
        <v>455</v>
      </c>
      <c r="B454" s="344" t="s">
        <v>597</v>
      </c>
      <c r="C454" s="344" t="s">
        <v>535</v>
      </c>
      <c r="D454" s="344" t="s">
        <v>518</v>
      </c>
      <c r="E454" s="345" t="s">
        <v>1087</v>
      </c>
    </row>
    <row r="455" spans="1:5">
      <c r="A455" s="343">
        <v>456</v>
      </c>
      <c r="B455" s="344" t="s">
        <v>4888</v>
      </c>
      <c r="C455" s="344" t="s">
        <v>663</v>
      </c>
      <c r="D455" s="344" t="s">
        <v>20</v>
      </c>
      <c r="E455" s="345" t="s">
        <v>1087</v>
      </c>
    </row>
    <row r="456" spans="1:5">
      <c r="A456" s="343">
        <v>457</v>
      </c>
      <c r="B456" s="344" t="s">
        <v>4889</v>
      </c>
      <c r="C456" s="344" t="s">
        <v>535</v>
      </c>
      <c r="D456" s="344" t="s">
        <v>262</v>
      </c>
      <c r="E456" s="345" t="s">
        <v>1087</v>
      </c>
    </row>
    <row r="457" spans="1:5">
      <c r="A457" s="343">
        <v>458</v>
      </c>
      <c r="B457" s="344" t="s">
        <v>4890</v>
      </c>
      <c r="C457" s="344" t="s">
        <v>535</v>
      </c>
      <c r="D457" s="344" t="s">
        <v>262</v>
      </c>
      <c r="E457" s="345" t="s">
        <v>1087</v>
      </c>
    </row>
    <row r="458" spans="1:5">
      <c r="A458" s="343">
        <v>459</v>
      </c>
      <c r="B458" s="344" t="s">
        <v>4891</v>
      </c>
      <c r="C458" s="344" t="s">
        <v>535</v>
      </c>
      <c r="D458" s="344" t="s">
        <v>518</v>
      </c>
      <c r="E458" s="345" t="s">
        <v>1087</v>
      </c>
    </row>
    <row r="459" spans="1:5">
      <c r="A459" s="343">
        <v>460</v>
      </c>
      <c r="B459" s="344" t="s">
        <v>4892</v>
      </c>
      <c r="C459" s="344" t="s">
        <v>535</v>
      </c>
      <c r="D459" s="344" t="s">
        <v>262</v>
      </c>
      <c r="E459" s="345" t="s">
        <v>1087</v>
      </c>
    </row>
    <row r="460" spans="1:5">
      <c r="A460" s="343">
        <v>461</v>
      </c>
      <c r="B460" s="344" t="s">
        <v>4893</v>
      </c>
      <c r="C460" s="344" t="s">
        <v>535</v>
      </c>
      <c r="D460" s="344" t="s">
        <v>518</v>
      </c>
      <c r="E460" s="345" t="s">
        <v>1087</v>
      </c>
    </row>
    <row r="461" spans="1:5">
      <c r="A461" s="343">
        <v>462</v>
      </c>
      <c r="B461" s="344" t="s">
        <v>4894</v>
      </c>
      <c r="C461" s="344" t="s">
        <v>4895</v>
      </c>
      <c r="D461" s="344" t="s">
        <v>4708</v>
      </c>
      <c r="E461" s="345" t="s">
        <v>205</v>
      </c>
    </row>
    <row r="462" spans="1:5">
      <c r="A462" s="343">
        <v>463</v>
      </c>
      <c r="B462" s="344" t="s">
        <v>4896</v>
      </c>
      <c r="C462" s="344" t="s">
        <v>4895</v>
      </c>
      <c r="D462" s="344" t="s">
        <v>4708</v>
      </c>
      <c r="E462" s="345" t="s">
        <v>205</v>
      </c>
    </row>
    <row r="463" spans="1:5">
      <c r="A463" s="343">
        <v>464</v>
      </c>
      <c r="B463" s="344" t="s">
        <v>4897</v>
      </c>
      <c r="C463" s="344" t="s">
        <v>4895</v>
      </c>
      <c r="D463" s="344" t="s">
        <v>20</v>
      </c>
      <c r="E463" s="345" t="s">
        <v>205</v>
      </c>
    </row>
    <row r="464" spans="1:5">
      <c r="A464" s="343">
        <v>465</v>
      </c>
      <c r="B464" s="344" t="s">
        <v>4898</v>
      </c>
      <c r="C464" s="344" t="s">
        <v>4895</v>
      </c>
      <c r="D464" s="344" t="s">
        <v>20</v>
      </c>
      <c r="E464" s="345" t="s">
        <v>205</v>
      </c>
    </row>
    <row r="465" spans="1:5">
      <c r="A465" s="343">
        <v>466</v>
      </c>
      <c r="B465" s="344" t="s">
        <v>4899</v>
      </c>
      <c r="C465" s="344" t="s">
        <v>1511</v>
      </c>
      <c r="D465" s="344" t="s">
        <v>4847</v>
      </c>
      <c r="E465" s="345" t="s">
        <v>1105</v>
      </c>
    </row>
    <row r="466" spans="1:5">
      <c r="A466" s="343">
        <v>467</v>
      </c>
      <c r="B466" s="344" t="s">
        <v>4900</v>
      </c>
      <c r="C466" s="344" t="s">
        <v>4901</v>
      </c>
      <c r="D466" s="344" t="s">
        <v>4708</v>
      </c>
      <c r="E466" s="345" t="s">
        <v>205</v>
      </c>
    </row>
    <row r="467" spans="1:5">
      <c r="A467" s="343">
        <v>468</v>
      </c>
      <c r="B467" s="344" t="s">
        <v>4902</v>
      </c>
      <c r="C467" s="344" t="s">
        <v>605</v>
      </c>
      <c r="D467" s="344" t="s">
        <v>20</v>
      </c>
      <c r="E467" s="345" t="s">
        <v>1087</v>
      </c>
    </row>
    <row r="468" spans="1:5">
      <c r="A468" s="343">
        <v>469</v>
      </c>
      <c r="B468" s="344" t="s">
        <v>4903</v>
      </c>
      <c r="C468" s="344" t="s">
        <v>605</v>
      </c>
      <c r="D468" s="344" t="s">
        <v>14</v>
      </c>
      <c r="E468" s="345" t="s">
        <v>1087</v>
      </c>
    </row>
    <row r="469" spans="1:5">
      <c r="A469" s="343">
        <v>470</v>
      </c>
      <c r="B469" s="344" t="s">
        <v>604</v>
      </c>
      <c r="C469" s="344" t="s">
        <v>605</v>
      </c>
      <c r="D469" s="344" t="s">
        <v>14</v>
      </c>
      <c r="E469" s="345" t="s">
        <v>1087</v>
      </c>
    </row>
    <row r="470" spans="1:5">
      <c r="A470" s="343">
        <v>471</v>
      </c>
      <c r="B470" s="344" t="s">
        <v>4904</v>
      </c>
      <c r="C470" s="344" t="s">
        <v>605</v>
      </c>
      <c r="D470" s="344" t="s">
        <v>14</v>
      </c>
      <c r="E470" s="345" t="s">
        <v>1087</v>
      </c>
    </row>
    <row r="471" spans="1:5">
      <c r="A471" s="343">
        <v>472</v>
      </c>
      <c r="B471" s="344" t="s">
        <v>4905</v>
      </c>
      <c r="C471" s="344" t="s">
        <v>605</v>
      </c>
      <c r="D471" s="344" t="s">
        <v>20</v>
      </c>
      <c r="E471" s="345" t="s">
        <v>1087</v>
      </c>
    </row>
    <row r="472" spans="1:5">
      <c r="A472" s="343">
        <v>473</v>
      </c>
      <c r="B472" s="344" t="s">
        <v>4906</v>
      </c>
      <c r="C472" s="344" t="s">
        <v>605</v>
      </c>
      <c r="D472" s="344" t="s">
        <v>14</v>
      </c>
      <c r="E472" s="345" t="s">
        <v>1087</v>
      </c>
    </row>
    <row r="473" spans="1:5">
      <c r="A473" s="343">
        <v>474</v>
      </c>
      <c r="B473" s="344" t="s">
        <v>4907</v>
      </c>
      <c r="C473" s="344" t="s">
        <v>609</v>
      </c>
      <c r="D473" s="344" t="s">
        <v>20</v>
      </c>
      <c r="E473" s="345" t="s">
        <v>205</v>
      </c>
    </row>
    <row r="474" spans="1:5">
      <c r="A474" s="343">
        <v>475</v>
      </c>
      <c r="B474" s="344" t="s">
        <v>4908</v>
      </c>
      <c r="C474" s="344" t="s">
        <v>609</v>
      </c>
      <c r="D474" s="344" t="s">
        <v>20</v>
      </c>
      <c r="E474" s="345" t="s">
        <v>205</v>
      </c>
    </row>
    <row r="475" spans="1:5">
      <c r="A475" s="343">
        <v>476</v>
      </c>
      <c r="B475" s="344" t="s">
        <v>4909</v>
      </c>
      <c r="C475" s="344" t="s">
        <v>609</v>
      </c>
      <c r="D475" s="344"/>
      <c r="E475" s="345" t="s">
        <v>205</v>
      </c>
    </row>
    <row r="476" spans="1:5">
      <c r="A476" s="343">
        <v>477</v>
      </c>
      <c r="B476" s="344" t="s">
        <v>600</v>
      </c>
      <c r="C476" s="344" t="s">
        <v>538</v>
      </c>
      <c r="D476" s="344" t="s">
        <v>20</v>
      </c>
      <c r="E476" s="345" t="s">
        <v>1087</v>
      </c>
    </row>
    <row r="477" spans="1:5">
      <c r="A477" s="343">
        <v>478</v>
      </c>
      <c r="B477" s="344" t="s">
        <v>4910</v>
      </c>
      <c r="C477" s="344" t="s">
        <v>538</v>
      </c>
      <c r="D477" s="344" t="s">
        <v>20</v>
      </c>
      <c r="E477" s="345" t="s">
        <v>1087</v>
      </c>
    </row>
    <row r="478" spans="1:5">
      <c r="A478" s="343">
        <v>479</v>
      </c>
      <c r="B478" s="344" t="s">
        <v>4911</v>
      </c>
      <c r="C478" s="344" t="s">
        <v>591</v>
      </c>
      <c r="D478" s="344" t="s">
        <v>518</v>
      </c>
      <c r="E478" s="345" t="s">
        <v>1087</v>
      </c>
    </row>
    <row r="479" spans="1:5">
      <c r="A479" s="343">
        <v>480</v>
      </c>
      <c r="B479" s="344" t="s">
        <v>714</v>
      </c>
      <c r="C479" s="344" t="s">
        <v>591</v>
      </c>
      <c r="D479" s="344" t="s">
        <v>20</v>
      </c>
      <c r="E479" s="345" t="s">
        <v>1087</v>
      </c>
    </row>
    <row r="480" spans="1:5">
      <c r="A480" s="343">
        <v>481</v>
      </c>
      <c r="B480" s="343" t="s">
        <v>4912</v>
      </c>
      <c r="C480" s="343" t="s">
        <v>4913</v>
      </c>
      <c r="D480" s="343" t="s">
        <v>20</v>
      </c>
      <c r="E480" s="346" t="s">
        <v>425</v>
      </c>
    </row>
    <row r="481" spans="1:5">
      <c r="A481" s="343">
        <v>482</v>
      </c>
      <c r="B481" s="344" t="s">
        <v>4914</v>
      </c>
      <c r="C481" s="344" t="s">
        <v>1561</v>
      </c>
      <c r="D481" s="344" t="s">
        <v>20</v>
      </c>
      <c r="E481" s="345" t="s">
        <v>1087</v>
      </c>
    </row>
    <row r="482" spans="1:5">
      <c r="A482" s="343">
        <v>483</v>
      </c>
      <c r="B482" s="344" t="s">
        <v>4915</v>
      </c>
      <c r="C482" s="344" t="s">
        <v>1561</v>
      </c>
      <c r="D482" s="344" t="s">
        <v>20</v>
      </c>
      <c r="E482" s="345" t="s">
        <v>1087</v>
      </c>
    </row>
    <row r="483" spans="1:5">
      <c r="A483" s="343">
        <v>484</v>
      </c>
      <c r="B483" s="344" t="s">
        <v>4916</v>
      </c>
      <c r="C483" s="344" t="s">
        <v>1561</v>
      </c>
      <c r="D483" s="344" t="s">
        <v>20</v>
      </c>
      <c r="E483" s="345" t="s">
        <v>1087</v>
      </c>
    </row>
    <row r="484" spans="1:5">
      <c r="A484" s="343">
        <v>485</v>
      </c>
      <c r="B484" s="344" t="s">
        <v>4917</v>
      </c>
      <c r="C484" s="344" t="s">
        <v>1561</v>
      </c>
      <c r="D484" s="344" t="s">
        <v>20</v>
      </c>
      <c r="E484" s="345" t="s">
        <v>1087</v>
      </c>
    </row>
    <row r="485" spans="1:5">
      <c r="A485" s="343">
        <v>486</v>
      </c>
      <c r="B485" s="344" t="s">
        <v>4918</v>
      </c>
      <c r="C485" s="344" t="s">
        <v>4919</v>
      </c>
      <c r="D485" s="344" t="s">
        <v>20</v>
      </c>
      <c r="E485" s="345" t="s">
        <v>1147</v>
      </c>
    </row>
    <row r="486" spans="1:5">
      <c r="A486" s="343">
        <v>487</v>
      </c>
      <c r="B486" s="344" t="s">
        <v>4920</v>
      </c>
      <c r="C486" s="344" t="s">
        <v>4919</v>
      </c>
      <c r="D486" s="344" t="s">
        <v>20</v>
      </c>
      <c r="E486" s="345" t="s">
        <v>1147</v>
      </c>
    </row>
    <row r="487" spans="1:5">
      <c r="A487" s="343">
        <v>488</v>
      </c>
      <c r="B487" s="344" t="s">
        <v>4921</v>
      </c>
      <c r="C487" s="344" t="s">
        <v>4919</v>
      </c>
      <c r="D487" s="344" t="s">
        <v>20</v>
      </c>
      <c r="E487" s="345" t="s">
        <v>1147</v>
      </c>
    </row>
    <row r="488" spans="1:5">
      <c r="A488" s="343">
        <v>489</v>
      </c>
      <c r="B488" s="344" t="s">
        <v>4922</v>
      </c>
      <c r="C488" s="344" t="s">
        <v>4919</v>
      </c>
      <c r="D488" s="344" t="s">
        <v>20</v>
      </c>
      <c r="E488" s="345" t="s">
        <v>1147</v>
      </c>
    </row>
    <row r="489" spans="1:5">
      <c r="A489" s="343">
        <v>490</v>
      </c>
      <c r="B489" s="344" t="s">
        <v>4923</v>
      </c>
      <c r="C489" s="344" t="s">
        <v>4919</v>
      </c>
      <c r="D489" s="344" t="s">
        <v>20</v>
      </c>
      <c r="E489" s="345" t="s">
        <v>1147</v>
      </c>
    </row>
    <row r="490" spans="1:5">
      <c r="A490" s="343">
        <v>491</v>
      </c>
      <c r="B490" s="344" t="s">
        <v>2077</v>
      </c>
      <c r="C490" s="344" t="s">
        <v>536</v>
      </c>
      <c r="D490" s="344" t="s">
        <v>20</v>
      </c>
      <c r="E490" s="345" t="s">
        <v>1087</v>
      </c>
    </row>
    <row r="491" spans="1:5">
      <c r="A491" s="343">
        <v>492</v>
      </c>
      <c r="B491" s="344" t="s">
        <v>4924</v>
      </c>
      <c r="C491" s="344" t="s">
        <v>536</v>
      </c>
      <c r="D491" s="344" t="s">
        <v>20</v>
      </c>
      <c r="E491" s="345" t="s">
        <v>1087</v>
      </c>
    </row>
    <row r="492" spans="1:5">
      <c r="A492" s="343">
        <v>493</v>
      </c>
      <c r="B492" s="344" t="s">
        <v>4925</v>
      </c>
      <c r="C492" s="344" t="s">
        <v>536</v>
      </c>
      <c r="D492" s="344" t="s">
        <v>20</v>
      </c>
      <c r="E492" s="345" t="s">
        <v>1087</v>
      </c>
    </row>
    <row r="493" spans="1:5">
      <c r="A493" s="343">
        <v>494</v>
      </c>
      <c r="B493" s="344" t="s">
        <v>4926</v>
      </c>
      <c r="C493" s="344" t="s">
        <v>4926</v>
      </c>
      <c r="D493" s="344"/>
      <c r="E493" s="345" t="s">
        <v>1087</v>
      </c>
    </row>
    <row r="494" spans="1:5">
      <c r="A494" s="343">
        <v>495</v>
      </c>
      <c r="B494" s="344" t="s">
        <v>4927</v>
      </c>
      <c r="C494" s="344" t="s">
        <v>541</v>
      </c>
      <c r="D494" s="344" t="s">
        <v>4928</v>
      </c>
      <c r="E494" s="345" t="s">
        <v>1087</v>
      </c>
    </row>
    <row r="495" spans="1:5">
      <c r="A495" s="343">
        <v>496</v>
      </c>
      <c r="B495" s="344" t="s">
        <v>4929</v>
      </c>
      <c r="C495" s="344" t="s">
        <v>537</v>
      </c>
      <c r="D495" s="344" t="s">
        <v>20</v>
      </c>
      <c r="E495" s="345" t="s">
        <v>205</v>
      </c>
    </row>
    <row r="496" spans="1:5">
      <c r="A496" s="343">
        <v>497</v>
      </c>
      <c r="B496" s="344" t="s">
        <v>4930</v>
      </c>
      <c r="C496" s="344" t="s">
        <v>537</v>
      </c>
      <c r="D496" s="344" t="s">
        <v>4931</v>
      </c>
      <c r="E496" s="345" t="s">
        <v>205</v>
      </c>
    </row>
    <row r="497" spans="1:5">
      <c r="A497" s="343">
        <v>498</v>
      </c>
      <c r="B497" s="344" t="s">
        <v>4932</v>
      </c>
      <c r="C497" s="344" t="s">
        <v>537</v>
      </c>
      <c r="D497" s="344" t="s">
        <v>20</v>
      </c>
      <c r="E497" s="345" t="s">
        <v>205</v>
      </c>
    </row>
    <row r="498" spans="1:5">
      <c r="A498" s="343">
        <v>499</v>
      </c>
      <c r="B498" s="344" t="s">
        <v>4933</v>
      </c>
      <c r="C498" s="344" t="s">
        <v>537</v>
      </c>
      <c r="D498" s="344" t="s">
        <v>20</v>
      </c>
      <c r="E498" s="345" t="s">
        <v>205</v>
      </c>
    </row>
    <row r="499" spans="1:5">
      <c r="A499" s="343">
        <v>500</v>
      </c>
      <c r="B499" s="344" t="s">
        <v>4934</v>
      </c>
      <c r="C499" s="344" t="s">
        <v>1034</v>
      </c>
      <c r="D499" s="344" t="s">
        <v>14</v>
      </c>
      <c r="E499" s="345" t="s">
        <v>1087</v>
      </c>
    </row>
    <row r="500" spans="1:5">
      <c r="A500" s="343">
        <v>501</v>
      </c>
      <c r="B500" s="344" t="s">
        <v>4935</v>
      </c>
      <c r="C500" s="344" t="s">
        <v>1159</v>
      </c>
      <c r="D500" s="344" t="s">
        <v>20</v>
      </c>
      <c r="E500" s="345" t="s">
        <v>1147</v>
      </c>
    </row>
    <row r="501" spans="1:5">
      <c r="A501" s="343">
        <v>502</v>
      </c>
      <c r="B501" s="344" t="s">
        <v>4936</v>
      </c>
      <c r="C501" s="344" t="s">
        <v>1159</v>
      </c>
      <c r="D501" s="344" t="s">
        <v>20</v>
      </c>
      <c r="E501" s="345" t="s">
        <v>1147</v>
      </c>
    </row>
    <row r="502" spans="1:5">
      <c r="A502" s="343">
        <v>504</v>
      </c>
      <c r="B502" s="344" t="s">
        <v>4937</v>
      </c>
      <c r="C502" s="344" t="s">
        <v>1236</v>
      </c>
      <c r="D502" s="344" t="s">
        <v>14</v>
      </c>
      <c r="E502" s="345" t="s">
        <v>1147</v>
      </c>
    </row>
    <row r="503" spans="1:5">
      <c r="A503" s="343">
        <v>505</v>
      </c>
      <c r="B503" s="344" t="s">
        <v>4938</v>
      </c>
      <c r="C503" s="344" t="s">
        <v>720</v>
      </c>
      <c r="D503" s="344" t="s">
        <v>14</v>
      </c>
      <c r="E503" s="345" t="s">
        <v>1147</v>
      </c>
    </row>
    <row r="504" spans="1:5">
      <c r="A504" s="343">
        <v>506</v>
      </c>
      <c r="B504" s="344" t="s">
        <v>4939</v>
      </c>
      <c r="C504" s="344" t="s">
        <v>720</v>
      </c>
      <c r="D504" s="344" t="s">
        <v>4940</v>
      </c>
      <c r="E504" s="345" t="s">
        <v>1147</v>
      </c>
    </row>
    <row r="505" spans="1:5">
      <c r="A505" s="343">
        <v>507</v>
      </c>
      <c r="B505" s="344" t="s">
        <v>4941</v>
      </c>
      <c r="C505" s="344" t="s">
        <v>4942</v>
      </c>
      <c r="D505" s="344" t="s">
        <v>20</v>
      </c>
      <c r="E505" s="345" t="s">
        <v>1147</v>
      </c>
    </row>
    <row r="506" spans="1:5">
      <c r="A506" s="343">
        <v>508</v>
      </c>
      <c r="B506" s="344" t="s">
        <v>4943</v>
      </c>
      <c r="C506" s="344" t="s">
        <v>4942</v>
      </c>
      <c r="D506" s="344" t="s">
        <v>4944</v>
      </c>
      <c r="E506" s="345" t="s">
        <v>1147</v>
      </c>
    </row>
    <row r="507" spans="1:5">
      <c r="A507" s="343">
        <v>509</v>
      </c>
      <c r="B507" s="344" t="s">
        <v>4945</v>
      </c>
      <c r="C507" s="344" t="s">
        <v>4946</v>
      </c>
      <c r="D507" s="344" t="s">
        <v>4940</v>
      </c>
      <c r="E507" s="345" t="s">
        <v>1147</v>
      </c>
    </row>
    <row r="508" spans="1:5">
      <c r="A508" s="343">
        <v>510</v>
      </c>
      <c r="B508" s="344" t="s">
        <v>579</v>
      </c>
      <c r="C508" s="344" t="s">
        <v>1853</v>
      </c>
      <c r="D508" s="344" t="s">
        <v>20</v>
      </c>
      <c r="E508" s="345" t="s">
        <v>1147</v>
      </c>
    </row>
    <row r="509" spans="1:5">
      <c r="A509" s="343">
        <v>511</v>
      </c>
      <c r="B509" s="344" t="s">
        <v>4947</v>
      </c>
      <c r="C509" s="344" t="s">
        <v>4948</v>
      </c>
      <c r="D509" s="344" t="s">
        <v>20</v>
      </c>
      <c r="E509" s="345" t="s">
        <v>1147</v>
      </c>
    </row>
    <row r="510" spans="1:5">
      <c r="A510" s="343">
        <v>512</v>
      </c>
      <c r="B510" s="344" t="s">
        <v>4949</v>
      </c>
      <c r="C510" s="344" t="s">
        <v>4948</v>
      </c>
      <c r="D510" s="344" t="s">
        <v>20</v>
      </c>
      <c r="E510" s="345" t="s">
        <v>1147</v>
      </c>
    </row>
    <row r="511" spans="1:5">
      <c r="A511" s="343">
        <v>513</v>
      </c>
      <c r="B511" s="344" t="s">
        <v>4950</v>
      </c>
      <c r="C511" s="344" t="s">
        <v>4948</v>
      </c>
      <c r="D511" s="344" t="s">
        <v>20</v>
      </c>
      <c r="E511" s="345" t="s">
        <v>1147</v>
      </c>
    </row>
    <row r="512" spans="1:5">
      <c r="A512" s="343">
        <v>514</v>
      </c>
      <c r="B512" s="344" t="s">
        <v>4951</v>
      </c>
      <c r="C512" s="344" t="s">
        <v>4951</v>
      </c>
      <c r="D512" s="344" t="s">
        <v>4944</v>
      </c>
      <c r="E512" s="345" t="s">
        <v>205</v>
      </c>
    </row>
    <row r="513" spans="1:5">
      <c r="A513" s="343">
        <v>515</v>
      </c>
      <c r="B513" s="344" t="s">
        <v>4952</v>
      </c>
      <c r="C513" s="347" t="s">
        <v>4739</v>
      </c>
      <c r="D513" s="344" t="s">
        <v>20</v>
      </c>
      <c r="E513" s="345" t="s">
        <v>1087</v>
      </c>
    </row>
    <row r="514" spans="1:5">
      <c r="A514" s="343">
        <v>516</v>
      </c>
      <c r="B514" s="344" t="s">
        <v>4953</v>
      </c>
      <c r="C514" s="347" t="s">
        <v>4739</v>
      </c>
      <c r="D514" s="344" t="s">
        <v>20</v>
      </c>
      <c r="E514" s="345" t="s">
        <v>1087</v>
      </c>
    </row>
    <row r="515" spans="1:5">
      <c r="A515" s="343">
        <v>517</v>
      </c>
      <c r="B515" s="344" t="s">
        <v>4954</v>
      </c>
      <c r="C515" s="344" t="s">
        <v>1159</v>
      </c>
      <c r="D515" s="344" t="s">
        <v>4944</v>
      </c>
      <c r="E515" s="345" t="s">
        <v>1147</v>
      </c>
    </row>
    <row r="516" spans="1:5">
      <c r="A516" s="343">
        <v>518</v>
      </c>
      <c r="B516" s="344" t="s">
        <v>4955</v>
      </c>
      <c r="C516" s="344" t="s">
        <v>4955</v>
      </c>
      <c r="D516" s="344" t="s">
        <v>20</v>
      </c>
      <c r="E516" s="345" t="s">
        <v>1147</v>
      </c>
    </row>
    <row r="517" spans="1:5">
      <c r="A517" s="343">
        <v>519</v>
      </c>
      <c r="B517" s="344" t="s">
        <v>4956</v>
      </c>
      <c r="C517" s="344" t="s">
        <v>545</v>
      </c>
      <c r="D517" s="344" t="s">
        <v>20</v>
      </c>
      <c r="E517" s="345" t="s">
        <v>1087</v>
      </c>
    </row>
    <row r="518" spans="1:5">
      <c r="A518" s="343">
        <v>520</v>
      </c>
      <c r="B518" s="344" t="s">
        <v>4957</v>
      </c>
      <c r="C518" s="344" t="s">
        <v>545</v>
      </c>
      <c r="D518" s="344" t="s">
        <v>20</v>
      </c>
      <c r="E518" s="345" t="s">
        <v>1087</v>
      </c>
    </row>
    <row r="519" spans="1:5">
      <c r="A519" s="343">
        <v>521</v>
      </c>
      <c r="B519" s="344" t="s">
        <v>4958</v>
      </c>
      <c r="C519" s="344" t="s">
        <v>4958</v>
      </c>
      <c r="D519" s="344" t="s">
        <v>4944</v>
      </c>
      <c r="E519" s="345" t="s">
        <v>1147</v>
      </c>
    </row>
    <row r="520" spans="1:5">
      <c r="A520" s="343">
        <v>522</v>
      </c>
      <c r="B520" s="344" t="s">
        <v>4959</v>
      </c>
      <c r="C520" s="344" t="s">
        <v>4960</v>
      </c>
      <c r="D520" s="344" t="s">
        <v>20</v>
      </c>
      <c r="E520" s="345" t="s">
        <v>1147</v>
      </c>
    </row>
    <row r="521" spans="1:5">
      <c r="A521" s="343">
        <v>523</v>
      </c>
      <c r="B521" s="344" t="s">
        <v>4961</v>
      </c>
      <c r="C521" s="344" t="s">
        <v>4960</v>
      </c>
      <c r="D521" s="344" t="s">
        <v>20</v>
      </c>
      <c r="E521" s="345" t="s">
        <v>1147</v>
      </c>
    </row>
    <row r="522" spans="1:5">
      <c r="A522" s="343">
        <v>524</v>
      </c>
      <c r="B522" s="344" t="s">
        <v>4962</v>
      </c>
      <c r="C522" s="344" t="s">
        <v>4960</v>
      </c>
      <c r="D522" s="344" t="s">
        <v>20</v>
      </c>
      <c r="E522" s="345" t="s">
        <v>1147</v>
      </c>
    </row>
    <row r="523" spans="1:5">
      <c r="A523" s="343">
        <v>525</v>
      </c>
      <c r="B523" s="344" t="s">
        <v>4963</v>
      </c>
      <c r="C523" s="344" t="s">
        <v>4960</v>
      </c>
      <c r="D523" s="344" t="s">
        <v>20</v>
      </c>
      <c r="E523" s="345" t="s">
        <v>1147</v>
      </c>
    </row>
    <row r="524" spans="1:5">
      <c r="A524" s="343">
        <v>526</v>
      </c>
      <c r="B524" s="344" t="s">
        <v>4964</v>
      </c>
      <c r="C524" s="344" t="s">
        <v>4960</v>
      </c>
      <c r="D524" s="344" t="s">
        <v>20</v>
      </c>
      <c r="E524" s="345" t="s">
        <v>1147</v>
      </c>
    </row>
    <row r="525" spans="1:5">
      <c r="A525" s="343">
        <v>527</v>
      </c>
      <c r="B525" s="344" t="s">
        <v>4965</v>
      </c>
      <c r="C525" s="344" t="s">
        <v>4966</v>
      </c>
      <c r="D525" s="344" t="s">
        <v>4931</v>
      </c>
      <c r="E525" s="345" t="s">
        <v>1147</v>
      </c>
    </row>
    <row r="526" spans="1:5">
      <c r="A526" s="343">
        <v>528</v>
      </c>
      <c r="B526" s="344" t="s">
        <v>4967</v>
      </c>
      <c r="C526" s="344" t="s">
        <v>538</v>
      </c>
      <c r="D526" s="344" t="s">
        <v>20</v>
      </c>
      <c r="E526" s="345" t="s">
        <v>205</v>
      </c>
    </row>
    <row r="527" spans="1:5">
      <c r="A527" s="343">
        <v>529</v>
      </c>
      <c r="B527" s="344" t="s">
        <v>4968</v>
      </c>
      <c r="C527" s="344" t="s">
        <v>538</v>
      </c>
      <c r="D527" s="344" t="s">
        <v>20</v>
      </c>
      <c r="E527" s="345" t="s">
        <v>205</v>
      </c>
    </row>
    <row r="528" spans="1:5">
      <c r="A528" s="343">
        <v>530</v>
      </c>
      <c r="B528" s="344" t="s">
        <v>1983</v>
      </c>
      <c r="C528" s="344" t="s">
        <v>538</v>
      </c>
      <c r="D528" s="344" t="s">
        <v>20</v>
      </c>
      <c r="E528" s="345" t="s">
        <v>205</v>
      </c>
    </row>
    <row r="529" spans="1:5">
      <c r="A529" s="343">
        <v>531</v>
      </c>
      <c r="B529" s="344" t="s">
        <v>4969</v>
      </c>
      <c r="C529" s="344" t="s">
        <v>591</v>
      </c>
      <c r="D529" s="344" t="s">
        <v>20</v>
      </c>
      <c r="E529" s="345" t="s">
        <v>205</v>
      </c>
    </row>
    <row r="530" spans="1:5">
      <c r="A530" s="343">
        <v>532</v>
      </c>
      <c r="B530" s="344" t="s">
        <v>4970</v>
      </c>
      <c r="C530" s="344" t="s">
        <v>591</v>
      </c>
      <c r="D530" s="344" t="s">
        <v>20</v>
      </c>
      <c r="E530" s="345" t="s">
        <v>205</v>
      </c>
    </row>
    <row r="531" spans="1:5">
      <c r="A531" s="343">
        <v>533</v>
      </c>
      <c r="B531" s="344" t="s">
        <v>4971</v>
      </c>
      <c r="C531" s="344" t="s">
        <v>1561</v>
      </c>
      <c r="D531" s="344" t="s">
        <v>20</v>
      </c>
      <c r="E531" s="345" t="s">
        <v>205</v>
      </c>
    </row>
    <row r="532" spans="1:5">
      <c r="A532" s="343">
        <v>534</v>
      </c>
      <c r="B532" s="344" t="s">
        <v>4972</v>
      </c>
      <c r="C532" s="344" t="s">
        <v>1561</v>
      </c>
      <c r="D532" s="344" t="s">
        <v>20</v>
      </c>
      <c r="E532" s="345" t="s">
        <v>205</v>
      </c>
    </row>
    <row r="533" spans="1:5">
      <c r="A533" s="343">
        <v>535</v>
      </c>
      <c r="B533" s="344" t="s">
        <v>4973</v>
      </c>
      <c r="C533" s="344" t="s">
        <v>1561</v>
      </c>
      <c r="D533" s="344" t="s">
        <v>20</v>
      </c>
      <c r="E533" s="345" t="s">
        <v>205</v>
      </c>
    </row>
    <row r="534" spans="1:5">
      <c r="A534" s="343">
        <v>536</v>
      </c>
      <c r="B534" s="344" t="s">
        <v>4974</v>
      </c>
      <c r="C534" s="344" t="s">
        <v>1561</v>
      </c>
      <c r="D534" s="344" t="s">
        <v>20</v>
      </c>
      <c r="E534" s="345" t="s">
        <v>205</v>
      </c>
    </row>
    <row r="535" spans="1:5">
      <c r="A535" s="343">
        <v>537</v>
      </c>
      <c r="B535" s="344" t="s">
        <v>4975</v>
      </c>
      <c r="C535" s="344" t="s">
        <v>1561</v>
      </c>
      <c r="D535" s="344" t="s">
        <v>20</v>
      </c>
      <c r="E535" s="345" t="s">
        <v>205</v>
      </c>
    </row>
    <row r="536" spans="1:5">
      <c r="A536" s="343">
        <v>538</v>
      </c>
      <c r="B536" s="344" t="s">
        <v>4976</v>
      </c>
      <c r="C536" s="344" t="s">
        <v>4390</v>
      </c>
      <c r="D536" s="344" t="s">
        <v>4944</v>
      </c>
      <c r="E536" s="345" t="s">
        <v>1147</v>
      </c>
    </row>
    <row r="537" spans="1:5">
      <c r="A537" s="343">
        <v>539</v>
      </c>
      <c r="B537" s="344" t="s">
        <v>4977</v>
      </c>
      <c r="C537" s="344" t="s">
        <v>4683</v>
      </c>
      <c r="D537" s="344" t="s">
        <v>12</v>
      </c>
      <c r="E537" s="345" t="s">
        <v>205</v>
      </c>
    </row>
    <row r="538" spans="1:5">
      <c r="A538" s="343">
        <v>540</v>
      </c>
      <c r="B538" s="344" t="s">
        <v>4978</v>
      </c>
      <c r="C538" s="344" t="s">
        <v>4683</v>
      </c>
      <c r="D538" s="344" t="s">
        <v>12</v>
      </c>
      <c r="E538" s="345" t="s">
        <v>205</v>
      </c>
    </row>
    <row r="539" spans="1:5">
      <c r="A539" s="343">
        <v>541</v>
      </c>
      <c r="B539" s="344" t="s">
        <v>4979</v>
      </c>
      <c r="C539" s="344" t="s">
        <v>4980</v>
      </c>
      <c r="D539" s="344" t="s">
        <v>12</v>
      </c>
      <c r="E539" s="345" t="s">
        <v>205</v>
      </c>
    </row>
    <row r="540" spans="1:5">
      <c r="A540" s="343">
        <v>542</v>
      </c>
      <c r="B540" s="344" t="s">
        <v>3098</v>
      </c>
      <c r="C540" s="344" t="s">
        <v>3098</v>
      </c>
      <c r="D540" s="344" t="s">
        <v>14</v>
      </c>
      <c r="E540" s="345" t="s">
        <v>205</v>
      </c>
    </row>
    <row r="541" spans="1:5">
      <c r="A541" s="343">
        <v>543</v>
      </c>
      <c r="B541" s="344" t="s">
        <v>4981</v>
      </c>
      <c r="C541" s="344" t="s">
        <v>4982</v>
      </c>
      <c r="D541" s="344" t="s">
        <v>262</v>
      </c>
      <c r="E541" s="345" t="s">
        <v>205</v>
      </c>
    </row>
    <row r="542" spans="1:5">
      <c r="A542" s="343">
        <v>544</v>
      </c>
      <c r="B542" s="344" t="s">
        <v>4983</v>
      </c>
      <c r="C542" s="344" t="s">
        <v>4982</v>
      </c>
      <c r="D542" s="344" t="s">
        <v>4984</v>
      </c>
      <c r="E542" s="345" t="s">
        <v>205</v>
      </c>
    </row>
    <row r="543" spans="1:5">
      <c r="A543" s="343">
        <v>545</v>
      </c>
      <c r="B543" s="344" t="s">
        <v>4985</v>
      </c>
      <c r="C543" s="344" t="s">
        <v>4982</v>
      </c>
      <c r="D543" s="344" t="s">
        <v>262</v>
      </c>
      <c r="E543" s="345" t="s">
        <v>205</v>
      </c>
    </row>
    <row r="544" spans="1:5">
      <c r="A544" s="343">
        <v>546</v>
      </c>
      <c r="B544" s="344" t="s">
        <v>4986</v>
      </c>
      <c r="C544" s="344" t="s">
        <v>1358</v>
      </c>
      <c r="D544" s="344" t="s">
        <v>12</v>
      </c>
      <c r="E544" s="345" t="s">
        <v>205</v>
      </c>
    </row>
    <row r="545" spans="1:5">
      <c r="A545" s="343">
        <v>547</v>
      </c>
      <c r="B545" s="344" t="s">
        <v>4987</v>
      </c>
      <c r="C545" s="344" t="s">
        <v>914</v>
      </c>
      <c r="D545" s="344" t="s">
        <v>14</v>
      </c>
      <c r="E545" s="345" t="s">
        <v>205</v>
      </c>
    </row>
    <row r="546" spans="1:5">
      <c r="A546" s="343">
        <v>548</v>
      </c>
      <c r="B546" s="344" t="s">
        <v>4988</v>
      </c>
      <c r="C546" s="344" t="s">
        <v>2621</v>
      </c>
      <c r="D546" s="344" t="s">
        <v>4989</v>
      </c>
      <c r="E546" s="345" t="s">
        <v>205</v>
      </c>
    </row>
    <row r="547" spans="1:5">
      <c r="A547" s="343">
        <v>549</v>
      </c>
      <c r="B547" s="344" t="s">
        <v>4990</v>
      </c>
      <c r="C547" s="344" t="s">
        <v>541</v>
      </c>
      <c r="D547" s="344" t="s">
        <v>262</v>
      </c>
      <c r="E547" s="345" t="s">
        <v>205</v>
      </c>
    </row>
    <row r="548" spans="1:5">
      <c r="A548" s="343">
        <v>550</v>
      </c>
      <c r="B548" s="344" t="s">
        <v>729</v>
      </c>
      <c r="C548" s="344" t="s">
        <v>542</v>
      </c>
      <c r="D548" s="344" t="s">
        <v>262</v>
      </c>
      <c r="E548" s="345" t="s">
        <v>1105</v>
      </c>
    </row>
    <row r="549" spans="1:5">
      <c r="A549" s="343">
        <v>551</v>
      </c>
      <c r="B549" s="344" t="s">
        <v>4991</v>
      </c>
      <c r="C549" s="344" t="s">
        <v>4827</v>
      </c>
      <c r="D549" s="344" t="s">
        <v>12</v>
      </c>
      <c r="E549" s="345" t="s">
        <v>205</v>
      </c>
    </row>
    <row r="550" spans="1:5">
      <c r="A550" s="343">
        <v>552</v>
      </c>
      <c r="B550" s="344" t="s">
        <v>4992</v>
      </c>
      <c r="C550" s="344" t="s">
        <v>2681</v>
      </c>
      <c r="D550" s="344" t="s">
        <v>14</v>
      </c>
      <c r="E550" s="345" t="s">
        <v>205</v>
      </c>
    </row>
    <row r="551" spans="1:5">
      <c r="A551" s="343">
        <v>553</v>
      </c>
      <c r="B551" s="344" t="s">
        <v>4993</v>
      </c>
      <c r="C551" s="344" t="s">
        <v>2681</v>
      </c>
      <c r="D551" s="344" t="s">
        <v>4994</v>
      </c>
      <c r="E551" s="345" t="s">
        <v>205</v>
      </c>
    </row>
    <row r="552" spans="1:5">
      <c r="A552" s="343">
        <v>554</v>
      </c>
      <c r="B552" s="344" t="s">
        <v>4995</v>
      </c>
      <c r="C552" s="344" t="s">
        <v>1029</v>
      </c>
      <c r="D552" s="344" t="s">
        <v>262</v>
      </c>
      <c r="E552" s="345" t="s">
        <v>205</v>
      </c>
    </row>
    <row r="553" spans="1:5">
      <c r="A553" s="343">
        <v>555</v>
      </c>
      <c r="B553" s="344" t="s">
        <v>4996</v>
      </c>
      <c r="C553" s="344" t="s">
        <v>1029</v>
      </c>
      <c r="D553" s="344" t="s">
        <v>262</v>
      </c>
      <c r="E553" s="345" t="s">
        <v>205</v>
      </c>
    </row>
    <row r="554" spans="1:5">
      <c r="A554" s="343">
        <v>556</v>
      </c>
      <c r="B554" s="344" t="s">
        <v>4997</v>
      </c>
      <c r="C554" s="344" t="s">
        <v>1029</v>
      </c>
      <c r="D554" s="344" t="s">
        <v>20</v>
      </c>
      <c r="E554" s="345" t="s">
        <v>205</v>
      </c>
    </row>
    <row r="555" spans="1:5">
      <c r="A555" s="343">
        <v>557</v>
      </c>
      <c r="B555" s="344" t="s">
        <v>4998</v>
      </c>
      <c r="C555" s="344" t="s">
        <v>4999</v>
      </c>
      <c r="D555" s="344" t="s">
        <v>262</v>
      </c>
      <c r="E555" s="345" t="s">
        <v>205</v>
      </c>
    </row>
    <row r="556" spans="1:5">
      <c r="A556" s="343">
        <v>558</v>
      </c>
      <c r="B556" s="344" t="s">
        <v>5000</v>
      </c>
      <c r="C556" s="344" t="s">
        <v>5001</v>
      </c>
      <c r="D556" s="344" t="s">
        <v>518</v>
      </c>
      <c r="E556" s="345" t="s">
        <v>205</v>
      </c>
    </row>
    <row r="557" spans="1:5">
      <c r="A557" s="343">
        <v>559</v>
      </c>
      <c r="B557" s="344" t="s">
        <v>5002</v>
      </c>
      <c r="C557" s="344" t="s">
        <v>610</v>
      </c>
      <c r="D557" s="344" t="s">
        <v>12</v>
      </c>
      <c r="E557" s="345" t="s">
        <v>205</v>
      </c>
    </row>
    <row r="558" spans="1:5">
      <c r="A558" s="343">
        <v>560</v>
      </c>
      <c r="B558" s="344" t="s">
        <v>5003</v>
      </c>
      <c r="C558" s="344" t="s">
        <v>610</v>
      </c>
      <c r="D558" s="344" t="s">
        <v>12</v>
      </c>
      <c r="E558" s="345" t="s">
        <v>205</v>
      </c>
    </row>
    <row r="559" spans="1:5">
      <c r="A559" s="343">
        <v>561</v>
      </c>
      <c r="B559" s="344" t="s">
        <v>5004</v>
      </c>
      <c r="C559" s="344" t="s">
        <v>1732</v>
      </c>
      <c r="D559" s="344" t="s">
        <v>12</v>
      </c>
      <c r="E559" s="345" t="s">
        <v>205</v>
      </c>
    </row>
    <row r="560" spans="1:5">
      <c r="A560" s="343">
        <v>562</v>
      </c>
      <c r="B560" s="344" t="s">
        <v>5005</v>
      </c>
      <c r="C560" s="344" t="s">
        <v>1732</v>
      </c>
      <c r="D560" s="344" t="s">
        <v>20</v>
      </c>
      <c r="E560" s="345" t="s">
        <v>205</v>
      </c>
    </row>
    <row r="561" spans="1:5">
      <c r="A561" s="343">
        <v>563</v>
      </c>
      <c r="B561" s="343" t="s">
        <v>2767</v>
      </c>
      <c r="C561" s="343" t="s">
        <v>2768</v>
      </c>
      <c r="D561" s="343" t="s">
        <v>20</v>
      </c>
      <c r="E561" s="346" t="s">
        <v>425</v>
      </c>
    </row>
    <row r="562" spans="1:5">
      <c r="A562" s="343">
        <v>564</v>
      </c>
      <c r="B562" s="344" t="s">
        <v>5006</v>
      </c>
      <c r="C562" s="344" t="s">
        <v>1031</v>
      </c>
      <c r="D562" s="344" t="s">
        <v>912</v>
      </c>
      <c r="E562" s="345" t="s">
        <v>205</v>
      </c>
    </row>
    <row r="563" spans="1:5">
      <c r="A563" s="343">
        <v>565</v>
      </c>
      <c r="B563" s="344" t="s">
        <v>5007</v>
      </c>
      <c r="C563" s="344" t="s">
        <v>621</v>
      </c>
      <c r="D563" s="344" t="s">
        <v>12</v>
      </c>
      <c r="E563" s="345" t="s">
        <v>205</v>
      </c>
    </row>
    <row r="564" spans="1:5">
      <c r="A564" s="343">
        <v>566</v>
      </c>
      <c r="B564" s="344" t="s">
        <v>5008</v>
      </c>
      <c r="C564" s="344" t="s">
        <v>5009</v>
      </c>
      <c r="D564" s="344" t="s">
        <v>12</v>
      </c>
      <c r="E564" s="345" t="s">
        <v>205</v>
      </c>
    </row>
    <row r="565" spans="1:5">
      <c r="A565" s="343">
        <v>567</v>
      </c>
      <c r="B565" s="344" t="s">
        <v>5010</v>
      </c>
      <c r="C565" s="344" t="s">
        <v>609</v>
      </c>
      <c r="D565" s="344" t="s">
        <v>12</v>
      </c>
      <c r="E565" s="345" t="s">
        <v>205</v>
      </c>
    </row>
    <row r="566" spans="1:5">
      <c r="A566" s="343">
        <v>568</v>
      </c>
      <c r="B566" s="344" t="s">
        <v>5011</v>
      </c>
      <c r="C566" s="344" t="s">
        <v>4827</v>
      </c>
      <c r="D566" s="344" t="s">
        <v>12</v>
      </c>
      <c r="E566" s="345" t="s">
        <v>205</v>
      </c>
    </row>
    <row r="567" spans="1:5">
      <c r="A567" s="343">
        <v>569</v>
      </c>
      <c r="B567" s="344" t="s">
        <v>5012</v>
      </c>
      <c r="C567" s="344" t="s">
        <v>4827</v>
      </c>
      <c r="D567" s="344" t="s">
        <v>12</v>
      </c>
      <c r="E567" s="345" t="s">
        <v>205</v>
      </c>
    </row>
    <row r="568" spans="1:5">
      <c r="A568" s="343">
        <v>570</v>
      </c>
      <c r="B568" s="344" t="s">
        <v>5013</v>
      </c>
      <c r="C568" s="344" t="s">
        <v>544</v>
      </c>
      <c r="D568" s="344" t="s">
        <v>262</v>
      </c>
      <c r="E568" s="345" t="s">
        <v>205</v>
      </c>
    </row>
    <row r="569" spans="1:5">
      <c r="A569" s="343">
        <v>571</v>
      </c>
      <c r="B569" s="344" t="s">
        <v>5014</v>
      </c>
      <c r="C569" s="344" t="s">
        <v>544</v>
      </c>
      <c r="D569" s="344" t="s">
        <v>4984</v>
      </c>
      <c r="E569" s="345" t="s">
        <v>205</v>
      </c>
    </row>
    <row r="570" spans="1:5">
      <c r="A570" s="343">
        <v>572</v>
      </c>
      <c r="B570" s="344" t="s">
        <v>5015</v>
      </c>
      <c r="C570" s="344" t="s">
        <v>5016</v>
      </c>
      <c r="D570" s="344" t="s">
        <v>262</v>
      </c>
      <c r="E570" s="345" t="s">
        <v>205</v>
      </c>
    </row>
    <row r="571" spans="1:5">
      <c r="A571" s="343">
        <v>574</v>
      </c>
      <c r="B571" s="344" t="s">
        <v>5017</v>
      </c>
      <c r="C571" s="344" t="s">
        <v>5018</v>
      </c>
      <c r="D571" s="344"/>
      <c r="E571" s="345" t="s">
        <v>205</v>
      </c>
    </row>
    <row r="572" spans="1:5">
      <c r="A572" s="343">
        <v>575</v>
      </c>
      <c r="B572" s="344" t="s">
        <v>5019</v>
      </c>
      <c r="C572" s="344" t="s">
        <v>5020</v>
      </c>
      <c r="D572" s="344" t="s">
        <v>4815</v>
      </c>
      <c r="E572" s="345" t="s">
        <v>1147</v>
      </c>
    </row>
    <row r="573" spans="1:5">
      <c r="A573" s="343">
        <v>576</v>
      </c>
      <c r="B573" s="344" t="s">
        <v>5021</v>
      </c>
      <c r="C573" s="344" t="s">
        <v>5022</v>
      </c>
      <c r="D573" s="344" t="s">
        <v>12</v>
      </c>
      <c r="E573" s="345" t="s">
        <v>205</v>
      </c>
    </row>
    <row r="574" spans="1:5">
      <c r="A574" s="343">
        <v>577</v>
      </c>
      <c r="B574" s="344" t="s">
        <v>5023</v>
      </c>
      <c r="C574" s="344" t="s">
        <v>5024</v>
      </c>
      <c r="D574" s="344" t="s">
        <v>4984</v>
      </c>
      <c r="E574" s="345" t="s">
        <v>205</v>
      </c>
    </row>
    <row r="575" spans="1:5">
      <c r="A575" s="343">
        <v>578</v>
      </c>
      <c r="B575" s="344" t="s">
        <v>5025</v>
      </c>
      <c r="C575" s="344" t="s">
        <v>619</v>
      </c>
      <c r="D575" s="344" t="s">
        <v>12</v>
      </c>
      <c r="E575" s="345" t="s">
        <v>205</v>
      </c>
    </row>
    <row r="576" spans="1:5">
      <c r="A576" s="343">
        <v>579</v>
      </c>
      <c r="B576" s="344" t="s">
        <v>5026</v>
      </c>
      <c r="C576" s="344" t="s">
        <v>5027</v>
      </c>
      <c r="D576" s="344" t="s">
        <v>12</v>
      </c>
      <c r="E576" s="345" t="s">
        <v>205</v>
      </c>
    </row>
    <row r="577" spans="1:5">
      <c r="A577" s="343">
        <v>580</v>
      </c>
      <c r="B577" s="344" t="s">
        <v>5028</v>
      </c>
      <c r="C577" s="344" t="s">
        <v>5027</v>
      </c>
      <c r="D577" s="344" t="s">
        <v>12</v>
      </c>
      <c r="E577" s="345" t="s">
        <v>205</v>
      </c>
    </row>
    <row r="578" spans="1:5">
      <c r="A578" s="343">
        <v>581</v>
      </c>
      <c r="B578" s="343" t="s">
        <v>828</v>
      </c>
      <c r="C578" s="343" t="s">
        <v>1054</v>
      </c>
      <c r="D578" s="343" t="s">
        <v>20</v>
      </c>
      <c r="E578" s="346" t="s">
        <v>4431</v>
      </c>
    </row>
    <row r="579" spans="1:5">
      <c r="A579" s="343">
        <v>582</v>
      </c>
      <c r="B579" s="344" t="s">
        <v>825</v>
      </c>
      <c r="C579" s="344" t="s">
        <v>1054</v>
      </c>
      <c r="D579" s="344" t="s">
        <v>20</v>
      </c>
      <c r="E579" s="345" t="s">
        <v>4431</v>
      </c>
    </row>
    <row r="580" spans="1:5">
      <c r="A580" s="343">
        <v>583</v>
      </c>
      <c r="B580" s="343" t="s">
        <v>1382</v>
      </c>
      <c r="C580" s="343" t="s">
        <v>1383</v>
      </c>
      <c r="D580" s="343" t="s">
        <v>20</v>
      </c>
      <c r="E580" s="346" t="s">
        <v>425</v>
      </c>
    </row>
    <row r="581" spans="1:5">
      <c r="A581" s="343">
        <v>584</v>
      </c>
      <c r="B581" s="344" t="s">
        <v>3150</v>
      </c>
      <c r="C581" s="344" t="s">
        <v>667</v>
      </c>
      <c r="D581" s="344" t="s">
        <v>20</v>
      </c>
      <c r="E581" s="345" t="s">
        <v>4431</v>
      </c>
    </row>
    <row r="582" spans="1:5">
      <c r="A582" s="343">
        <v>585</v>
      </c>
      <c r="B582" s="344" t="s">
        <v>1388</v>
      </c>
      <c r="C582" s="344" t="s">
        <v>667</v>
      </c>
      <c r="D582" s="344" t="s">
        <v>20</v>
      </c>
      <c r="E582" s="345" t="s">
        <v>4431</v>
      </c>
    </row>
    <row r="583" spans="1:5">
      <c r="A583" s="343">
        <v>586</v>
      </c>
      <c r="B583" s="344" t="s">
        <v>5029</v>
      </c>
      <c r="C583" s="344" t="s">
        <v>667</v>
      </c>
      <c r="D583" s="344" t="s">
        <v>20</v>
      </c>
      <c r="E583" s="345" t="s">
        <v>4431</v>
      </c>
    </row>
    <row r="584" spans="1:5">
      <c r="A584" s="343">
        <v>587</v>
      </c>
      <c r="B584" s="344" t="s">
        <v>5030</v>
      </c>
      <c r="C584" s="344" t="s">
        <v>667</v>
      </c>
      <c r="D584" s="344" t="s">
        <v>20</v>
      </c>
      <c r="E584" s="345" t="s">
        <v>4431</v>
      </c>
    </row>
    <row r="585" spans="1:5">
      <c r="A585" s="343">
        <v>588</v>
      </c>
      <c r="B585" s="344" t="s">
        <v>815</v>
      </c>
      <c r="C585" s="344" t="s">
        <v>5031</v>
      </c>
      <c r="D585" s="344" t="s">
        <v>20</v>
      </c>
      <c r="E585" s="345" t="s">
        <v>4431</v>
      </c>
    </row>
    <row r="586" spans="1:5">
      <c r="A586" s="343">
        <v>589</v>
      </c>
      <c r="B586" s="344" t="s">
        <v>2461</v>
      </c>
      <c r="C586" s="344" t="s">
        <v>556</v>
      </c>
      <c r="D586" s="344" t="s">
        <v>20</v>
      </c>
      <c r="E586" s="345" t="s">
        <v>4431</v>
      </c>
    </row>
    <row r="587" spans="1:5">
      <c r="A587" s="343">
        <v>590</v>
      </c>
      <c r="B587" s="344" t="s">
        <v>2463</v>
      </c>
      <c r="C587" s="344" t="s">
        <v>561</v>
      </c>
      <c r="D587" s="344" t="s">
        <v>20</v>
      </c>
      <c r="E587" s="345" t="s">
        <v>4431</v>
      </c>
    </row>
    <row r="588" spans="1:5">
      <c r="A588" s="343">
        <v>591</v>
      </c>
      <c r="B588" s="344" t="s">
        <v>1411</v>
      </c>
      <c r="C588" s="344" t="s">
        <v>561</v>
      </c>
      <c r="D588" s="344" t="s">
        <v>20</v>
      </c>
      <c r="E588" s="345" t="s">
        <v>4431</v>
      </c>
    </row>
    <row r="589" spans="1:5">
      <c r="A589" s="343">
        <v>592</v>
      </c>
      <c r="B589" s="344" t="s">
        <v>5032</v>
      </c>
      <c r="C589" s="344" t="s">
        <v>1054</v>
      </c>
      <c r="D589" s="344" t="s">
        <v>20</v>
      </c>
      <c r="E589" s="345" t="s">
        <v>4431</v>
      </c>
    </row>
    <row r="590" spans="1:5">
      <c r="A590" s="343">
        <v>593</v>
      </c>
      <c r="B590" s="344" t="s">
        <v>5033</v>
      </c>
      <c r="C590" s="344" t="s">
        <v>5034</v>
      </c>
      <c r="D590" s="344" t="s">
        <v>20</v>
      </c>
      <c r="E590" s="345" t="s">
        <v>4431</v>
      </c>
    </row>
    <row r="591" spans="1:5">
      <c r="A591" s="343">
        <v>594</v>
      </c>
      <c r="B591" s="344" t="s">
        <v>5035</v>
      </c>
      <c r="C591" s="344" t="s">
        <v>5036</v>
      </c>
      <c r="D591" s="344" t="s">
        <v>20</v>
      </c>
      <c r="E591" s="345" t="s">
        <v>4431</v>
      </c>
    </row>
    <row r="592" spans="1:5">
      <c r="A592" s="343">
        <v>595</v>
      </c>
      <c r="B592" s="344" t="s">
        <v>5037</v>
      </c>
      <c r="C592" s="344" t="s">
        <v>1475</v>
      </c>
      <c r="D592" s="344" t="s">
        <v>5038</v>
      </c>
      <c r="E592" s="345" t="s">
        <v>4431</v>
      </c>
    </row>
    <row r="593" spans="1:5">
      <c r="A593" s="343">
        <v>596</v>
      </c>
      <c r="B593" s="344" t="s">
        <v>1474</v>
      </c>
      <c r="C593" s="344" t="s">
        <v>1475</v>
      </c>
      <c r="D593" s="344" t="s">
        <v>20</v>
      </c>
      <c r="E593" s="345" t="s">
        <v>4431</v>
      </c>
    </row>
    <row r="594" spans="1:5">
      <c r="A594" s="343">
        <v>597</v>
      </c>
      <c r="B594" s="344" t="s">
        <v>5039</v>
      </c>
      <c r="C594" s="344" t="s">
        <v>2511</v>
      </c>
      <c r="D594" s="344" t="s">
        <v>20</v>
      </c>
      <c r="E594" s="345" t="s">
        <v>4431</v>
      </c>
    </row>
    <row r="595" spans="1:5">
      <c r="A595" s="343">
        <v>598</v>
      </c>
      <c r="B595" s="344" t="s">
        <v>5040</v>
      </c>
      <c r="C595" s="344" t="s">
        <v>1475</v>
      </c>
      <c r="D595" s="344" t="s">
        <v>20</v>
      </c>
      <c r="E595" s="345" t="s">
        <v>4431</v>
      </c>
    </row>
    <row r="596" spans="1:5">
      <c r="A596" s="343">
        <v>599</v>
      </c>
      <c r="B596" s="344" t="s">
        <v>5041</v>
      </c>
      <c r="C596" s="344" t="s">
        <v>5042</v>
      </c>
      <c r="D596" s="344" t="s">
        <v>20</v>
      </c>
      <c r="E596" s="345" t="s">
        <v>4431</v>
      </c>
    </row>
    <row r="597" spans="1:5">
      <c r="A597" s="343">
        <v>600</v>
      </c>
      <c r="B597" s="344" t="s">
        <v>5043</v>
      </c>
      <c r="C597" s="344" t="s">
        <v>5044</v>
      </c>
      <c r="D597" s="344" t="s">
        <v>20</v>
      </c>
      <c r="E597" s="345" t="s">
        <v>4431</v>
      </c>
    </row>
    <row r="598" spans="1:5">
      <c r="A598" s="343">
        <v>601</v>
      </c>
      <c r="B598" s="344" t="s">
        <v>5045</v>
      </c>
      <c r="C598" s="344" t="s">
        <v>5044</v>
      </c>
      <c r="D598" s="344" t="s">
        <v>20</v>
      </c>
      <c r="E598" s="345" t="s">
        <v>4431</v>
      </c>
    </row>
    <row r="599" spans="1:5">
      <c r="A599" s="343">
        <v>602</v>
      </c>
      <c r="B599" s="344" t="s">
        <v>5046</v>
      </c>
      <c r="C599" s="344" t="s">
        <v>5044</v>
      </c>
      <c r="D599" s="344" t="s">
        <v>20</v>
      </c>
      <c r="E599" s="345" t="s">
        <v>4431</v>
      </c>
    </row>
    <row r="600" spans="1:5">
      <c r="A600" s="343">
        <v>603</v>
      </c>
      <c r="B600" s="343" t="s">
        <v>2642</v>
      </c>
      <c r="C600" s="343" t="s">
        <v>5047</v>
      </c>
      <c r="D600" s="343" t="s">
        <v>20</v>
      </c>
      <c r="E600" s="346" t="s">
        <v>425</v>
      </c>
    </row>
    <row r="601" spans="1:5">
      <c r="A601" s="343">
        <v>604</v>
      </c>
      <c r="B601" s="343" t="s">
        <v>5048</v>
      </c>
      <c r="C601" s="343" t="s">
        <v>5047</v>
      </c>
      <c r="D601" s="343" t="s">
        <v>20</v>
      </c>
      <c r="E601" s="346" t="s">
        <v>425</v>
      </c>
    </row>
    <row r="602" spans="1:5">
      <c r="A602" s="343">
        <v>605</v>
      </c>
      <c r="B602" s="344" t="s">
        <v>5049</v>
      </c>
      <c r="C602" s="344" t="s">
        <v>5050</v>
      </c>
      <c r="D602" s="344" t="s">
        <v>20</v>
      </c>
      <c r="E602" s="345" t="s">
        <v>4431</v>
      </c>
    </row>
    <row r="603" spans="1:5">
      <c r="A603" s="343">
        <v>606</v>
      </c>
      <c r="B603" s="344" t="s">
        <v>2652</v>
      </c>
      <c r="C603" s="344" t="s">
        <v>807</v>
      </c>
      <c r="D603" s="344" t="s">
        <v>20</v>
      </c>
      <c r="E603" s="345" t="s">
        <v>4431</v>
      </c>
    </row>
    <row r="604" spans="1:5">
      <c r="A604" s="343">
        <v>607</v>
      </c>
      <c r="B604" s="344" t="s">
        <v>5051</v>
      </c>
      <c r="C604" s="344" t="s">
        <v>807</v>
      </c>
      <c r="D604" s="344" t="s">
        <v>20</v>
      </c>
      <c r="E604" s="345" t="s">
        <v>4431</v>
      </c>
    </row>
    <row r="605" spans="1:5">
      <c r="A605" s="343">
        <v>608</v>
      </c>
      <c r="B605" s="344" t="s">
        <v>5052</v>
      </c>
      <c r="C605" s="344" t="s">
        <v>807</v>
      </c>
      <c r="D605" s="344" t="s">
        <v>20</v>
      </c>
      <c r="E605" s="345" t="s">
        <v>4431</v>
      </c>
    </row>
    <row r="606" spans="1:5">
      <c r="A606" s="343">
        <v>609</v>
      </c>
      <c r="B606" s="344" t="s">
        <v>659</v>
      </c>
      <c r="C606" s="344" t="s">
        <v>659</v>
      </c>
      <c r="D606" s="344" t="s">
        <v>20</v>
      </c>
      <c r="E606" s="345" t="s">
        <v>4431</v>
      </c>
    </row>
    <row r="607" spans="1:5">
      <c r="A607" s="343">
        <v>610</v>
      </c>
      <c r="B607" s="344" t="s">
        <v>1144</v>
      </c>
      <c r="C607" s="344" t="s">
        <v>1144</v>
      </c>
      <c r="D607" s="344" t="s">
        <v>20</v>
      </c>
      <c r="E607" s="345" t="s">
        <v>4431</v>
      </c>
    </row>
    <row r="608" spans="1:5">
      <c r="A608" s="343">
        <v>611</v>
      </c>
      <c r="B608" s="344" t="s">
        <v>5053</v>
      </c>
      <c r="C608" s="344" t="s">
        <v>1322</v>
      </c>
      <c r="D608" s="344" t="s">
        <v>20</v>
      </c>
      <c r="E608" s="345" t="s">
        <v>4431</v>
      </c>
    </row>
    <row r="609" spans="1:5">
      <c r="A609" s="343">
        <v>612</v>
      </c>
      <c r="B609" s="344" t="s">
        <v>5054</v>
      </c>
      <c r="C609" s="344" t="s">
        <v>1322</v>
      </c>
      <c r="D609" s="344" t="s">
        <v>20</v>
      </c>
      <c r="E609" s="345" t="s">
        <v>4431</v>
      </c>
    </row>
    <row r="610" spans="1:5">
      <c r="A610" s="343">
        <v>613</v>
      </c>
      <c r="B610" s="344" t="s">
        <v>5055</v>
      </c>
      <c r="C610" s="344" t="s">
        <v>5055</v>
      </c>
      <c r="D610" s="344" t="s">
        <v>20</v>
      </c>
      <c r="E610" s="345" t="s">
        <v>4431</v>
      </c>
    </row>
    <row r="611" spans="1:5">
      <c r="A611" s="343">
        <v>614</v>
      </c>
      <c r="B611" s="344" t="s">
        <v>1507</v>
      </c>
      <c r="C611" s="344" t="s">
        <v>1508</v>
      </c>
      <c r="D611" s="344" t="s">
        <v>20</v>
      </c>
      <c r="E611" s="345" t="s">
        <v>4431</v>
      </c>
    </row>
    <row r="612" spans="1:5">
      <c r="A612" s="343">
        <v>615</v>
      </c>
      <c r="B612" s="344" t="s">
        <v>5056</v>
      </c>
      <c r="C612" s="344" t="s">
        <v>1083</v>
      </c>
      <c r="D612" s="344" t="s">
        <v>20</v>
      </c>
      <c r="E612" s="345" t="s">
        <v>4431</v>
      </c>
    </row>
    <row r="613" spans="1:5">
      <c r="A613" s="343">
        <v>616</v>
      </c>
      <c r="B613" s="344" t="s">
        <v>5057</v>
      </c>
      <c r="C613" s="344" t="s">
        <v>1083</v>
      </c>
      <c r="D613" s="344" t="s">
        <v>20</v>
      </c>
      <c r="E613" s="345" t="s">
        <v>4431</v>
      </c>
    </row>
    <row r="614" spans="1:5">
      <c r="A614" s="343">
        <v>617</v>
      </c>
      <c r="B614" s="344" t="s">
        <v>5058</v>
      </c>
      <c r="C614" s="344" t="s">
        <v>1083</v>
      </c>
      <c r="D614" s="344" t="s">
        <v>20</v>
      </c>
      <c r="E614" s="345" t="s">
        <v>4431</v>
      </c>
    </row>
    <row r="615" spans="1:5">
      <c r="A615" s="343">
        <v>618</v>
      </c>
      <c r="B615" s="344" t="s">
        <v>5059</v>
      </c>
      <c r="C615" s="344" t="s">
        <v>1508</v>
      </c>
      <c r="D615" s="344" t="s">
        <v>20</v>
      </c>
      <c r="E615" s="345" t="s">
        <v>4431</v>
      </c>
    </row>
    <row r="616" spans="1:5">
      <c r="A616" s="343">
        <v>619</v>
      </c>
      <c r="B616" s="344" t="s">
        <v>2675</v>
      </c>
      <c r="C616" s="344" t="s">
        <v>651</v>
      </c>
      <c r="D616" s="344" t="s">
        <v>20</v>
      </c>
      <c r="E616" s="345" t="s">
        <v>4431</v>
      </c>
    </row>
    <row r="617" spans="1:5">
      <c r="A617" s="343">
        <v>620</v>
      </c>
      <c r="B617" s="344" t="s">
        <v>5060</v>
      </c>
      <c r="C617" s="344" t="s">
        <v>1555</v>
      </c>
      <c r="D617" s="344"/>
      <c r="E617" s="345" t="s">
        <v>4431</v>
      </c>
    </row>
    <row r="618" spans="1:5">
      <c r="A618" s="343">
        <v>621</v>
      </c>
      <c r="B618" s="344" t="s">
        <v>2694</v>
      </c>
      <c r="C618" s="344" t="s">
        <v>1555</v>
      </c>
      <c r="D618" s="344" t="s">
        <v>20</v>
      </c>
      <c r="E618" s="345" t="s">
        <v>4431</v>
      </c>
    </row>
    <row r="619" spans="1:5">
      <c r="A619" s="343">
        <v>622</v>
      </c>
      <c r="B619" s="344" t="s">
        <v>2190</v>
      </c>
      <c r="C619" s="344" t="s">
        <v>2190</v>
      </c>
      <c r="D619" s="344" t="s">
        <v>20</v>
      </c>
      <c r="E619" s="345" t="s">
        <v>4431</v>
      </c>
    </row>
    <row r="620" spans="1:5">
      <c r="A620" s="343">
        <v>623</v>
      </c>
      <c r="B620" s="344" t="s">
        <v>820</v>
      </c>
      <c r="C620" s="344" t="s">
        <v>1589</v>
      </c>
      <c r="D620" s="344" t="s">
        <v>20</v>
      </c>
      <c r="E620" s="345" t="s">
        <v>4431</v>
      </c>
    </row>
    <row r="621" spans="1:5">
      <c r="A621" s="343">
        <v>624</v>
      </c>
      <c r="B621" s="344" t="s">
        <v>2698</v>
      </c>
      <c r="C621" s="344" t="s">
        <v>1589</v>
      </c>
      <c r="D621" s="344" t="s">
        <v>20</v>
      </c>
      <c r="E621" s="345" t="s">
        <v>4431</v>
      </c>
    </row>
    <row r="622" spans="1:5">
      <c r="A622" s="343">
        <v>625</v>
      </c>
      <c r="B622" s="344" t="s">
        <v>5061</v>
      </c>
      <c r="C622" s="344" t="s">
        <v>1589</v>
      </c>
      <c r="D622" s="344" t="s">
        <v>20</v>
      </c>
      <c r="E622" s="345" t="s">
        <v>4431</v>
      </c>
    </row>
    <row r="623" spans="1:5">
      <c r="A623" s="343">
        <v>626</v>
      </c>
      <c r="B623" s="344" t="s">
        <v>1588</v>
      </c>
      <c r="C623" s="344" t="s">
        <v>1589</v>
      </c>
      <c r="D623" s="344" t="s">
        <v>20</v>
      </c>
      <c r="E623" s="345" t="s">
        <v>4431</v>
      </c>
    </row>
    <row r="624" spans="1:5">
      <c r="A624" s="343">
        <v>627</v>
      </c>
      <c r="B624" s="344" t="s">
        <v>5062</v>
      </c>
      <c r="C624" s="344" t="s">
        <v>1589</v>
      </c>
      <c r="D624" s="344" t="s">
        <v>20</v>
      </c>
      <c r="E624" s="345" t="s">
        <v>4431</v>
      </c>
    </row>
    <row r="625" spans="1:5">
      <c r="A625" s="343">
        <v>628</v>
      </c>
      <c r="B625" s="344" t="s">
        <v>5063</v>
      </c>
      <c r="C625" s="344" t="s">
        <v>1589</v>
      </c>
      <c r="D625" s="344" t="s">
        <v>20</v>
      </c>
      <c r="E625" s="345" t="s">
        <v>4431</v>
      </c>
    </row>
    <row r="626" spans="1:5">
      <c r="A626" s="343">
        <v>629</v>
      </c>
      <c r="B626" s="344" t="s">
        <v>5064</v>
      </c>
      <c r="C626" s="344" t="s">
        <v>558</v>
      </c>
      <c r="D626" s="344" t="s">
        <v>20</v>
      </c>
      <c r="E626" s="345" t="s">
        <v>4431</v>
      </c>
    </row>
    <row r="627" spans="1:5">
      <c r="A627" s="343">
        <v>630</v>
      </c>
      <c r="B627" s="344" t="s">
        <v>5065</v>
      </c>
      <c r="C627" s="344" t="s">
        <v>558</v>
      </c>
      <c r="D627" s="344" t="s">
        <v>20</v>
      </c>
      <c r="E627" s="345" t="s">
        <v>4431</v>
      </c>
    </row>
    <row r="628" spans="1:5">
      <c r="A628" s="343">
        <v>631</v>
      </c>
      <c r="B628" s="344" t="s">
        <v>2702</v>
      </c>
      <c r="C628" s="344" t="s">
        <v>558</v>
      </c>
      <c r="D628" s="344" t="s">
        <v>20</v>
      </c>
      <c r="E628" s="345" t="s">
        <v>4431</v>
      </c>
    </row>
    <row r="629" spans="1:5">
      <c r="A629" s="343">
        <v>632</v>
      </c>
      <c r="B629" s="344" t="s">
        <v>5066</v>
      </c>
      <c r="C629" s="344" t="s">
        <v>558</v>
      </c>
      <c r="D629" s="344" t="s">
        <v>20</v>
      </c>
      <c r="E629" s="345" t="s">
        <v>4431</v>
      </c>
    </row>
    <row r="630" spans="1:5">
      <c r="A630" s="343">
        <v>633</v>
      </c>
      <c r="B630" s="344" t="s">
        <v>5067</v>
      </c>
      <c r="C630" s="344" t="s">
        <v>558</v>
      </c>
      <c r="D630" s="344" t="s">
        <v>20</v>
      </c>
      <c r="E630" s="345" t="s">
        <v>4431</v>
      </c>
    </row>
    <row r="631" spans="1:5">
      <c r="A631" s="343">
        <v>634</v>
      </c>
      <c r="B631" s="344" t="s">
        <v>1617</v>
      </c>
      <c r="C631" s="344" t="s">
        <v>1618</v>
      </c>
      <c r="D631" s="344" t="s">
        <v>20</v>
      </c>
      <c r="E631" s="345" t="s">
        <v>4431</v>
      </c>
    </row>
    <row r="632" spans="1:5">
      <c r="A632" s="343">
        <v>635</v>
      </c>
      <c r="B632" s="344" t="s">
        <v>5068</v>
      </c>
      <c r="C632" s="344" t="s">
        <v>1618</v>
      </c>
      <c r="D632" s="344" t="s">
        <v>20</v>
      </c>
      <c r="E632" s="345" t="s">
        <v>4431</v>
      </c>
    </row>
    <row r="633" spans="1:5">
      <c r="A633" s="343">
        <v>636</v>
      </c>
      <c r="B633" s="344" t="s">
        <v>808</v>
      </c>
      <c r="C633" s="344" t="s">
        <v>1661</v>
      </c>
      <c r="D633" s="344" t="s">
        <v>20</v>
      </c>
      <c r="E633" s="345" t="s">
        <v>4431</v>
      </c>
    </row>
    <row r="634" spans="1:5">
      <c r="A634" s="343">
        <v>637</v>
      </c>
      <c r="B634" s="344" t="s">
        <v>5069</v>
      </c>
      <c r="C634" s="344" t="s">
        <v>560</v>
      </c>
      <c r="D634" s="344" t="s">
        <v>20</v>
      </c>
      <c r="E634" s="345" t="s">
        <v>4431</v>
      </c>
    </row>
    <row r="635" spans="1:5">
      <c r="A635" s="343">
        <v>638</v>
      </c>
      <c r="B635" s="344" t="s">
        <v>1685</v>
      </c>
      <c r="C635" s="344" t="s">
        <v>560</v>
      </c>
      <c r="D635" s="344" t="s">
        <v>20</v>
      </c>
      <c r="E635" s="345" t="s">
        <v>4431</v>
      </c>
    </row>
    <row r="636" spans="1:5">
      <c r="A636" s="343">
        <v>639</v>
      </c>
      <c r="B636" s="344" t="s">
        <v>652</v>
      </c>
      <c r="C636" s="344" t="s">
        <v>652</v>
      </c>
      <c r="D636" s="344" t="s">
        <v>20</v>
      </c>
      <c r="E636" s="345" t="s">
        <v>4431</v>
      </c>
    </row>
    <row r="637" spans="1:5">
      <c r="A637" s="343">
        <v>640</v>
      </c>
      <c r="B637" s="344" t="s">
        <v>5070</v>
      </c>
      <c r="C637" s="344" t="s">
        <v>652</v>
      </c>
      <c r="D637" s="344" t="s">
        <v>20</v>
      </c>
      <c r="E637" s="345" t="s">
        <v>4431</v>
      </c>
    </row>
    <row r="638" spans="1:5">
      <c r="A638" s="343">
        <v>641</v>
      </c>
      <c r="B638" s="344" t="s">
        <v>5071</v>
      </c>
      <c r="C638" s="344" t="s">
        <v>653</v>
      </c>
      <c r="D638" s="344" t="s">
        <v>20</v>
      </c>
      <c r="E638" s="345" t="s">
        <v>4431</v>
      </c>
    </row>
    <row r="639" spans="1:5">
      <c r="A639" s="343">
        <v>642</v>
      </c>
      <c r="B639" s="344" t="s">
        <v>1697</v>
      </c>
      <c r="C639" s="344" t="s">
        <v>653</v>
      </c>
      <c r="D639" s="344" t="s">
        <v>20</v>
      </c>
      <c r="E639" s="345" t="s">
        <v>4431</v>
      </c>
    </row>
    <row r="640" spans="1:5">
      <c r="A640" s="343">
        <v>643</v>
      </c>
      <c r="B640" s="344" t="s">
        <v>816</v>
      </c>
      <c r="C640" s="344" t="s">
        <v>1701</v>
      </c>
      <c r="D640" s="344" t="s">
        <v>20</v>
      </c>
      <c r="E640" s="345" t="s">
        <v>4431</v>
      </c>
    </row>
    <row r="641" spans="1:5">
      <c r="A641" s="343">
        <v>644</v>
      </c>
      <c r="B641" s="344" t="s">
        <v>1700</v>
      </c>
      <c r="C641" s="344" t="s">
        <v>1701</v>
      </c>
      <c r="D641" s="344" t="s">
        <v>20</v>
      </c>
      <c r="E641" s="345" t="s">
        <v>4431</v>
      </c>
    </row>
    <row r="642" spans="1:5">
      <c r="A642" s="343">
        <v>645</v>
      </c>
      <c r="B642" s="344" t="s">
        <v>2237</v>
      </c>
      <c r="C642" s="344" t="s">
        <v>2237</v>
      </c>
      <c r="D642" s="344" t="s">
        <v>20</v>
      </c>
      <c r="E642" s="345" t="s">
        <v>4431</v>
      </c>
    </row>
    <row r="643" spans="1:5">
      <c r="A643" s="343">
        <v>646</v>
      </c>
      <c r="B643" s="344" t="s">
        <v>2247</v>
      </c>
      <c r="C643" s="344" t="s">
        <v>2247</v>
      </c>
      <c r="D643" s="344" t="s">
        <v>20</v>
      </c>
      <c r="E643" s="345" t="s">
        <v>4431</v>
      </c>
    </row>
    <row r="644" spans="1:5">
      <c r="A644" s="343">
        <v>647</v>
      </c>
      <c r="B644" s="344" t="s">
        <v>803</v>
      </c>
      <c r="C644" s="344" t="s">
        <v>1718</v>
      </c>
      <c r="D644" s="344" t="s">
        <v>20</v>
      </c>
      <c r="E644" s="345" t="s">
        <v>4431</v>
      </c>
    </row>
    <row r="645" spans="1:5">
      <c r="A645" s="343">
        <v>648</v>
      </c>
      <c r="B645" s="344" t="s">
        <v>1717</v>
      </c>
      <c r="C645" s="344" t="s">
        <v>1718</v>
      </c>
      <c r="D645" s="344" t="s">
        <v>20</v>
      </c>
      <c r="E645" s="345" t="s">
        <v>4431</v>
      </c>
    </row>
    <row r="646" spans="1:5">
      <c r="A646" s="343">
        <v>649</v>
      </c>
      <c r="B646" s="344" t="s">
        <v>5072</v>
      </c>
      <c r="C646" s="344" t="s">
        <v>1718</v>
      </c>
      <c r="D646" s="344" t="s">
        <v>20</v>
      </c>
      <c r="E646" s="345" t="s">
        <v>4431</v>
      </c>
    </row>
    <row r="647" spans="1:5">
      <c r="A647" s="343">
        <v>650</v>
      </c>
      <c r="B647" s="344" t="s">
        <v>658</v>
      </c>
      <c r="C647" s="344" t="s">
        <v>1718</v>
      </c>
      <c r="D647" s="344" t="s">
        <v>20</v>
      </c>
      <c r="E647" s="345" t="s">
        <v>4431</v>
      </c>
    </row>
    <row r="648" spans="1:5">
      <c r="A648" s="343">
        <v>651</v>
      </c>
      <c r="B648" s="344" t="s">
        <v>819</v>
      </c>
      <c r="C648" s="344" t="s">
        <v>1718</v>
      </c>
      <c r="D648" s="344" t="s">
        <v>20</v>
      </c>
      <c r="E648" s="345" t="s">
        <v>4431</v>
      </c>
    </row>
    <row r="649" spans="1:5">
      <c r="A649" s="343">
        <v>652</v>
      </c>
      <c r="B649" s="344" t="s">
        <v>5073</v>
      </c>
      <c r="C649" s="344" t="s">
        <v>1718</v>
      </c>
      <c r="D649" s="344" t="s">
        <v>20</v>
      </c>
      <c r="E649" s="345" t="s">
        <v>4431</v>
      </c>
    </row>
    <row r="650" spans="1:5">
      <c r="A650" s="343">
        <v>653</v>
      </c>
      <c r="B650" s="344" t="s">
        <v>5074</v>
      </c>
      <c r="C650" s="344" t="s">
        <v>1718</v>
      </c>
      <c r="D650" s="344" t="s">
        <v>20</v>
      </c>
      <c r="E650" s="345" t="s">
        <v>4431</v>
      </c>
    </row>
    <row r="651" spans="1:5">
      <c r="A651" s="343">
        <v>654</v>
      </c>
      <c r="B651" s="344" t="s">
        <v>5075</v>
      </c>
      <c r="C651" s="344" t="s">
        <v>1718</v>
      </c>
      <c r="D651" s="344" t="s">
        <v>20</v>
      </c>
      <c r="E651" s="345" t="s">
        <v>4431</v>
      </c>
    </row>
    <row r="652" spans="1:5">
      <c r="A652" s="343">
        <v>655</v>
      </c>
      <c r="B652" s="344" t="s">
        <v>826</v>
      </c>
      <c r="C652" s="344" t="s">
        <v>826</v>
      </c>
      <c r="D652" s="344" t="s">
        <v>20</v>
      </c>
      <c r="E652" s="345" t="s">
        <v>4431</v>
      </c>
    </row>
    <row r="653" spans="1:5">
      <c r="A653" s="343">
        <v>656</v>
      </c>
      <c r="B653" s="344" t="s">
        <v>5076</v>
      </c>
      <c r="C653" s="344" t="s">
        <v>826</v>
      </c>
      <c r="D653" s="344" t="s">
        <v>20</v>
      </c>
      <c r="E653" s="345" t="s">
        <v>4431</v>
      </c>
    </row>
    <row r="654" spans="1:5">
      <c r="A654" s="343">
        <v>657</v>
      </c>
      <c r="B654" s="344" t="s">
        <v>5077</v>
      </c>
      <c r="C654" s="344" t="s">
        <v>826</v>
      </c>
      <c r="D654" s="344" t="s">
        <v>20</v>
      </c>
      <c r="E654" s="345" t="s">
        <v>4431</v>
      </c>
    </row>
    <row r="655" spans="1:5">
      <c r="A655" s="343">
        <v>658</v>
      </c>
      <c r="B655" s="343" t="s">
        <v>5078</v>
      </c>
      <c r="C655" s="343" t="s">
        <v>5079</v>
      </c>
      <c r="D655" s="343" t="s">
        <v>5038</v>
      </c>
      <c r="E655" s="346" t="s">
        <v>425</v>
      </c>
    </row>
    <row r="656" spans="1:5">
      <c r="A656" s="343">
        <v>659</v>
      </c>
      <c r="B656" s="344" t="s">
        <v>802</v>
      </c>
      <c r="C656" s="344" t="s">
        <v>1786</v>
      </c>
      <c r="D656" s="344" t="s">
        <v>20</v>
      </c>
      <c r="E656" s="345" t="s">
        <v>4431</v>
      </c>
    </row>
    <row r="657" spans="1:5">
      <c r="A657" s="343">
        <v>660</v>
      </c>
      <c r="B657" s="344" t="s">
        <v>5080</v>
      </c>
      <c r="C657" s="344" t="s">
        <v>576</v>
      </c>
      <c r="D657" s="344" t="s">
        <v>20</v>
      </c>
      <c r="E657" s="345" t="s">
        <v>4431</v>
      </c>
    </row>
    <row r="658" spans="1:5">
      <c r="A658" s="343">
        <v>661</v>
      </c>
      <c r="B658" s="344" t="s">
        <v>5081</v>
      </c>
      <c r="C658" s="344" t="s">
        <v>576</v>
      </c>
      <c r="D658" s="344" t="s">
        <v>20</v>
      </c>
      <c r="E658" s="345" t="s">
        <v>4431</v>
      </c>
    </row>
    <row r="659" spans="1:5">
      <c r="A659" s="343">
        <v>662</v>
      </c>
      <c r="B659" s="344" t="s">
        <v>2324</v>
      </c>
      <c r="C659" s="344" t="s">
        <v>576</v>
      </c>
      <c r="D659" s="344" t="s">
        <v>20</v>
      </c>
      <c r="E659" s="345" t="s">
        <v>4431</v>
      </c>
    </row>
    <row r="660" spans="1:5">
      <c r="A660" s="343">
        <v>663</v>
      </c>
      <c r="B660" s="344" t="s">
        <v>5082</v>
      </c>
      <c r="C660" s="344" t="s">
        <v>576</v>
      </c>
      <c r="D660" s="344" t="s">
        <v>20</v>
      </c>
      <c r="E660" s="345" t="s">
        <v>4431</v>
      </c>
    </row>
    <row r="661" spans="1:5">
      <c r="A661" s="343">
        <v>664</v>
      </c>
      <c r="B661" s="344" t="s">
        <v>5083</v>
      </c>
      <c r="C661" s="344" t="s">
        <v>576</v>
      </c>
      <c r="D661" s="344" t="s">
        <v>20</v>
      </c>
      <c r="E661" s="345" t="s">
        <v>4431</v>
      </c>
    </row>
    <row r="662" spans="1:5">
      <c r="A662" s="343">
        <v>665</v>
      </c>
      <c r="B662" s="344" t="s">
        <v>5084</v>
      </c>
      <c r="C662" s="344" t="s">
        <v>576</v>
      </c>
      <c r="D662" s="344" t="s">
        <v>20</v>
      </c>
      <c r="E662" s="345" t="s">
        <v>4431</v>
      </c>
    </row>
    <row r="663" spans="1:5">
      <c r="A663" s="343">
        <v>666</v>
      </c>
      <c r="B663" s="344" t="s">
        <v>5085</v>
      </c>
      <c r="C663" s="344" t="s">
        <v>5086</v>
      </c>
      <c r="D663" s="344" t="s">
        <v>20</v>
      </c>
      <c r="E663" s="345" t="s">
        <v>4431</v>
      </c>
    </row>
    <row r="664" spans="1:5">
      <c r="A664" s="343">
        <v>667</v>
      </c>
      <c r="B664" s="344" t="s">
        <v>5087</v>
      </c>
      <c r="C664" s="344" t="s">
        <v>557</v>
      </c>
      <c r="D664" s="344" t="s">
        <v>20</v>
      </c>
      <c r="E664" s="345" t="s">
        <v>4431</v>
      </c>
    </row>
    <row r="665" spans="1:5">
      <c r="A665" s="343">
        <v>668</v>
      </c>
      <c r="B665" s="344" t="s">
        <v>1871</v>
      </c>
      <c r="C665" s="344" t="s">
        <v>557</v>
      </c>
      <c r="D665" s="344" t="s">
        <v>20</v>
      </c>
      <c r="E665" s="345" t="s">
        <v>4431</v>
      </c>
    </row>
    <row r="666" spans="1:5">
      <c r="A666" s="343">
        <v>669</v>
      </c>
      <c r="B666" s="344" t="s">
        <v>1877</v>
      </c>
      <c r="C666" s="344" t="s">
        <v>557</v>
      </c>
      <c r="D666" s="344" t="s">
        <v>20</v>
      </c>
      <c r="E666" s="345" t="s">
        <v>4431</v>
      </c>
    </row>
    <row r="667" spans="1:5">
      <c r="A667" s="343">
        <v>670</v>
      </c>
      <c r="B667" s="344" t="s">
        <v>1879</v>
      </c>
      <c r="C667" s="344" t="s">
        <v>557</v>
      </c>
      <c r="D667" s="344" t="s">
        <v>20</v>
      </c>
      <c r="E667" s="345" t="s">
        <v>4431</v>
      </c>
    </row>
    <row r="668" spans="1:5">
      <c r="A668" s="343">
        <v>671</v>
      </c>
      <c r="B668" s="344" t="s">
        <v>5088</v>
      </c>
      <c r="C668" s="344" t="s">
        <v>557</v>
      </c>
      <c r="D668" s="344" t="s">
        <v>20</v>
      </c>
      <c r="E668" s="345" t="s">
        <v>4431</v>
      </c>
    </row>
    <row r="669" spans="1:5">
      <c r="A669" s="343">
        <v>672</v>
      </c>
      <c r="B669" s="344" t="s">
        <v>805</v>
      </c>
      <c r="C669" s="344" t="s">
        <v>557</v>
      </c>
      <c r="D669" s="344" t="s">
        <v>20</v>
      </c>
      <c r="E669" s="345" t="s">
        <v>4431</v>
      </c>
    </row>
    <row r="670" spans="1:5">
      <c r="A670" s="343">
        <v>673</v>
      </c>
      <c r="B670" s="344" t="s">
        <v>817</v>
      </c>
      <c r="C670" s="344" t="s">
        <v>557</v>
      </c>
      <c r="D670" s="344" t="s">
        <v>20</v>
      </c>
      <c r="E670" s="345" t="s">
        <v>4431</v>
      </c>
    </row>
    <row r="671" spans="1:5">
      <c r="A671" s="343">
        <v>674</v>
      </c>
      <c r="B671" s="344" t="s">
        <v>818</v>
      </c>
      <c r="C671" s="344" t="s">
        <v>557</v>
      </c>
      <c r="D671" s="344" t="s">
        <v>20</v>
      </c>
      <c r="E671" s="345" t="s">
        <v>4431</v>
      </c>
    </row>
    <row r="672" spans="1:5">
      <c r="A672" s="343">
        <v>675</v>
      </c>
      <c r="B672" s="344" t="s">
        <v>5089</v>
      </c>
      <c r="C672" s="344" t="s">
        <v>557</v>
      </c>
      <c r="D672" s="344" t="s">
        <v>20</v>
      </c>
      <c r="E672" s="345" t="s">
        <v>4431</v>
      </c>
    </row>
    <row r="673" spans="1:5">
      <c r="A673" s="343">
        <v>676</v>
      </c>
      <c r="B673" s="344" t="s">
        <v>5090</v>
      </c>
      <c r="C673" s="344" t="s">
        <v>557</v>
      </c>
      <c r="D673" s="344" t="s">
        <v>5038</v>
      </c>
      <c r="E673" s="345" t="s">
        <v>4431</v>
      </c>
    </row>
    <row r="674" spans="1:5">
      <c r="A674" s="343">
        <v>677</v>
      </c>
      <c r="B674" s="344" t="s">
        <v>5091</v>
      </c>
      <c r="C674" s="344" t="s">
        <v>556</v>
      </c>
      <c r="D674" s="344" t="s">
        <v>20</v>
      </c>
      <c r="E674" s="345" t="s">
        <v>4431</v>
      </c>
    </row>
    <row r="675" spans="1:5">
      <c r="A675" s="343">
        <v>678</v>
      </c>
      <c r="B675" s="344" t="s">
        <v>2898</v>
      </c>
      <c r="C675" s="344" t="s">
        <v>556</v>
      </c>
      <c r="D675" s="344" t="s">
        <v>20</v>
      </c>
      <c r="E675" s="345" t="s">
        <v>4431</v>
      </c>
    </row>
    <row r="676" spans="1:5">
      <c r="A676" s="343">
        <v>679</v>
      </c>
      <c r="B676" s="344" t="s">
        <v>5092</v>
      </c>
      <c r="C676" s="344" t="s">
        <v>556</v>
      </c>
      <c r="D676" s="344"/>
      <c r="E676" s="345" t="s">
        <v>4431</v>
      </c>
    </row>
    <row r="677" spans="1:5">
      <c r="A677" s="343">
        <v>680</v>
      </c>
      <c r="B677" s="344" t="s">
        <v>5093</v>
      </c>
      <c r="C677" s="344" t="s">
        <v>556</v>
      </c>
      <c r="D677" s="344" t="s">
        <v>20</v>
      </c>
      <c r="E677" s="345" t="s">
        <v>4431</v>
      </c>
    </row>
    <row r="678" spans="1:5">
      <c r="A678" s="343">
        <v>681</v>
      </c>
      <c r="B678" s="344" t="s">
        <v>5094</v>
      </c>
      <c r="C678" s="344" t="s">
        <v>556</v>
      </c>
      <c r="D678" s="344" t="s">
        <v>20</v>
      </c>
      <c r="E678" s="345" t="s">
        <v>4431</v>
      </c>
    </row>
    <row r="679" spans="1:5">
      <c r="A679" s="343">
        <v>682</v>
      </c>
      <c r="B679" s="344" t="s">
        <v>5095</v>
      </c>
      <c r="C679" s="344" t="s">
        <v>556</v>
      </c>
      <c r="D679" s="344" t="s">
        <v>20</v>
      </c>
      <c r="E679" s="345" t="s">
        <v>4431</v>
      </c>
    </row>
    <row r="680" spans="1:5">
      <c r="A680" s="343">
        <v>683</v>
      </c>
      <c r="B680" s="344" t="s">
        <v>797</v>
      </c>
      <c r="C680" s="344" t="s">
        <v>556</v>
      </c>
      <c r="D680" s="344" t="s">
        <v>20</v>
      </c>
      <c r="E680" s="345" t="s">
        <v>4431</v>
      </c>
    </row>
    <row r="681" spans="1:5">
      <c r="A681" s="343">
        <v>684</v>
      </c>
      <c r="B681" s="344" t="s">
        <v>5096</v>
      </c>
      <c r="C681" s="344" t="s">
        <v>556</v>
      </c>
      <c r="D681" s="344" t="s">
        <v>20</v>
      </c>
      <c r="E681" s="345" t="s">
        <v>4431</v>
      </c>
    </row>
    <row r="682" spans="1:5">
      <c r="A682" s="343">
        <v>685</v>
      </c>
      <c r="B682" s="344" t="s">
        <v>796</v>
      </c>
      <c r="C682" s="344" t="s">
        <v>556</v>
      </c>
      <c r="D682" s="344" t="s">
        <v>20</v>
      </c>
      <c r="E682" s="345" t="s">
        <v>4431</v>
      </c>
    </row>
    <row r="683" spans="1:5">
      <c r="A683" s="343">
        <v>686</v>
      </c>
      <c r="B683" s="344" t="s">
        <v>823</v>
      </c>
      <c r="C683" s="344" t="s">
        <v>556</v>
      </c>
      <c r="D683" s="344" t="s">
        <v>295</v>
      </c>
      <c r="E683" s="345" t="s">
        <v>4431</v>
      </c>
    </row>
    <row r="684" spans="1:5">
      <c r="A684" s="343">
        <v>687</v>
      </c>
      <c r="B684" s="344" t="s">
        <v>1912</v>
      </c>
      <c r="C684" s="344" t="s">
        <v>556</v>
      </c>
      <c r="D684" s="344" t="s">
        <v>1519</v>
      </c>
      <c r="E684" s="345" t="s">
        <v>4431</v>
      </c>
    </row>
    <row r="685" spans="1:5">
      <c r="A685" s="343">
        <v>688</v>
      </c>
      <c r="B685" s="344" t="s">
        <v>5097</v>
      </c>
      <c r="C685" s="344" t="s">
        <v>556</v>
      </c>
      <c r="D685" s="344" t="s">
        <v>20</v>
      </c>
      <c r="E685" s="345" t="s">
        <v>4431</v>
      </c>
    </row>
    <row r="686" spans="1:5">
      <c r="A686" s="343">
        <v>689</v>
      </c>
      <c r="B686" s="344" t="s">
        <v>2906</v>
      </c>
      <c r="C686" s="344" t="s">
        <v>556</v>
      </c>
      <c r="D686" s="344" t="s">
        <v>20</v>
      </c>
      <c r="E686" s="345" t="s">
        <v>4431</v>
      </c>
    </row>
    <row r="687" spans="1:5">
      <c r="A687" s="343">
        <v>690</v>
      </c>
      <c r="B687" s="344" t="s">
        <v>2908</v>
      </c>
      <c r="C687" s="344" t="s">
        <v>556</v>
      </c>
      <c r="D687" s="344" t="s">
        <v>20</v>
      </c>
      <c r="E687" s="345" t="s">
        <v>4431</v>
      </c>
    </row>
    <row r="688" spans="1:5">
      <c r="A688" s="343">
        <v>691</v>
      </c>
      <c r="B688" s="344" t="s">
        <v>1914</v>
      </c>
      <c r="C688" s="344" t="s">
        <v>556</v>
      </c>
      <c r="D688" s="344" t="s">
        <v>20</v>
      </c>
      <c r="E688" s="345" t="s">
        <v>4431</v>
      </c>
    </row>
    <row r="689" spans="1:5">
      <c r="A689" s="343">
        <v>692</v>
      </c>
      <c r="B689" s="344" t="s">
        <v>3498</v>
      </c>
      <c r="C689" s="344" t="s">
        <v>556</v>
      </c>
      <c r="D689" s="344" t="s">
        <v>20</v>
      </c>
      <c r="E689" s="345" t="s">
        <v>4431</v>
      </c>
    </row>
    <row r="690" spans="1:5">
      <c r="A690" s="343">
        <v>693</v>
      </c>
      <c r="B690" s="344" t="s">
        <v>1916</v>
      </c>
      <c r="C690" s="344" t="s">
        <v>556</v>
      </c>
      <c r="D690" s="344" t="s">
        <v>20</v>
      </c>
      <c r="E690" s="345" t="s">
        <v>4431</v>
      </c>
    </row>
    <row r="691" spans="1:5">
      <c r="A691" s="343">
        <v>694</v>
      </c>
      <c r="B691" s="344" t="s">
        <v>3500</v>
      </c>
      <c r="C691" s="344" t="s">
        <v>556</v>
      </c>
      <c r="D691" s="344" t="s">
        <v>295</v>
      </c>
      <c r="E691" s="345" t="s">
        <v>4431</v>
      </c>
    </row>
    <row r="692" spans="1:5">
      <c r="A692" s="343">
        <v>695</v>
      </c>
      <c r="B692" s="344" t="s">
        <v>1918</v>
      </c>
      <c r="C692" s="344" t="s">
        <v>556</v>
      </c>
      <c r="D692" s="344" t="s">
        <v>295</v>
      </c>
      <c r="E692" s="345" t="s">
        <v>4431</v>
      </c>
    </row>
    <row r="693" spans="1:5">
      <c r="A693" s="343">
        <v>696</v>
      </c>
      <c r="B693" s="344" t="s">
        <v>5098</v>
      </c>
      <c r="C693" s="344" t="s">
        <v>556</v>
      </c>
      <c r="D693" s="344" t="s">
        <v>5099</v>
      </c>
      <c r="E693" s="345" t="s">
        <v>4431</v>
      </c>
    </row>
    <row r="694" spans="1:5">
      <c r="A694" s="343">
        <v>697</v>
      </c>
      <c r="B694" s="344" t="s">
        <v>814</v>
      </c>
      <c r="C694" s="344" t="s">
        <v>556</v>
      </c>
      <c r="D694" s="344" t="s">
        <v>295</v>
      </c>
      <c r="E694" s="345" t="s">
        <v>4431</v>
      </c>
    </row>
    <row r="695" spans="1:5">
      <c r="A695" s="343">
        <v>698</v>
      </c>
      <c r="B695" s="344" t="s">
        <v>656</v>
      </c>
      <c r="C695" s="344" t="s">
        <v>656</v>
      </c>
      <c r="D695" s="344" t="s">
        <v>20</v>
      </c>
      <c r="E695" s="345" t="s">
        <v>4431</v>
      </c>
    </row>
    <row r="696" spans="1:5">
      <c r="A696" s="343">
        <v>699</v>
      </c>
      <c r="B696" s="344" t="s">
        <v>5100</v>
      </c>
      <c r="C696" s="344" t="s">
        <v>656</v>
      </c>
      <c r="D696" s="344" t="s">
        <v>20</v>
      </c>
      <c r="E696" s="345" t="s">
        <v>4431</v>
      </c>
    </row>
    <row r="697" spans="1:5">
      <c r="A697" s="343">
        <v>700</v>
      </c>
      <c r="B697" s="344" t="s">
        <v>5101</v>
      </c>
      <c r="C697" s="344" t="s">
        <v>656</v>
      </c>
      <c r="D697" s="344" t="s">
        <v>20</v>
      </c>
      <c r="E697" s="345" t="s">
        <v>4431</v>
      </c>
    </row>
    <row r="698" spans="1:5">
      <c r="A698" s="343">
        <v>701</v>
      </c>
      <c r="B698" s="344" t="s">
        <v>5102</v>
      </c>
      <c r="C698" s="344" t="s">
        <v>574</v>
      </c>
      <c r="D698" s="344" t="s">
        <v>20</v>
      </c>
      <c r="E698" s="345" t="s">
        <v>4431</v>
      </c>
    </row>
    <row r="699" spans="1:5">
      <c r="A699" s="343">
        <v>702</v>
      </c>
      <c r="B699" s="344" t="s">
        <v>5103</v>
      </c>
      <c r="C699" s="344" t="s">
        <v>574</v>
      </c>
      <c r="D699" s="344" t="s">
        <v>20</v>
      </c>
      <c r="E699" s="345" t="s">
        <v>4431</v>
      </c>
    </row>
    <row r="700" spans="1:5">
      <c r="A700" s="343">
        <v>703</v>
      </c>
      <c r="B700" s="344" t="s">
        <v>1931</v>
      </c>
      <c r="C700" s="344" t="s">
        <v>574</v>
      </c>
      <c r="D700" s="344" t="s">
        <v>20</v>
      </c>
      <c r="E700" s="345" t="s">
        <v>4431</v>
      </c>
    </row>
    <row r="701" spans="1:5">
      <c r="A701" s="343">
        <v>704</v>
      </c>
      <c r="B701" s="344" t="s">
        <v>5104</v>
      </c>
      <c r="C701" s="344" t="s">
        <v>574</v>
      </c>
      <c r="D701" s="344" t="s">
        <v>20</v>
      </c>
      <c r="E701" s="345" t="s">
        <v>4431</v>
      </c>
    </row>
    <row r="702" spans="1:5">
      <c r="A702" s="343">
        <v>705</v>
      </c>
      <c r="B702" s="344" t="s">
        <v>5105</v>
      </c>
      <c r="C702" s="344" t="s">
        <v>5105</v>
      </c>
      <c r="D702" s="344" t="s">
        <v>20</v>
      </c>
      <c r="E702" s="345" t="s">
        <v>4431</v>
      </c>
    </row>
    <row r="703" spans="1:5">
      <c r="A703" s="343">
        <v>706</v>
      </c>
      <c r="B703" s="344" t="s">
        <v>1952</v>
      </c>
      <c r="C703" s="344" t="s">
        <v>657</v>
      </c>
      <c r="D703" s="344" t="s">
        <v>20</v>
      </c>
      <c r="E703" s="345" t="s">
        <v>4431</v>
      </c>
    </row>
    <row r="704" spans="1:5">
      <c r="A704" s="343">
        <v>707</v>
      </c>
      <c r="B704" s="344" t="s">
        <v>660</v>
      </c>
      <c r="C704" s="344" t="s">
        <v>657</v>
      </c>
      <c r="D704" s="344" t="s">
        <v>20</v>
      </c>
      <c r="E704" s="345" t="s">
        <v>4431</v>
      </c>
    </row>
    <row r="705" spans="1:5">
      <c r="A705" s="343">
        <v>708</v>
      </c>
      <c r="B705" s="344" t="s">
        <v>2398</v>
      </c>
      <c r="C705" s="344" t="s">
        <v>657</v>
      </c>
      <c r="D705" s="344" t="s">
        <v>20</v>
      </c>
      <c r="E705" s="345" t="s">
        <v>4431</v>
      </c>
    </row>
    <row r="706" spans="1:5">
      <c r="A706" s="343">
        <v>709</v>
      </c>
      <c r="B706" s="344" t="s">
        <v>5106</v>
      </c>
      <c r="C706" s="344" t="s">
        <v>657</v>
      </c>
      <c r="D706" s="344" t="s">
        <v>20</v>
      </c>
      <c r="E706" s="345" t="s">
        <v>4431</v>
      </c>
    </row>
    <row r="707" spans="1:5">
      <c r="A707" s="343">
        <v>710</v>
      </c>
      <c r="B707" s="344" t="s">
        <v>5107</v>
      </c>
      <c r="C707" s="344" t="s">
        <v>1961</v>
      </c>
      <c r="D707" s="344" t="s">
        <v>20</v>
      </c>
      <c r="E707" s="345" t="s">
        <v>4431</v>
      </c>
    </row>
    <row r="708" spans="1:5">
      <c r="A708" s="343">
        <v>711</v>
      </c>
      <c r="B708" s="344" t="s">
        <v>5108</v>
      </c>
      <c r="C708" s="344" t="s">
        <v>1961</v>
      </c>
      <c r="D708" s="344" t="s">
        <v>20</v>
      </c>
      <c r="E708" s="345" t="s">
        <v>4431</v>
      </c>
    </row>
    <row r="709" spans="1:5">
      <c r="A709" s="343">
        <v>712</v>
      </c>
      <c r="B709" s="344" t="s">
        <v>5109</v>
      </c>
      <c r="C709" s="344" t="s">
        <v>5109</v>
      </c>
      <c r="D709" s="344" t="s">
        <v>20</v>
      </c>
      <c r="E709" s="345" t="s">
        <v>4431</v>
      </c>
    </row>
    <row r="710" spans="1:5">
      <c r="A710" s="343">
        <v>713</v>
      </c>
      <c r="B710" s="344" t="s">
        <v>821</v>
      </c>
      <c r="C710" s="344" t="s">
        <v>1050</v>
      </c>
      <c r="D710" s="344" t="s">
        <v>20</v>
      </c>
      <c r="E710" s="345" t="s">
        <v>4431</v>
      </c>
    </row>
    <row r="711" spans="1:5">
      <c r="A711" s="343">
        <v>714</v>
      </c>
      <c r="B711" s="344" t="s">
        <v>5110</v>
      </c>
      <c r="C711" s="344" t="s">
        <v>1050</v>
      </c>
      <c r="D711" s="344" t="s">
        <v>20</v>
      </c>
      <c r="E711" s="345" t="s">
        <v>4431</v>
      </c>
    </row>
    <row r="712" spans="1:5">
      <c r="A712" s="343">
        <v>715</v>
      </c>
      <c r="B712" s="344" t="s">
        <v>494</v>
      </c>
      <c r="C712" s="344" t="s">
        <v>4626</v>
      </c>
      <c r="D712" s="344" t="s">
        <v>20</v>
      </c>
      <c r="E712" s="345" t="s">
        <v>289</v>
      </c>
    </row>
    <row r="713" spans="1:5">
      <c r="A713" s="343">
        <v>716</v>
      </c>
      <c r="B713" s="344" t="s">
        <v>5111</v>
      </c>
      <c r="C713" s="344" t="s">
        <v>577</v>
      </c>
      <c r="D713" s="344" t="s">
        <v>20</v>
      </c>
      <c r="E713" s="345" t="s">
        <v>289</v>
      </c>
    </row>
    <row r="714" spans="1:5">
      <c r="A714" s="343">
        <v>717</v>
      </c>
      <c r="B714" s="344" t="s">
        <v>5112</v>
      </c>
      <c r="C714" s="344" t="s">
        <v>577</v>
      </c>
      <c r="D714" s="344" t="s">
        <v>20</v>
      </c>
      <c r="E714" s="345" t="s">
        <v>289</v>
      </c>
    </row>
    <row r="715" spans="1:5">
      <c r="A715" s="343">
        <v>718</v>
      </c>
      <c r="B715" s="344" t="s">
        <v>5113</v>
      </c>
      <c r="C715" s="344" t="s">
        <v>577</v>
      </c>
      <c r="D715" s="344" t="s">
        <v>20</v>
      </c>
      <c r="E715" s="345" t="s">
        <v>289</v>
      </c>
    </row>
    <row r="716" spans="1:5">
      <c r="A716" s="343">
        <v>719</v>
      </c>
      <c r="B716" s="344" t="s">
        <v>5114</v>
      </c>
      <c r="C716" s="344" t="s">
        <v>577</v>
      </c>
      <c r="D716" s="344" t="s">
        <v>20</v>
      </c>
      <c r="E716" s="345" t="s">
        <v>289</v>
      </c>
    </row>
    <row r="717" spans="1:5">
      <c r="A717" s="343">
        <v>720</v>
      </c>
      <c r="B717" s="344" t="s">
        <v>635</v>
      </c>
      <c r="C717" s="344" t="s">
        <v>1514</v>
      </c>
      <c r="D717" s="344" t="s">
        <v>20</v>
      </c>
      <c r="E717" s="345" t="s">
        <v>289</v>
      </c>
    </row>
    <row r="718" spans="1:5">
      <c r="A718" s="343">
        <v>721</v>
      </c>
      <c r="B718" s="344" t="s">
        <v>5115</v>
      </c>
      <c r="C718" s="344" t="s">
        <v>560</v>
      </c>
      <c r="D718" s="344" t="s">
        <v>20</v>
      </c>
      <c r="E718" s="345" t="s">
        <v>289</v>
      </c>
    </row>
    <row r="719" spans="1:5">
      <c r="A719" s="343">
        <v>722</v>
      </c>
      <c r="B719" s="344" t="s">
        <v>5116</v>
      </c>
      <c r="C719" s="344" t="s">
        <v>5117</v>
      </c>
      <c r="D719" s="344" t="s">
        <v>20</v>
      </c>
      <c r="E719" s="345" t="s">
        <v>289</v>
      </c>
    </row>
    <row r="720" spans="1:5">
      <c r="A720" s="343">
        <v>723</v>
      </c>
      <c r="B720" s="344" t="s">
        <v>5118</v>
      </c>
      <c r="C720" s="344" t="s">
        <v>5117</v>
      </c>
      <c r="D720" s="344" t="s">
        <v>20</v>
      </c>
      <c r="E720" s="345" t="s">
        <v>289</v>
      </c>
    </row>
    <row r="721" spans="1:5">
      <c r="A721" s="343">
        <v>724</v>
      </c>
      <c r="B721" s="344" t="s">
        <v>5119</v>
      </c>
      <c r="C721" s="344" t="s">
        <v>1573</v>
      </c>
      <c r="D721" s="344" t="s">
        <v>20</v>
      </c>
      <c r="E721" s="345" t="s">
        <v>289</v>
      </c>
    </row>
    <row r="722" spans="1:5">
      <c r="A722" s="343">
        <v>725</v>
      </c>
      <c r="B722" s="344" t="s">
        <v>794</v>
      </c>
      <c r="C722" s="344" t="s">
        <v>794</v>
      </c>
      <c r="D722" s="344" t="s">
        <v>20</v>
      </c>
      <c r="E722" s="345" t="s">
        <v>289</v>
      </c>
    </row>
    <row r="723" spans="1:5">
      <c r="A723" s="343">
        <v>726</v>
      </c>
      <c r="B723" s="344" t="s">
        <v>5120</v>
      </c>
      <c r="C723" s="344" t="s">
        <v>794</v>
      </c>
      <c r="D723" s="344" t="s">
        <v>20</v>
      </c>
      <c r="E723" s="345" t="s">
        <v>289</v>
      </c>
    </row>
    <row r="724" spans="1:5">
      <c r="A724" s="343">
        <v>727</v>
      </c>
      <c r="B724" s="344" t="s">
        <v>5121</v>
      </c>
      <c r="C724" s="344" t="s">
        <v>794</v>
      </c>
      <c r="D724" s="344" t="s">
        <v>20</v>
      </c>
      <c r="E724" s="345" t="s">
        <v>289</v>
      </c>
    </row>
    <row r="725" spans="1:5">
      <c r="A725" s="343">
        <v>728</v>
      </c>
      <c r="B725" s="344" t="s">
        <v>5122</v>
      </c>
      <c r="C725" s="344" t="s">
        <v>794</v>
      </c>
      <c r="D725" s="344" t="s">
        <v>20</v>
      </c>
      <c r="E725" s="345" t="s">
        <v>289</v>
      </c>
    </row>
    <row r="726" spans="1:5">
      <c r="A726" s="343">
        <v>729</v>
      </c>
      <c r="B726" s="344" t="s">
        <v>5123</v>
      </c>
      <c r="C726" s="344" t="s">
        <v>794</v>
      </c>
      <c r="D726" s="344" t="s">
        <v>20</v>
      </c>
      <c r="E726" s="345" t="s">
        <v>289</v>
      </c>
    </row>
    <row r="727" spans="1:5">
      <c r="A727" s="343">
        <v>730</v>
      </c>
      <c r="B727" s="344" t="s">
        <v>5124</v>
      </c>
      <c r="C727" s="344" t="s">
        <v>794</v>
      </c>
      <c r="D727" s="344" t="s">
        <v>20</v>
      </c>
      <c r="E727" s="345" t="s">
        <v>289</v>
      </c>
    </row>
    <row r="728" spans="1:5">
      <c r="A728" s="343">
        <v>731</v>
      </c>
      <c r="B728" s="344" t="s">
        <v>5125</v>
      </c>
      <c r="C728" s="344" t="s">
        <v>794</v>
      </c>
      <c r="D728" s="344" t="s">
        <v>20</v>
      </c>
      <c r="E728" s="345" t="s">
        <v>289</v>
      </c>
    </row>
    <row r="729" spans="1:5">
      <c r="A729" s="343">
        <v>732</v>
      </c>
      <c r="B729" s="344" t="s">
        <v>5126</v>
      </c>
      <c r="C729" s="344" t="s">
        <v>1174</v>
      </c>
      <c r="D729" s="344" t="s">
        <v>262</v>
      </c>
      <c r="E729" s="345" t="s">
        <v>289</v>
      </c>
    </row>
    <row r="730" spans="1:5">
      <c r="A730" s="343">
        <v>733</v>
      </c>
      <c r="B730" s="344" t="s">
        <v>5127</v>
      </c>
      <c r="C730" s="344" t="s">
        <v>1174</v>
      </c>
      <c r="D730" s="344" t="s">
        <v>262</v>
      </c>
      <c r="E730" s="345" t="s">
        <v>289</v>
      </c>
    </row>
    <row r="731" spans="1:5">
      <c r="A731" s="343">
        <v>734</v>
      </c>
      <c r="B731" s="344" t="s">
        <v>5128</v>
      </c>
      <c r="C731" s="344" t="s">
        <v>1174</v>
      </c>
      <c r="D731" s="344" t="s">
        <v>262</v>
      </c>
      <c r="E731" s="345" t="s">
        <v>289</v>
      </c>
    </row>
    <row r="732" spans="1:5">
      <c r="A732" s="343">
        <v>735</v>
      </c>
      <c r="B732" s="344" t="s">
        <v>5129</v>
      </c>
      <c r="C732" s="344" t="s">
        <v>1174</v>
      </c>
      <c r="D732" s="344" t="s">
        <v>295</v>
      </c>
      <c r="E732" s="345" t="s">
        <v>289</v>
      </c>
    </row>
    <row r="733" spans="1:5">
      <c r="A733" s="343">
        <v>736</v>
      </c>
      <c r="B733" s="344" t="s">
        <v>5130</v>
      </c>
      <c r="C733" s="344" t="s">
        <v>1174</v>
      </c>
      <c r="D733" s="344" t="s">
        <v>295</v>
      </c>
      <c r="E733" s="345" t="s">
        <v>289</v>
      </c>
    </row>
    <row r="734" spans="1:5">
      <c r="A734" s="343">
        <v>737</v>
      </c>
      <c r="B734" s="344" t="s">
        <v>5131</v>
      </c>
      <c r="C734" s="344" t="s">
        <v>1174</v>
      </c>
      <c r="D734" s="344" t="s">
        <v>262</v>
      </c>
      <c r="E734" s="345" t="s">
        <v>289</v>
      </c>
    </row>
    <row r="735" spans="1:5">
      <c r="A735" s="343">
        <v>738</v>
      </c>
      <c r="B735" s="344" t="s">
        <v>627</v>
      </c>
      <c r="C735" s="344" t="s">
        <v>1174</v>
      </c>
      <c r="D735" s="344" t="s">
        <v>262</v>
      </c>
      <c r="E735" s="345" t="s">
        <v>289</v>
      </c>
    </row>
    <row r="736" spans="1:5">
      <c r="A736" s="343">
        <v>739</v>
      </c>
      <c r="B736" s="344" t="s">
        <v>626</v>
      </c>
      <c r="C736" s="344" t="s">
        <v>1174</v>
      </c>
      <c r="D736" s="344" t="s">
        <v>262</v>
      </c>
      <c r="E736" s="345" t="s">
        <v>289</v>
      </c>
    </row>
    <row r="737" spans="1:5">
      <c r="A737" s="343">
        <v>740</v>
      </c>
      <c r="B737" s="344" t="s">
        <v>5132</v>
      </c>
      <c r="C737" s="344" t="s">
        <v>563</v>
      </c>
      <c r="D737" s="344" t="s">
        <v>20</v>
      </c>
      <c r="E737" s="345" t="s">
        <v>289</v>
      </c>
    </row>
    <row r="738" spans="1:5">
      <c r="A738" s="343">
        <v>741</v>
      </c>
      <c r="B738" s="344" t="s">
        <v>5133</v>
      </c>
      <c r="C738" s="344" t="s">
        <v>563</v>
      </c>
      <c r="D738" s="344" t="s">
        <v>20</v>
      </c>
      <c r="E738" s="345" t="s">
        <v>289</v>
      </c>
    </row>
    <row r="739" spans="1:5">
      <c r="A739" s="343">
        <v>742</v>
      </c>
      <c r="B739" s="344" t="s">
        <v>1370</v>
      </c>
      <c r="C739" s="344" t="s">
        <v>563</v>
      </c>
      <c r="D739" s="344" t="s">
        <v>20</v>
      </c>
      <c r="E739" s="345" t="s">
        <v>289</v>
      </c>
    </row>
    <row r="740" spans="1:5">
      <c r="A740" s="343">
        <v>743</v>
      </c>
      <c r="B740" s="344" t="s">
        <v>5134</v>
      </c>
      <c r="C740" s="344" t="s">
        <v>563</v>
      </c>
      <c r="D740" s="344" t="s">
        <v>20</v>
      </c>
      <c r="E740" s="345" t="s">
        <v>289</v>
      </c>
    </row>
    <row r="741" spans="1:5">
      <c r="A741" s="343">
        <v>744</v>
      </c>
      <c r="B741" s="344" t="s">
        <v>5135</v>
      </c>
      <c r="C741" s="344" t="s">
        <v>5136</v>
      </c>
      <c r="D741" s="344" t="s">
        <v>20</v>
      </c>
      <c r="E741" s="345" t="s">
        <v>289</v>
      </c>
    </row>
    <row r="742" spans="1:5">
      <c r="A742" s="343">
        <v>745</v>
      </c>
      <c r="B742" s="344" t="s">
        <v>5137</v>
      </c>
      <c r="C742" s="344" t="s">
        <v>1225</v>
      </c>
      <c r="D742" s="344" t="s">
        <v>20</v>
      </c>
      <c r="E742" s="345" t="s">
        <v>289</v>
      </c>
    </row>
    <row r="743" spans="1:5">
      <c r="A743" s="343">
        <v>746</v>
      </c>
      <c r="B743" s="344" t="s">
        <v>5138</v>
      </c>
      <c r="C743" s="344" t="s">
        <v>1225</v>
      </c>
      <c r="D743" s="344" t="s">
        <v>20</v>
      </c>
      <c r="E743" s="345" t="s">
        <v>289</v>
      </c>
    </row>
    <row r="744" spans="1:5">
      <c r="A744" s="343">
        <v>747</v>
      </c>
      <c r="B744" s="344" t="s">
        <v>1372</v>
      </c>
      <c r="C744" s="344" t="s">
        <v>1225</v>
      </c>
      <c r="D744" s="344" t="s">
        <v>20</v>
      </c>
      <c r="E744" s="345" t="s">
        <v>289</v>
      </c>
    </row>
    <row r="745" spans="1:5">
      <c r="A745" s="343">
        <v>748</v>
      </c>
      <c r="B745" s="344" t="s">
        <v>5139</v>
      </c>
      <c r="C745" s="344" t="s">
        <v>577</v>
      </c>
      <c r="D745" s="344" t="s">
        <v>20</v>
      </c>
      <c r="E745" s="345" t="s">
        <v>289</v>
      </c>
    </row>
    <row r="746" spans="1:5">
      <c r="A746" s="343">
        <v>749</v>
      </c>
      <c r="B746" s="344" t="s">
        <v>2457</v>
      </c>
      <c r="C746" s="344" t="s">
        <v>577</v>
      </c>
      <c r="D746" s="344" t="s">
        <v>20</v>
      </c>
      <c r="E746" s="345" t="s">
        <v>289</v>
      </c>
    </row>
    <row r="747" spans="1:5">
      <c r="A747" s="343">
        <v>750</v>
      </c>
      <c r="B747" s="344" t="s">
        <v>1378</v>
      </c>
      <c r="C747" s="344" t="s">
        <v>577</v>
      </c>
      <c r="D747" s="344" t="s">
        <v>20</v>
      </c>
      <c r="E747" s="345" t="s">
        <v>289</v>
      </c>
    </row>
    <row r="748" spans="1:5">
      <c r="A748" s="343">
        <v>751</v>
      </c>
      <c r="B748" s="344" t="s">
        <v>5140</v>
      </c>
      <c r="C748" s="344" t="s">
        <v>577</v>
      </c>
      <c r="D748" s="344" t="s">
        <v>20</v>
      </c>
      <c r="E748" s="345" t="s">
        <v>289</v>
      </c>
    </row>
    <row r="749" spans="1:5">
      <c r="A749" s="343">
        <v>752</v>
      </c>
      <c r="B749" s="344" t="s">
        <v>5141</v>
      </c>
      <c r="C749" s="344" t="s">
        <v>2466</v>
      </c>
      <c r="D749" s="344" t="s">
        <v>20</v>
      </c>
      <c r="E749" s="345" t="s">
        <v>289</v>
      </c>
    </row>
    <row r="750" spans="1:5">
      <c r="A750" s="343">
        <v>753</v>
      </c>
      <c r="B750" s="344" t="s">
        <v>5142</v>
      </c>
      <c r="C750" s="344" t="s">
        <v>2466</v>
      </c>
      <c r="D750" s="344" t="s">
        <v>20</v>
      </c>
      <c r="E750" s="345" t="s">
        <v>289</v>
      </c>
    </row>
    <row r="751" spans="1:5">
      <c r="A751" s="343">
        <v>754</v>
      </c>
      <c r="B751" s="343" t="s">
        <v>5143</v>
      </c>
      <c r="C751" s="343" t="s">
        <v>2472</v>
      </c>
      <c r="D751" s="343" t="s">
        <v>20</v>
      </c>
      <c r="E751" s="346" t="s">
        <v>425</v>
      </c>
    </row>
    <row r="752" spans="1:5">
      <c r="A752" s="343">
        <v>755</v>
      </c>
      <c r="B752" s="344" t="s">
        <v>5144</v>
      </c>
      <c r="C752" s="344" t="s">
        <v>5145</v>
      </c>
      <c r="D752" s="344" t="s">
        <v>20</v>
      </c>
      <c r="E752" s="345" t="s">
        <v>289</v>
      </c>
    </row>
    <row r="753" spans="1:5">
      <c r="A753" s="343">
        <v>756</v>
      </c>
      <c r="B753" s="344" t="s">
        <v>5146</v>
      </c>
      <c r="C753" s="344" t="s">
        <v>5147</v>
      </c>
      <c r="D753" s="344" t="s">
        <v>20</v>
      </c>
      <c r="E753" s="345" t="s">
        <v>289</v>
      </c>
    </row>
    <row r="754" spans="1:5">
      <c r="A754" s="343">
        <v>757</v>
      </c>
      <c r="B754" s="344" t="s">
        <v>5148</v>
      </c>
      <c r="C754" s="344" t="s">
        <v>5149</v>
      </c>
      <c r="D754" s="344" t="s">
        <v>20</v>
      </c>
      <c r="E754" s="345" t="s">
        <v>289</v>
      </c>
    </row>
    <row r="755" spans="1:5">
      <c r="A755" s="343">
        <v>758</v>
      </c>
      <c r="B755" s="344" t="s">
        <v>5150</v>
      </c>
      <c r="C755" s="344" t="s">
        <v>5151</v>
      </c>
      <c r="D755" s="344" t="s">
        <v>295</v>
      </c>
      <c r="E755" s="345" t="s">
        <v>289</v>
      </c>
    </row>
    <row r="756" spans="1:5">
      <c r="A756" s="343">
        <v>759</v>
      </c>
      <c r="B756" s="344" t="s">
        <v>5152</v>
      </c>
      <c r="C756" s="344" t="s">
        <v>5151</v>
      </c>
      <c r="D756" s="344" t="s">
        <v>295</v>
      </c>
      <c r="E756" s="345" t="s">
        <v>289</v>
      </c>
    </row>
    <row r="757" spans="1:5">
      <c r="A757" s="343">
        <v>760</v>
      </c>
      <c r="B757" s="344" t="s">
        <v>5153</v>
      </c>
      <c r="C757" s="344" t="s">
        <v>5151</v>
      </c>
      <c r="D757" s="344" t="s">
        <v>5154</v>
      </c>
      <c r="E757" s="345" t="s">
        <v>289</v>
      </c>
    </row>
    <row r="758" spans="1:5">
      <c r="A758" s="343">
        <v>761</v>
      </c>
      <c r="B758" s="344" t="s">
        <v>5155</v>
      </c>
      <c r="C758" s="344" t="s">
        <v>5151</v>
      </c>
      <c r="D758" s="344" t="s">
        <v>5154</v>
      </c>
      <c r="E758" s="345" t="s">
        <v>289</v>
      </c>
    </row>
    <row r="759" spans="1:5">
      <c r="A759" s="343">
        <v>762</v>
      </c>
      <c r="B759" s="344" t="s">
        <v>5156</v>
      </c>
      <c r="C759" s="344" t="s">
        <v>1520</v>
      </c>
      <c r="D759" s="344" t="s">
        <v>295</v>
      </c>
      <c r="E759" s="345" t="s">
        <v>289</v>
      </c>
    </row>
    <row r="760" spans="1:5">
      <c r="A760" s="343">
        <v>763</v>
      </c>
      <c r="B760" s="344" t="s">
        <v>5157</v>
      </c>
      <c r="C760" s="344" t="s">
        <v>1514</v>
      </c>
      <c r="D760" s="344" t="s">
        <v>20</v>
      </c>
      <c r="E760" s="345" t="s">
        <v>289</v>
      </c>
    </row>
    <row r="761" spans="1:5">
      <c r="A761" s="343">
        <v>764</v>
      </c>
      <c r="B761" s="344" t="s">
        <v>491</v>
      </c>
      <c r="C761" s="344" t="s">
        <v>1540</v>
      </c>
      <c r="D761" s="344" t="s">
        <v>20</v>
      </c>
      <c r="E761" s="345" t="s">
        <v>289</v>
      </c>
    </row>
    <row r="762" spans="1:5">
      <c r="A762" s="343">
        <v>765</v>
      </c>
      <c r="B762" s="344" t="s">
        <v>492</v>
      </c>
      <c r="C762" s="344" t="s">
        <v>1540</v>
      </c>
      <c r="D762" s="344" t="s">
        <v>20</v>
      </c>
      <c r="E762" s="345" t="s">
        <v>289</v>
      </c>
    </row>
    <row r="763" spans="1:5">
      <c r="A763" s="343">
        <v>766</v>
      </c>
      <c r="B763" s="344" t="s">
        <v>493</v>
      </c>
      <c r="C763" s="344" t="s">
        <v>1540</v>
      </c>
      <c r="D763" s="344" t="s">
        <v>20</v>
      </c>
      <c r="E763" s="345" t="s">
        <v>289</v>
      </c>
    </row>
    <row r="764" spans="1:5">
      <c r="A764" s="343">
        <v>767</v>
      </c>
      <c r="B764" s="344" t="s">
        <v>5158</v>
      </c>
      <c r="C764" s="344" t="s">
        <v>1540</v>
      </c>
      <c r="D764" s="344" t="s">
        <v>20</v>
      </c>
      <c r="E764" s="345" t="s">
        <v>289</v>
      </c>
    </row>
    <row r="765" spans="1:5">
      <c r="A765" s="343">
        <v>768</v>
      </c>
      <c r="B765" s="344" t="s">
        <v>5159</v>
      </c>
      <c r="C765" s="344" t="s">
        <v>1540</v>
      </c>
      <c r="D765" s="344" t="s">
        <v>20</v>
      </c>
      <c r="E765" s="345" t="s">
        <v>289</v>
      </c>
    </row>
    <row r="766" spans="1:5">
      <c r="A766" s="343">
        <v>769</v>
      </c>
      <c r="B766" s="343" t="s">
        <v>5160</v>
      </c>
      <c r="C766" s="343" t="s">
        <v>639</v>
      </c>
      <c r="D766" s="343" t="s">
        <v>20</v>
      </c>
      <c r="E766" s="346" t="s">
        <v>425</v>
      </c>
    </row>
    <row r="767" spans="1:5">
      <c r="A767" s="343">
        <v>770</v>
      </c>
      <c r="B767" s="344" t="s">
        <v>5161</v>
      </c>
      <c r="C767" s="344" t="s">
        <v>551</v>
      </c>
      <c r="D767" s="344" t="s">
        <v>20</v>
      </c>
      <c r="E767" s="345" t="s">
        <v>289</v>
      </c>
    </row>
    <row r="768" spans="1:5">
      <c r="A768" s="343">
        <v>771</v>
      </c>
      <c r="B768" s="344" t="s">
        <v>5162</v>
      </c>
      <c r="C768" s="344" t="s">
        <v>5163</v>
      </c>
      <c r="D768" s="344" t="s">
        <v>262</v>
      </c>
      <c r="E768" s="345" t="s">
        <v>289</v>
      </c>
    </row>
    <row r="769" spans="1:5">
      <c r="A769" s="343">
        <v>772</v>
      </c>
      <c r="B769" s="344" t="s">
        <v>5164</v>
      </c>
      <c r="C769" s="344" t="s">
        <v>577</v>
      </c>
      <c r="D769" s="344" t="s">
        <v>20</v>
      </c>
      <c r="E769" s="345" t="s">
        <v>289</v>
      </c>
    </row>
    <row r="770" spans="1:5">
      <c r="A770" s="343">
        <v>773</v>
      </c>
      <c r="B770" s="344" t="s">
        <v>5165</v>
      </c>
      <c r="C770" s="344" t="s">
        <v>577</v>
      </c>
      <c r="D770" s="344" t="s">
        <v>20</v>
      </c>
      <c r="E770" s="345" t="s">
        <v>289</v>
      </c>
    </row>
    <row r="771" spans="1:5">
      <c r="A771" s="343">
        <v>774</v>
      </c>
      <c r="B771" s="344" t="s">
        <v>5166</v>
      </c>
      <c r="C771" s="344" t="s">
        <v>577</v>
      </c>
      <c r="D771" s="344" t="s">
        <v>20</v>
      </c>
      <c r="E771" s="345" t="s">
        <v>289</v>
      </c>
    </row>
    <row r="772" spans="1:5">
      <c r="A772" s="343">
        <v>775</v>
      </c>
      <c r="B772" s="344" t="s">
        <v>5167</v>
      </c>
      <c r="C772" s="344" t="s">
        <v>638</v>
      </c>
      <c r="D772" s="344" t="s">
        <v>20</v>
      </c>
      <c r="E772" s="345" t="s">
        <v>289</v>
      </c>
    </row>
    <row r="773" spans="1:5">
      <c r="A773" s="343">
        <v>776</v>
      </c>
      <c r="B773" s="343" t="s">
        <v>5168</v>
      </c>
      <c r="C773" s="343" t="s">
        <v>638</v>
      </c>
      <c r="D773" s="343" t="s">
        <v>20</v>
      </c>
      <c r="E773" s="346" t="s">
        <v>425</v>
      </c>
    </row>
    <row r="774" spans="1:5">
      <c r="A774" s="343">
        <v>777</v>
      </c>
      <c r="B774" s="343" t="s">
        <v>5169</v>
      </c>
      <c r="C774" s="343" t="s">
        <v>638</v>
      </c>
      <c r="D774" s="343" t="s">
        <v>20</v>
      </c>
      <c r="E774" s="346" t="s">
        <v>425</v>
      </c>
    </row>
    <row r="775" spans="1:5">
      <c r="A775" s="343">
        <v>778</v>
      </c>
      <c r="B775" s="344" t="s">
        <v>5170</v>
      </c>
      <c r="C775" s="344" t="s">
        <v>549</v>
      </c>
      <c r="D775" s="344" t="s">
        <v>295</v>
      </c>
      <c r="E775" s="345" t="s">
        <v>289</v>
      </c>
    </row>
    <row r="776" spans="1:5">
      <c r="A776" s="343">
        <v>779</v>
      </c>
      <c r="B776" s="344" t="s">
        <v>5171</v>
      </c>
      <c r="C776" s="344" t="s">
        <v>549</v>
      </c>
      <c r="D776" s="344" t="s">
        <v>886</v>
      </c>
      <c r="E776" s="345" t="s">
        <v>289</v>
      </c>
    </row>
    <row r="777" spans="1:5">
      <c r="A777" s="343">
        <v>780</v>
      </c>
      <c r="B777" s="343" t="s">
        <v>5172</v>
      </c>
      <c r="C777" s="343" t="s">
        <v>2872</v>
      </c>
      <c r="D777" s="343" t="s">
        <v>20</v>
      </c>
      <c r="E777" s="346" t="s">
        <v>425</v>
      </c>
    </row>
    <row r="778" spans="1:5">
      <c r="A778" s="343">
        <v>781</v>
      </c>
      <c r="B778" s="343" t="s">
        <v>4534</v>
      </c>
      <c r="C778" s="343" t="s">
        <v>4534</v>
      </c>
      <c r="D778" s="343" t="s">
        <v>20</v>
      </c>
      <c r="E778" s="346" t="s">
        <v>425</v>
      </c>
    </row>
    <row r="779" spans="1:5">
      <c r="A779" s="343">
        <v>782</v>
      </c>
      <c r="B779" s="344" t="s">
        <v>5173</v>
      </c>
      <c r="C779" s="344" t="s">
        <v>5174</v>
      </c>
      <c r="D779" s="344" t="s">
        <v>20</v>
      </c>
      <c r="E779" s="345" t="s">
        <v>289</v>
      </c>
    </row>
    <row r="780" spans="1:5">
      <c r="A780" s="343">
        <v>783</v>
      </c>
      <c r="B780" s="344" t="s">
        <v>5175</v>
      </c>
      <c r="C780" s="344" t="s">
        <v>5175</v>
      </c>
      <c r="D780" s="344" t="s">
        <v>20</v>
      </c>
      <c r="E780" s="345" t="s">
        <v>289</v>
      </c>
    </row>
    <row r="781" spans="1:5">
      <c r="A781" s="343">
        <v>784</v>
      </c>
      <c r="B781" s="344" t="s">
        <v>5176</v>
      </c>
      <c r="C781" s="344" t="s">
        <v>633</v>
      </c>
      <c r="D781" s="344" t="s">
        <v>20</v>
      </c>
      <c r="E781" s="345" t="s">
        <v>289</v>
      </c>
    </row>
    <row r="782" spans="1:5">
      <c r="A782" s="343">
        <v>785</v>
      </c>
      <c r="B782" s="344" t="s">
        <v>5177</v>
      </c>
      <c r="C782" s="344" t="s">
        <v>633</v>
      </c>
      <c r="D782" s="344" t="s">
        <v>20</v>
      </c>
      <c r="E782" s="345" t="s">
        <v>289</v>
      </c>
    </row>
    <row r="783" spans="1:5">
      <c r="A783" s="343">
        <v>786</v>
      </c>
      <c r="B783" s="344" t="s">
        <v>5178</v>
      </c>
      <c r="C783" s="344" t="s">
        <v>633</v>
      </c>
      <c r="D783" s="344" t="s">
        <v>20</v>
      </c>
      <c r="E783" s="345" t="s">
        <v>289</v>
      </c>
    </row>
    <row r="784" spans="1:5">
      <c r="A784" s="343">
        <v>787</v>
      </c>
      <c r="B784" s="344" t="s">
        <v>5179</v>
      </c>
      <c r="C784" s="344" t="s">
        <v>633</v>
      </c>
      <c r="D784" s="344" t="s">
        <v>20</v>
      </c>
      <c r="E784" s="345" t="s">
        <v>289</v>
      </c>
    </row>
    <row r="785" spans="1:5">
      <c r="A785" s="343">
        <v>788</v>
      </c>
      <c r="B785" s="344" t="s">
        <v>5180</v>
      </c>
      <c r="C785" s="344" t="s">
        <v>633</v>
      </c>
      <c r="D785" s="344" t="s">
        <v>20</v>
      </c>
      <c r="E785" s="345" t="s">
        <v>289</v>
      </c>
    </row>
    <row r="786" spans="1:5">
      <c r="A786" s="343">
        <v>789</v>
      </c>
      <c r="B786" s="344" t="s">
        <v>5181</v>
      </c>
      <c r="C786" s="344" t="s">
        <v>633</v>
      </c>
      <c r="D786" s="344" t="s">
        <v>20</v>
      </c>
      <c r="E786" s="345" t="s">
        <v>289</v>
      </c>
    </row>
    <row r="787" spans="1:5">
      <c r="A787" s="343">
        <v>790</v>
      </c>
      <c r="B787" s="344" t="s">
        <v>5182</v>
      </c>
      <c r="C787" s="344" t="s">
        <v>633</v>
      </c>
      <c r="D787" s="344" t="s">
        <v>20</v>
      </c>
      <c r="E787" s="345" t="s">
        <v>289</v>
      </c>
    </row>
    <row r="788" spans="1:5">
      <c r="A788" s="343">
        <v>791</v>
      </c>
      <c r="B788" s="344" t="s">
        <v>5183</v>
      </c>
      <c r="C788" s="344" t="s">
        <v>633</v>
      </c>
      <c r="D788" s="344" t="s">
        <v>20</v>
      </c>
      <c r="E788" s="345" t="s">
        <v>289</v>
      </c>
    </row>
    <row r="789" spans="1:5">
      <c r="A789" s="343">
        <v>792</v>
      </c>
      <c r="B789" s="344" t="s">
        <v>5184</v>
      </c>
      <c r="C789" s="344" t="s">
        <v>633</v>
      </c>
      <c r="D789" s="344" t="s">
        <v>20</v>
      </c>
      <c r="E789" s="345" t="s">
        <v>289</v>
      </c>
    </row>
    <row r="790" spans="1:5">
      <c r="A790" s="343">
        <v>793</v>
      </c>
      <c r="B790" s="344" t="s">
        <v>1805</v>
      </c>
      <c r="C790" s="344" t="s">
        <v>633</v>
      </c>
      <c r="D790" s="344" t="s">
        <v>20</v>
      </c>
      <c r="E790" s="345" t="s">
        <v>289</v>
      </c>
    </row>
    <row r="791" spans="1:5">
      <c r="A791" s="343">
        <v>794</v>
      </c>
      <c r="B791" s="344" t="s">
        <v>5185</v>
      </c>
      <c r="C791" s="344" t="s">
        <v>632</v>
      </c>
      <c r="D791" s="344" t="s">
        <v>20</v>
      </c>
      <c r="E791" s="345" t="s">
        <v>289</v>
      </c>
    </row>
    <row r="792" spans="1:5">
      <c r="A792" s="343">
        <v>795</v>
      </c>
      <c r="B792" s="344" t="s">
        <v>5186</v>
      </c>
      <c r="C792" s="344" t="s">
        <v>632</v>
      </c>
      <c r="D792" s="344" t="s">
        <v>20</v>
      </c>
      <c r="E792" s="345" t="s">
        <v>289</v>
      </c>
    </row>
    <row r="793" spans="1:5">
      <c r="A793" s="343">
        <v>796</v>
      </c>
      <c r="B793" s="344" t="s">
        <v>5187</v>
      </c>
      <c r="C793" s="344" t="s">
        <v>551</v>
      </c>
      <c r="D793" s="344" t="s">
        <v>20</v>
      </c>
      <c r="E793" s="345" t="s">
        <v>289</v>
      </c>
    </row>
    <row r="794" spans="1:5">
      <c r="A794" s="343">
        <v>797</v>
      </c>
      <c r="B794" s="344" t="s">
        <v>5188</v>
      </c>
      <c r="C794" s="344" t="s">
        <v>551</v>
      </c>
      <c r="D794" s="344" t="s">
        <v>20</v>
      </c>
      <c r="E794" s="345" t="s">
        <v>289</v>
      </c>
    </row>
    <row r="795" spans="1:5">
      <c r="A795" s="343">
        <v>798</v>
      </c>
      <c r="B795" s="344" t="s">
        <v>5189</v>
      </c>
      <c r="C795" s="344" t="s">
        <v>551</v>
      </c>
      <c r="D795" s="344" t="s">
        <v>20</v>
      </c>
      <c r="E795" s="345" t="s">
        <v>289</v>
      </c>
    </row>
    <row r="796" spans="1:5">
      <c r="A796" s="343">
        <v>799</v>
      </c>
      <c r="B796" s="344" t="s">
        <v>5190</v>
      </c>
      <c r="C796" s="344" t="s">
        <v>551</v>
      </c>
      <c r="D796" s="344" t="s">
        <v>20</v>
      </c>
      <c r="E796" s="345" t="s">
        <v>289</v>
      </c>
    </row>
    <row r="797" spans="1:5">
      <c r="A797" s="343">
        <v>800</v>
      </c>
      <c r="B797" s="344" t="s">
        <v>5191</v>
      </c>
      <c r="C797" s="344" t="s">
        <v>551</v>
      </c>
      <c r="D797" s="344" t="s">
        <v>20</v>
      </c>
      <c r="E797" s="345" t="s">
        <v>289</v>
      </c>
    </row>
    <row r="798" spans="1:5">
      <c r="A798" s="343">
        <v>801</v>
      </c>
      <c r="B798" s="344" t="s">
        <v>5192</v>
      </c>
      <c r="C798" s="344" t="s">
        <v>551</v>
      </c>
      <c r="D798" s="344" t="s">
        <v>20</v>
      </c>
      <c r="E798" s="345" t="s">
        <v>289</v>
      </c>
    </row>
    <row r="799" spans="1:5">
      <c r="A799" s="343">
        <v>802</v>
      </c>
      <c r="B799" s="344" t="s">
        <v>5193</v>
      </c>
      <c r="C799" s="344" t="s">
        <v>551</v>
      </c>
      <c r="D799" s="344" t="s">
        <v>20</v>
      </c>
      <c r="E799" s="345" t="s">
        <v>289</v>
      </c>
    </row>
    <row r="800" spans="1:5">
      <c r="A800" s="343">
        <v>803</v>
      </c>
      <c r="B800" s="344" t="s">
        <v>5194</v>
      </c>
      <c r="C800" s="344" t="s">
        <v>551</v>
      </c>
      <c r="D800" s="344" t="s">
        <v>20</v>
      </c>
      <c r="E800" s="345" t="s">
        <v>289</v>
      </c>
    </row>
    <row r="801" spans="1:5">
      <c r="A801" s="343">
        <v>804</v>
      </c>
      <c r="B801" s="344" t="s">
        <v>5195</v>
      </c>
      <c r="C801" s="344" t="s">
        <v>557</v>
      </c>
      <c r="D801" s="344" t="s">
        <v>20</v>
      </c>
      <c r="E801" s="345" t="s">
        <v>289</v>
      </c>
    </row>
    <row r="802" spans="1:5">
      <c r="A802" s="343">
        <v>805</v>
      </c>
      <c r="B802" s="344" t="s">
        <v>5196</v>
      </c>
      <c r="C802" s="344" t="s">
        <v>629</v>
      </c>
      <c r="D802" s="344" t="s">
        <v>295</v>
      </c>
      <c r="E802" s="345" t="s">
        <v>289</v>
      </c>
    </row>
    <row r="803" spans="1:5">
      <c r="A803" s="343">
        <v>806</v>
      </c>
      <c r="B803" s="344" t="s">
        <v>5197</v>
      </c>
      <c r="C803" s="344" t="s">
        <v>629</v>
      </c>
      <c r="D803" s="344" t="s">
        <v>295</v>
      </c>
      <c r="E803" s="345" t="s">
        <v>289</v>
      </c>
    </row>
    <row r="804" spans="1:5">
      <c r="A804" s="343">
        <v>807</v>
      </c>
      <c r="B804" s="344" t="s">
        <v>5198</v>
      </c>
      <c r="C804" s="344" t="s">
        <v>629</v>
      </c>
      <c r="D804" s="344" t="s">
        <v>295</v>
      </c>
      <c r="E804" s="345" t="s">
        <v>289</v>
      </c>
    </row>
    <row r="805" spans="1:5">
      <c r="A805" s="343">
        <v>808</v>
      </c>
      <c r="B805" s="344" t="s">
        <v>5199</v>
      </c>
      <c r="C805" s="344" t="s">
        <v>4457</v>
      </c>
      <c r="D805" s="344" t="s">
        <v>20</v>
      </c>
      <c r="E805" s="345" t="s">
        <v>289</v>
      </c>
    </row>
    <row r="806" spans="1:5">
      <c r="A806" s="343">
        <v>809</v>
      </c>
      <c r="B806" s="344" t="s">
        <v>5200</v>
      </c>
      <c r="C806" s="344" t="s">
        <v>5200</v>
      </c>
      <c r="D806" s="344" t="s">
        <v>20</v>
      </c>
      <c r="E806" s="345" t="s">
        <v>289</v>
      </c>
    </row>
    <row r="807" spans="1:5">
      <c r="A807" s="343">
        <v>810</v>
      </c>
      <c r="B807" s="344" t="s">
        <v>5201</v>
      </c>
      <c r="C807" s="344" t="s">
        <v>1992</v>
      </c>
      <c r="D807" s="344" t="s">
        <v>20</v>
      </c>
      <c r="E807" s="345" t="s">
        <v>289</v>
      </c>
    </row>
    <row r="808" spans="1:5">
      <c r="A808" s="343">
        <v>811</v>
      </c>
      <c r="B808" s="344" t="s">
        <v>5202</v>
      </c>
      <c r="C808" s="344" t="s">
        <v>1992</v>
      </c>
      <c r="D808" s="344" t="s">
        <v>20</v>
      </c>
      <c r="E808" s="345" t="s">
        <v>289</v>
      </c>
    </row>
    <row r="809" spans="1:5">
      <c r="A809" s="343">
        <v>812</v>
      </c>
      <c r="B809" s="344" t="s">
        <v>5203</v>
      </c>
      <c r="C809" s="344" t="s">
        <v>2075</v>
      </c>
      <c r="D809" s="344" t="s">
        <v>20</v>
      </c>
      <c r="E809" s="345" t="s">
        <v>289</v>
      </c>
    </row>
    <row r="810" spans="1:5">
      <c r="A810" s="343">
        <v>813</v>
      </c>
      <c r="B810" s="344" t="s">
        <v>5204</v>
      </c>
      <c r="C810" s="344" t="s">
        <v>2075</v>
      </c>
      <c r="D810" s="344" t="s">
        <v>20</v>
      </c>
      <c r="E810" s="345" t="s">
        <v>289</v>
      </c>
    </row>
    <row r="811" spans="1:5">
      <c r="A811" s="343">
        <v>814</v>
      </c>
      <c r="B811" s="344" t="s">
        <v>5205</v>
      </c>
      <c r="C811" s="344" t="s">
        <v>2075</v>
      </c>
      <c r="D811" s="344" t="s">
        <v>20</v>
      </c>
      <c r="E811" s="345" t="s">
        <v>289</v>
      </c>
    </row>
    <row r="812" spans="1:5">
      <c r="A812" s="343">
        <v>815</v>
      </c>
      <c r="B812" s="344" t="s">
        <v>5206</v>
      </c>
      <c r="C812" s="344" t="s">
        <v>2075</v>
      </c>
      <c r="D812" s="344" t="s">
        <v>20</v>
      </c>
      <c r="E812" s="345" t="s">
        <v>289</v>
      </c>
    </row>
    <row r="813" spans="1:5">
      <c r="A813" s="343">
        <v>816</v>
      </c>
      <c r="B813" s="344" t="s">
        <v>5207</v>
      </c>
      <c r="C813" s="344" t="s">
        <v>2075</v>
      </c>
      <c r="D813" s="344" t="s">
        <v>20</v>
      </c>
      <c r="E813" s="345" t="s">
        <v>289</v>
      </c>
    </row>
    <row r="814" spans="1:5">
      <c r="A814" s="343">
        <v>817</v>
      </c>
      <c r="B814" s="344" t="s">
        <v>5208</v>
      </c>
      <c r="C814" s="344" t="s">
        <v>2075</v>
      </c>
      <c r="D814" s="344" t="s">
        <v>20</v>
      </c>
      <c r="E814" s="345" t="s">
        <v>289</v>
      </c>
    </row>
    <row r="815" spans="1:5">
      <c r="A815" s="343">
        <v>818</v>
      </c>
      <c r="B815" s="344" t="s">
        <v>5209</v>
      </c>
      <c r="C815" s="344" t="s">
        <v>2075</v>
      </c>
      <c r="D815" s="344" t="s">
        <v>20</v>
      </c>
      <c r="E815" s="345" t="s">
        <v>289</v>
      </c>
    </row>
    <row r="879" ht="15" customHeight="1"/>
    <row r="901" ht="15" customHeight="1"/>
  </sheetData>
  <autoFilter ref="A1:E815" xr:uid="{B08E71C3-FBF5-4F81-B2C8-CA7087EB3197}"/>
  <dataValidations count="1">
    <dataValidation type="list" allowBlank="1" showInputMessage="1" showErrorMessage="1" sqref="C615 C611 B2:B14 C2:C6 C8:C14 C617:C618" xr:uid="{673AC43D-B11C-4E13-A6C1-FAE670EA98B0}">
      <formula1>МШП_СПИСОК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Бюджет_Проекта</vt:lpstr>
      <vt:lpstr>Анализ</vt:lpstr>
      <vt:lpstr>Проект СС</vt:lpstr>
      <vt:lpstr>30 м2</vt:lpstr>
      <vt:lpstr>IRC 30 m2</vt:lpstr>
      <vt:lpstr>IRC 15 m2</vt:lpstr>
      <vt:lpstr>Склади Стіл</vt:lpstr>
      <vt:lpstr>Матеріали по 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cfo</cp:lastModifiedBy>
  <dcterms:created xsi:type="dcterms:W3CDTF">2026-03-19T10:43:29Z</dcterms:created>
  <dcterms:modified xsi:type="dcterms:W3CDTF">2026-07-01T17:12:51Z</dcterms:modified>
</cp:coreProperties>
</file>
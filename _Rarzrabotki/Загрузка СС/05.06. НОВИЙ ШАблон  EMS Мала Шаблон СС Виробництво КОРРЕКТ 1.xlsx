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ublic\ВИРОБНИЦТВО\ВООЗ ЕМС\ССКП\"/>
    </mc:Choice>
  </mc:AlternateContent>
  <xr:revisionPtr revIDLastSave="0" documentId="8_{606C1F53-6718-46D2-BA08-4A9C3838B962}" xr6:coauthVersionLast="45" xr6:coauthVersionMax="45" xr10:uidLastSave="{00000000-0000-0000-0000-000000000000}"/>
  <bookViews>
    <workbookView xWindow="-120" yWindow="-120" windowWidth="29040" windowHeight="15990" activeTab="2" xr2:uid="{280BA5F3-E22D-4300-A25B-E4ABFC969655}"/>
  </bookViews>
  <sheets>
    <sheet name="Бюджет_Проекта" sheetId="2" r:id="rId1"/>
    <sheet name="Анализ" sheetId="5" r:id="rId2"/>
    <sheet name="Проект СС" sheetId="4" r:id="rId3"/>
    <sheet name="анализ виготовлення" sheetId="6" r:id="rId4"/>
  </sheets>
  <externalReferences>
    <externalReference r:id="rId5"/>
  </externalReferences>
  <definedNames>
    <definedName name="_xlnm._FilterDatabase" localSheetId="2" hidden="1">'Проект СС'!$G$1:$G$387</definedName>
    <definedName name="spec_values">[1]BOQ_Шаблон!$A$6:$A$275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9" i="6" l="1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8" i="6"/>
  <c r="F7" i="6"/>
  <c r="F6" i="6"/>
  <c r="F5" i="6"/>
  <c r="E29" i="6"/>
  <c r="C29" i="6"/>
  <c r="C27" i="6" l="1"/>
  <c r="C26" i="6"/>
  <c r="C25" i="6"/>
  <c r="C24" i="6"/>
  <c r="C23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K371" i="4" l="1"/>
  <c r="K368" i="4"/>
  <c r="J66" i="4"/>
  <c r="J65" i="4"/>
  <c r="J64" i="4"/>
  <c r="J63" i="4"/>
  <c r="J62" i="4"/>
  <c r="J61" i="4"/>
  <c r="J60" i="4"/>
  <c r="J107" i="4"/>
  <c r="J106" i="4"/>
  <c r="J105" i="4"/>
  <c r="J120" i="4"/>
  <c r="J118" i="4"/>
  <c r="J117" i="4"/>
  <c r="J11" i="4"/>
  <c r="J10" i="4"/>
  <c r="J9" i="4"/>
  <c r="J8" i="4"/>
  <c r="J7" i="4"/>
  <c r="J6" i="4"/>
  <c r="J5" i="4"/>
  <c r="J4" i="4"/>
  <c r="J189" i="4"/>
  <c r="J188" i="4"/>
  <c r="J187" i="4"/>
  <c r="J186" i="4"/>
  <c r="J285" i="4"/>
  <c r="J284" i="4"/>
  <c r="J283" i="4"/>
  <c r="G1" i="5" l="1"/>
  <c r="N335" i="4"/>
  <c r="N336" i="4"/>
  <c r="N337" i="4"/>
  <c r="N338" i="4"/>
  <c r="N339" i="4"/>
  <c r="N340" i="4"/>
  <c r="N341" i="4"/>
  <c r="N342" i="4"/>
  <c r="N343" i="4"/>
  <c r="N344" i="4"/>
  <c r="N345" i="4"/>
  <c r="N346" i="4"/>
  <c r="M289" i="4"/>
  <c r="M290" i="4"/>
  <c r="M291" i="4"/>
  <c r="M292" i="4"/>
  <c r="M293" i="4"/>
  <c r="M294" i="4"/>
  <c r="M295" i="4"/>
  <c r="M296" i="4"/>
  <c r="M327" i="4"/>
  <c r="M328" i="4"/>
  <c r="M329" i="4"/>
  <c r="M330" i="4"/>
  <c r="M331" i="4"/>
  <c r="M332" i="4"/>
  <c r="M333" i="4"/>
  <c r="M334" i="4"/>
  <c r="M335" i="4"/>
  <c r="M336" i="4"/>
  <c r="O336" i="4" s="1"/>
  <c r="M337" i="4"/>
  <c r="M338" i="4"/>
  <c r="M339" i="4"/>
  <c r="M340" i="4"/>
  <c r="O340" i="4" s="1"/>
  <c r="M341" i="4"/>
  <c r="M342" i="4"/>
  <c r="M343" i="4"/>
  <c r="O343" i="4" s="1"/>
  <c r="M344" i="4"/>
  <c r="M345" i="4"/>
  <c r="M346" i="4"/>
  <c r="N230" i="4"/>
  <c r="N231" i="4"/>
  <c r="N232" i="4"/>
  <c r="N233" i="4"/>
  <c r="N234" i="4"/>
  <c r="N235" i="4"/>
  <c r="N236" i="4"/>
  <c r="N237" i="4"/>
  <c r="N238" i="4"/>
  <c r="N239" i="4"/>
  <c r="O239" i="4" s="1"/>
  <c r="N240" i="4"/>
  <c r="O240" i="4" s="1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26" i="4"/>
  <c r="M127" i="4"/>
  <c r="M128" i="4"/>
  <c r="M129" i="4"/>
  <c r="M130" i="4"/>
  <c r="M131" i="4"/>
  <c r="M132" i="4"/>
  <c r="M133" i="4"/>
  <c r="N126" i="4"/>
  <c r="O126" i="4" s="1"/>
  <c r="N127" i="4"/>
  <c r="N128" i="4"/>
  <c r="N129" i="4"/>
  <c r="O129" i="4" s="1"/>
  <c r="N130" i="4"/>
  <c r="N131" i="4"/>
  <c r="N132" i="4"/>
  <c r="N133" i="4"/>
  <c r="N112" i="4"/>
  <c r="M112" i="4"/>
  <c r="M89" i="4"/>
  <c r="N89" i="4"/>
  <c r="O89" i="4" s="1"/>
  <c r="M90" i="4"/>
  <c r="N90" i="4"/>
  <c r="M91" i="4"/>
  <c r="N91" i="4"/>
  <c r="M92" i="4"/>
  <c r="N92" i="4"/>
  <c r="O92" i="4" s="1"/>
  <c r="M93" i="4"/>
  <c r="N93" i="4"/>
  <c r="M94" i="4"/>
  <c r="N94" i="4"/>
  <c r="M95" i="4"/>
  <c r="N95" i="4"/>
  <c r="O95" i="4" s="1"/>
  <c r="M96" i="4"/>
  <c r="N96" i="4"/>
  <c r="M97" i="4"/>
  <c r="N97" i="4"/>
  <c r="M98" i="4"/>
  <c r="N98" i="4"/>
  <c r="M99" i="4"/>
  <c r="N99" i="4"/>
  <c r="M100" i="4"/>
  <c r="N100" i="4"/>
  <c r="M101" i="4"/>
  <c r="N101" i="4"/>
  <c r="M102" i="4"/>
  <c r="N102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N289" i="4"/>
  <c r="O289" i="4" s="1"/>
  <c r="N290" i="4"/>
  <c r="O290" i="4" s="1"/>
  <c r="N291" i="4"/>
  <c r="O291" i="4" s="1"/>
  <c r="N292" i="4"/>
  <c r="O292" i="4" s="1"/>
  <c r="N293" i="4"/>
  <c r="O293" i="4" s="1"/>
  <c r="N294" i="4"/>
  <c r="O294" i="4" s="1"/>
  <c r="N295" i="4"/>
  <c r="O295" i="4" s="1"/>
  <c r="N296" i="4"/>
  <c r="O296" i="4" s="1"/>
  <c r="N327" i="4"/>
  <c r="N328" i="4"/>
  <c r="N329" i="4"/>
  <c r="N330" i="4"/>
  <c r="N331" i="4"/>
  <c r="N332" i="4"/>
  <c r="O332" i="4" s="1"/>
  <c r="N333" i="4"/>
  <c r="O333" i="4" s="1"/>
  <c r="N334" i="4"/>
  <c r="O334" i="4" s="1"/>
  <c r="O346" i="4" l="1"/>
  <c r="O345" i="4"/>
  <c r="O344" i="4"/>
  <c r="O342" i="4"/>
  <c r="O341" i="4"/>
  <c r="O238" i="4"/>
  <c r="O250" i="4"/>
  <c r="O339" i="4"/>
  <c r="O252" i="4"/>
  <c r="O338" i="4"/>
  <c r="O251" i="4"/>
  <c r="O337" i="4"/>
  <c r="O97" i="4"/>
  <c r="O335" i="4"/>
  <c r="O91" i="4"/>
  <c r="O245" i="4"/>
  <c r="O256" i="4"/>
  <c r="O328" i="4"/>
  <c r="O255" i="4"/>
  <c r="O243" i="4"/>
  <c r="O231" i="4"/>
  <c r="O331" i="4"/>
  <c r="O257" i="4"/>
  <c r="O244" i="4"/>
  <c r="O327" i="4"/>
  <c r="O254" i="4"/>
  <c r="O242" i="4"/>
  <c r="O230" i="4"/>
  <c r="O233" i="4"/>
  <c r="O232" i="4"/>
  <c r="O253" i="4"/>
  <c r="O241" i="4"/>
  <c r="O330" i="4"/>
  <c r="O329" i="4"/>
  <c r="O177" i="4"/>
  <c r="O249" i="4"/>
  <c r="O237" i="4"/>
  <c r="O248" i="4"/>
  <c r="O236" i="4"/>
  <c r="O247" i="4"/>
  <c r="O235" i="4"/>
  <c r="O246" i="4"/>
  <c r="O234" i="4"/>
  <c r="O183" i="4"/>
  <c r="O171" i="4"/>
  <c r="O96" i="4"/>
  <c r="O90" i="4"/>
  <c r="O132" i="4"/>
  <c r="O176" i="4"/>
  <c r="O182" i="4"/>
  <c r="O170" i="4"/>
  <c r="O175" i="4"/>
  <c r="O181" i="4"/>
  <c r="O169" i="4"/>
  <c r="O174" i="4"/>
  <c r="O180" i="4"/>
  <c r="O168" i="4"/>
  <c r="O54" i="4"/>
  <c r="O100" i="4"/>
  <c r="O173" i="4"/>
  <c r="O179" i="4"/>
  <c r="O167" i="4"/>
  <c r="O172" i="4"/>
  <c r="O178" i="4"/>
  <c r="O166" i="4"/>
  <c r="O99" i="4"/>
  <c r="O128" i="4"/>
  <c r="O130" i="4"/>
  <c r="O102" i="4"/>
  <c r="O53" i="4"/>
  <c r="O52" i="4"/>
  <c r="O112" i="4"/>
  <c r="O44" i="4"/>
  <c r="O50" i="4"/>
  <c r="O38" i="4"/>
  <c r="O49" i="4"/>
  <c r="O37" i="4"/>
  <c r="O48" i="4"/>
  <c r="O36" i="4"/>
  <c r="O133" i="4"/>
  <c r="O131" i="4"/>
  <c r="O127" i="4"/>
  <c r="O101" i="4"/>
  <c r="O47" i="4"/>
  <c r="O35" i="4"/>
  <c r="O94" i="4"/>
  <c r="O46" i="4"/>
  <c r="O45" i="4"/>
  <c r="O98" i="4"/>
  <c r="O56" i="4"/>
  <c r="O55" i="4"/>
  <c r="O43" i="4"/>
  <c r="O42" i="4"/>
  <c r="O41" i="4"/>
  <c r="O40" i="4"/>
  <c r="O57" i="4"/>
  <c r="O51" i="4"/>
  <c r="O39" i="4"/>
  <c r="O93" i="4"/>
  <c r="I4" i="2"/>
  <c r="I3" i="2" l="1"/>
  <c r="M373" i="4"/>
  <c r="O373" i="4" s="1"/>
  <c r="M372" i="4"/>
  <c r="O372" i="4" s="1"/>
  <c r="M371" i="4"/>
  <c r="O371" i="4" s="1"/>
  <c r="M370" i="4"/>
  <c r="O370" i="4" s="1"/>
  <c r="M369" i="4"/>
  <c r="O369" i="4" s="1"/>
  <c r="M352" i="4"/>
  <c r="M368" i="4"/>
  <c r="O368" i="4" s="1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M364" i="4"/>
  <c r="N4" i="4"/>
  <c r="N8" i="4" l="1"/>
  <c r="N9" i="4"/>
  <c r="N10" i="4"/>
  <c r="N11" i="4"/>
  <c r="B148" i="2"/>
  <c r="B147" i="2"/>
  <c r="B146" i="2"/>
  <c r="B144" i="2"/>
  <c r="B143" i="2"/>
  <c r="B142" i="2"/>
  <c r="B131" i="2"/>
  <c r="B130" i="2"/>
  <c r="B127" i="2"/>
  <c r="B126" i="2"/>
  <c r="B125" i="2"/>
  <c r="B124" i="2"/>
  <c r="B123" i="2"/>
  <c r="B122" i="2"/>
  <c r="B121" i="2"/>
  <c r="B120" i="2"/>
  <c r="B119" i="2"/>
  <c r="B116" i="2"/>
  <c r="B115" i="2"/>
  <c r="B114" i="2"/>
  <c r="B112" i="2"/>
  <c r="B111" i="2"/>
  <c r="B110" i="2"/>
  <c r="B109" i="2"/>
  <c r="B108" i="2"/>
  <c r="B107" i="2"/>
  <c r="B106" i="2"/>
  <c r="B99" i="2"/>
  <c r="B102" i="2"/>
  <c r="B103" i="2"/>
  <c r="B104" i="2"/>
  <c r="B97" i="2"/>
  <c r="B96" i="2"/>
  <c r="B95" i="2"/>
  <c r="B92" i="2"/>
  <c r="B91" i="2"/>
  <c r="B88" i="2"/>
  <c r="B87" i="2"/>
  <c r="B84" i="2"/>
  <c r="B82" i="2"/>
  <c r="B81" i="2"/>
  <c r="B77" i="2"/>
  <c r="B75" i="2"/>
  <c r="B74" i="2"/>
  <c r="B73" i="2"/>
  <c r="B69" i="2"/>
  <c r="B68" i="2"/>
  <c r="B65" i="2"/>
  <c r="B64" i="2"/>
  <c r="B63" i="2"/>
  <c r="B62" i="2"/>
  <c r="B60" i="2"/>
  <c r="B59" i="2"/>
  <c r="B57" i="2"/>
  <c r="B56" i="2"/>
  <c r="B55" i="2"/>
  <c r="B54" i="2"/>
  <c r="B53" i="2"/>
  <c r="B51" i="2"/>
  <c r="B50" i="2"/>
  <c r="B48" i="2"/>
  <c r="B47" i="2"/>
  <c r="B46" i="2"/>
  <c r="B44" i="2"/>
  <c r="B43" i="2"/>
  <c r="B42" i="2"/>
  <c r="B40" i="2"/>
  <c r="B39" i="2"/>
  <c r="B38" i="2"/>
  <c r="B37" i="2"/>
  <c r="B36" i="2"/>
  <c r="B35" i="2"/>
  <c r="C34" i="2"/>
  <c r="B32" i="2"/>
  <c r="B31" i="2"/>
  <c r="B30" i="2"/>
  <c r="B28" i="2"/>
  <c r="B27" i="2"/>
  <c r="B26" i="2"/>
  <c r="B25" i="2"/>
  <c r="B23" i="2"/>
  <c r="B22" i="2"/>
  <c r="B19" i="2"/>
  <c r="B20" i="2"/>
  <c r="B18" i="2"/>
  <c r="M280" i="4"/>
  <c r="N280" i="4"/>
  <c r="M281" i="4"/>
  <c r="N281" i="4"/>
  <c r="M282" i="4"/>
  <c r="N282" i="4"/>
  <c r="M283" i="4"/>
  <c r="N283" i="4"/>
  <c r="M284" i="4"/>
  <c r="N284" i="4"/>
  <c r="M285" i="4"/>
  <c r="N285" i="4"/>
  <c r="M286" i="4"/>
  <c r="N286" i="4"/>
  <c r="M274" i="4"/>
  <c r="N274" i="4"/>
  <c r="M275" i="4"/>
  <c r="N275" i="4"/>
  <c r="M276" i="4"/>
  <c r="N276" i="4"/>
  <c r="M271" i="4"/>
  <c r="N271" i="4"/>
  <c r="M272" i="4"/>
  <c r="N272" i="4"/>
  <c r="M273" i="4"/>
  <c r="N273" i="4"/>
  <c r="M264" i="4"/>
  <c r="N264" i="4"/>
  <c r="M265" i="4"/>
  <c r="N265" i="4"/>
  <c r="M266" i="4"/>
  <c r="N266" i="4"/>
  <c r="M63" i="4"/>
  <c r="N63" i="4"/>
  <c r="M64" i="4"/>
  <c r="N64" i="4"/>
  <c r="M65" i="4"/>
  <c r="N65" i="4"/>
  <c r="M66" i="4"/>
  <c r="N66" i="4"/>
  <c r="M9" i="4"/>
  <c r="O285" i="4" l="1"/>
  <c r="O276" i="4"/>
  <c r="O275" i="4"/>
  <c r="O284" i="4"/>
  <c r="O280" i="4"/>
  <c r="O281" i="4"/>
  <c r="O264" i="4"/>
  <c r="O283" i="4"/>
  <c r="O9" i="4"/>
  <c r="O266" i="4"/>
  <c r="O286" i="4"/>
  <c r="O273" i="4"/>
  <c r="O272" i="4"/>
  <c r="O63" i="4"/>
  <c r="O271" i="4"/>
  <c r="O282" i="4"/>
  <c r="O265" i="4"/>
  <c r="O274" i="4"/>
  <c r="O65" i="4"/>
  <c r="O64" i="4"/>
  <c r="O66" i="4"/>
  <c r="F6" i="5" l="1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5" i="5"/>
  <c r="G5" i="5" s="1"/>
  <c r="E6" i="5"/>
  <c r="E7" i="5"/>
  <c r="E8" i="5"/>
  <c r="E9" i="5"/>
  <c r="E10" i="5"/>
  <c r="E11" i="5"/>
  <c r="E12" i="5"/>
  <c r="E5" i="5"/>
  <c r="E13" i="5" l="1"/>
  <c r="F13" i="5"/>
  <c r="O386" i="4"/>
  <c r="B100" i="2" s="1"/>
  <c r="O385" i="4"/>
  <c r="B79" i="2" s="1"/>
  <c r="O384" i="4"/>
  <c r="B80" i="2" s="1"/>
  <c r="O383" i="4"/>
  <c r="B72" i="2" s="1"/>
  <c r="O382" i="4"/>
  <c r="B85" i="2" s="1"/>
  <c r="O381" i="4"/>
  <c r="B78" i="2" s="1"/>
  <c r="O380" i="4"/>
  <c r="N347" i="4"/>
  <c r="M347" i="4"/>
  <c r="N288" i="4"/>
  <c r="M288" i="4"/>
  <c r="N287" i="4"/>
  <c r="M287" i="4"/>
  <c r="N279" i="4"/>
  <c r="M279" i="4"/>
  <c r="N278" i="4"/>
  <c r="M278" i="4"/>
  <c r="N277" i="4"/>
  <c r="M277" i="4"/>
  <c r="N270" i="4"/>
  <c r="M270" i="4"/>
  <c r="N269" i="4"/>
  <c r="M269" i="4"/>
  <c r="N268" i="4"/>
  <c r="M268" i="4"/>
  <c r="N267" i="4"/>
  <c r="M267" i="4"/>
  <c r="N263" i="4"/>
  <c r="M263" i="4"/>
  <c r="N262" i="4"/>
  <c r="M262" i="4"/>
  <c r="N261" i="4"/>
  <c r="M261" i="4"/>
  <c r="N260" i="4"/>
  <c r="M260" i="4"/>
  <c r="N258" i="4"/>
  <c r="M258" i="4"/>
  <c r="N229" i="4"/>
  <c r="M229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3" i="4"/>
  <c r="M111" i="4"/>
  <c r="N110" i="4"/>
  <c r="M110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2" i="4"/>
  <c r="M62" i="4"/>
  <c r="N61" i="4"/>
  <c r="M61" i="4"/>
  <c r="N60" i="4"/>
  <c r="M60" i="4"/>
  <c r="N59" i="4"/>
  <c r="M59" i="4"/>
  <c r="N58" i="4"/>
  <c r="M58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M11" i="4"/>
  <c r="O11" i="4" s="1"/>
  <c r="M10" i="4"/>
  <c r="O10" i="4" s="1"/>
  <c r="M8" i="4"/>
  <c r="O8" i="4" s="1"/>
  <c r="N6" i="4"/>
  <c r="M6" i="4"/>
  <c r="N5" i="4"/>
  <c r="M5" i="4"/>
  <c r="M4" i="4"/>
  <c r="O4" i="4" s="1"/>
  <c r="L3" i="4"/>
  <c r="J2" i="4" s="1"/>
  <c r="O387" i="4" l="1"/>
  <c r="O5" i="4"/>
  <c r="M7" i="4"/>
  <c r="N7" i="4"/>
  <c r="O160" i="4"/>
  <c r="O69" i="4"/>
  <c r="O187" i="4"/>
  <c r="O213" i="4"/>
  <c r="O203" i="4"/>
  <c r="O220" i="4"/>
  <c r="O87" i="4"/>
  <c r="O110" i="4"/>
  <c r="O201" i="4"/>
  <c r="O269" i="4"/>
  <c r="O104" i="4"/>
  <c r="O23" i="4"/>
  <c r="O212" i="4"/>
  <c r="O227" i="4"/>
  <c r="O161" i="4"/>
  <c r="O150" i="4"/>
  <c r="O61" i="4"/>
  <c r="O78" i="4"/>
  <c r="O140" i="4"/>
  <c r="O79" i="4"/>
  <c r="O82" i="4"/>
  <c r="N109" i="4"/>
  <c r="O109" i="4" s="1"/>
  <c r="O137" i="4"/>
  <c r="O221" i="4"/>
  <c r="O223" i="4"/>
  <c r="O13" i="4"/>
  <c r="O196" i="4"/>
  <c r="O209" i="4"/>
  <c r="O197" i="4"/>
  <c r="O165" i="4"/>
  <c r="O225" i="4"/>
  <c r="O154" i="4"/>
  <c r="O81" i="4"/>
  <c r="O200" i="4"/>
  <c r="O67" i="4"/>
  <c r="O229" i="4"/>
  <c r="O117" i="4"/>
  <c r="O144" i="4"/>
  <c r="O189" i="4"/>
  <c r="O270" i="4"/>
  <c r="O184" i="4"/>
  <c r="O17" i="4"/>
  <c r="O103" i="4"/>
  <c r="O145" i="4"/>
  <c r="O158" i="4"/>
  <c r="O190" i="4"/>
  <c r="O216" i="4"/>
  <c r="O277" i="4"/>
  <c r="O262" i="4"/>
  <c r="O28" i="4"/>
  <c r="O32" i="4"/>
  <c r="O33" i="4"/>
  <c r="O14" i="4"/>
  <c r="O210" i="4"/>
  <c r="O59" i="4"/>
  <c r="O72" i="4"/>
  <c r="O119" i="4"/>
  <c r="O134" i="4"/>
  <c r="O146" i="4"/>
  <c r="O159" i="4"/>
  <c r="O191" i="4"/>
  <c r="O217" i="4"/>
  <c r="O73" i="4"/>
  <c r="O86" i="4"/>
  <c r="O120" i="4"/>
  <c r="O135" i="4"/>
  <c r="O147" i="4"/>
  <c r="O58" i="4"/>
  <c r="O83" i="4"/>
  <c r="O62" i="4"/>
  <c r="O88" i="4"/>
  <c r="O121" i="4"/>
  <c r="O193" i="4"/>
  <c r="O219" i="4"/>
  <c r="O258" i="4"/>
  <c r="O21" i="4"/>
  <c r="O60" i="4"/>
  <c r="O143" i="4"/>
  <c r="O199" i="4"/>
  <c r="O211" i="4"/>
  <c r="O261" i="4"/>
  <c r="O71" i="4"/>
  <c r="O198" i="4"/>
  <c r="O287" i="4"/>
  <c r="O85" i="4"/>
  <c r="O6" i="4"/>
  <c r="O106" i="4"/>
  <c r="O156" i="4"/>
  <c r="O288" i="4"/>
  <c r="O107" i="4"/>
  <c r="O118" i="4"/>
  <c r="O157" i="4"/>
  <c r="O188" i="4"/>
  <c r="O226" i="4"/>
  <c r="O24" i="4"/>
  <c r="O74" i="4"/>
  <c r="O263" i="4"/>
  <c r="O116" i="4"/>
  <c r="O260" i="4"/>
  <c r="O34" i="4"/>
  <c r="O25" i="4"/>
  <c r="O75" i="4"/>
  <c r="O108" i="4"/>
  <c r="O202" i="4"/>
  <c r="O214" i="4"/>
  <c r="O228" i="4"/>
  <c r="O267" i="4"/>
  <c r="O26" i="4"/>
  <c r="O76" i="4"/>
  <c r="O215" i="4"/>
  <c r="O268" i="4"/>
  <c r="O347" i="4"/>
  <c r="O105" i="4"/>
  <c r="O84" i="4"/>
  <c r="O224" i="4"/>
  <c r="O22" i="4"/>
  <c r="O15" i="4"/>
  <c r="O122" i="4"/>
  <c r="O148" i="4"/>
  <c r="O192" i="4"/>
  <c r="O204" i="4"/>
  <c r="O149" i="4"/>
  <c r="O205" i="4"/>
  <c r="O185" i="4"/>
  <c r="O142" i="4"/>
  <c r="O136" i="4"/>
  <c r="O16" i="4"/>
  <c r="O138" i="4"/>
  <c r="O162" i="4"/>
  <c r="O218" i="4"/>
  <c r="O124" i="4"/>
  <c r="O206" i="4"/>
  <c r="O30" i="4"/>
  <c r="O80" i="4"/>
  <c r="O163" i="4"/>
  <c r="O194" i="4"/>
  <c r="O155" i="4"/>
  <c r="O27" i="4"/>
  <c r="O68" i="4"/>
  <c r="O125" i="4"/>
  <c r="O151" i="4"/>
  <c r="O207" i="4"/>
  <c r="O278" i="4"/>
  <c r="O186" i="4"/>
  <c r="O77" i="4"/>
  <c r="O123" i="4"/>
  <c r="O139" i="4"/>
  <c r="O164" i="4"/>
  <c r="O195" i="4"/>
  <c r="O18" i="4"/>
  <c r="O31" i="4"/>
  <c r="O19" i="4"/>
  <c r="O152" i="4"/>
  <c r="O208" i="4"/>
  <c r="O279" i="4"/>
  <c r="O29" i="4"/>
  <c r="O222" i="4"/>
  <c r="O20" i="4"/>
  <c r="O70" i="4"/>
  <c r="O115" i="4"/>
  <c r="O141" i="4"/>
  <c r="O153" i="4"/>
  <c r="N111" i="4"/>
  <c r="O111" i="4" s="1"/>
  <c r="M113" i="4"/>
  <c r="O113" i="4" s="1"/>
  <c r="O7" i="4" l="1"/>
  <c r="B101" i="2"/>
  <c r="D101" i="2" s="1"/>
  <c r="B98" i="2"/>
  <c r="D98" i="2" s="1"/>
  <c r="C118" i="2"/>
  <c r="D118" i="2" s="1"/>
  <c r="D148" i="2"/>
  <c r="D147" i="2"/>
  <c r="D146" i="2"/>
  <c r="C145" i="2"/>
  <c r="B145" i="2"/>
  <c r="D145" i="2" s="1"/>
  <c r="D144" i="2"/>
  <c r="D143" i="2"/>
  <c r="D142" i="2"/>
  <c r="C141" i="2"/>
  <c r="D136" i="2"/>
  <c r="D135" i="2"/>
  <c r="C134" i="2"/>
  <c r="B134" i="2"/>
  <c r="D131" i="2"/>
  <c r="D130" i="2"/>
  <c r="C129" i="2"/>
  <c r="C128" i="2" s="1"/>
  <c r="D127" i="2"/>
  <c r="D126" i="2"/>
  <c r="D125" i="2"/>
  <c r="D124" i="2"/>
  <c r="D123" i="2"/>
  <c r="D120" i="2"/>
  <c r="D119" i="2"/>
  <c r="D116" i="2"/>
  <c r="D115" i="2"/>
  <c r="D114" i="2"/>
  <c r="C113" i="2"/>
  <c r="B113" i="2"/>
  <c r="D112" i="2"/>
  <c r="D111" i="2"/>
  <c r="D110" i="2"/>
  <c r="D109" i="2"/>
  <c r="D108" i="2"/>
  <c r="D107" i="2"/>
  <c r="D106" i="2"/>
  <c r="C105" i="2"/>
  <c r="B105" i="2"/>
  <c r="C94" i="2"/>
  <c r="D104" i="2"/>
  <c r="D103" i="2"/>
  <c r="D102" i="2"/>
  <c r="D100" i="2"/>
  <c r="D99" i="2"/>
  <c r="D97" i="2"/>
  <c r="D96" i="2"/>
  <c r="D95" i="2"/>
  <c r="D92" i="2"/>
  <c r="D91" i="2"/>
  <c r="C90" i="2"/>
  <c r="B90" i="2"/>
  <c r="D89" i="2"/>
  <c r="D88" i="2"/>
  <c r="D87" i="2"/>
  <c r="C86" i="2"/>
  <c r="D85" i="2"/>
  <c r="D84" i="2"/>
  <c r="B83" i="2"/>
  <c r="D82" i="2"/>
  <c r="D81" i="2"/>
  <c r="D80" i="2"/>
  <c r="D79" i="2"/>
  <c r="D77" i="2"/>
  <c r="C76" i="2"/>
  <c r="D75" i="2"/>
  <c r="D74" i="2"/>
  <c r="D73" i="2"/>
  <c r="D72" i="2"/>
  <c r="B71" i="2"/>
  <c r="D69" i="2"/>
  <c r="D68" i="2"/>
  <c r="C67" i="2"/>
  <c r="C66" i="2" s="1"/>
  <c r="B67" i="2"/>
  <c r="D65" i="2"/>
  <c r="D64" i="2"/>
  <c r="D63" i="2"/>
  <c r="D62" i="2"/>
  <c r="C61" i="2"/>
  <c r="B61" i="2"/>
  <c r="D60" i="2"/>
  <c r="D59" i="2"/>
  <c r="C58" i="2"/>
  <c r="B58" i="2"/>
  <c r="D57" i="2"/>
  <c r="D56" i="2"/>
  <c r="D55" i="2"/>
  <c r="D54" i="2"/>
  <c r="D53" i="2"/>
  <c r="C52" i="2"/>
  <c r="B52" i="2"/>
  <c r="D51" i="2"/>
  <c r="D50" i="2"/>
  <c r="C49" i="2"/>
  <c r="D48" i="2"/>
  <c r="D47" i="2"/>
  <c r="D46" i="2"/>
  <c r="C45" i="2"/>
  <c r="B45" i="2"/>
  <c r="D43" i="2"/>
  <c r="D42" i="2"/>
  <c r="C41" i="2"/>
  <c r="D40" i="2"/>
  <c r="D39" i="2"/>
  <c r="D38" i="2"/>
  <c r="D37" i="2"/>
  <c r="D36" i="2"/>
  <c r="D35" i="2"/>
  <c r="B33" i="2"/>
  <c r="D32" i="2"/>
  <c r="D31" i="2"/>
  <c r="D28" i="2"/>
  <c r="D27" i="2"/>
  <c r="D26" i="2"/>
  <c r="D25" i="2"/>
  <c r="C24" i="2"/>
  <c r="B24" i="2"/>
  <c r="D24" i="2" s="1"/>
  <c r="D23" i="2"/>
  <c r="D20" i="2"/>
  <c r="D19" i="2"/>
  <c r="D18" i="2"/>
  <c r="C17" i="2"/>
  <c r="B17" i="2"/>
  <c r="D13" i="2"/>
  <c r="D11" i="2"/>
  <c r="B10" i="2"/>
  <c r="D9" i="2"/>
  <c r="D8" i="2"/>
  <c r="D7" i="2"/>
  <c r="D6" i="2"/>
  <c r="D5" i="2"/>
  <c r="C3" i="2"/>
  <c r="B141" i="2" l="1"/>
  <c r="D52" i="2"/>
  <c r="I1" i="2"/>
  <c r="D113" i="2"/>
  <c r="D58" i="2"/>
  <c r="C21" i="2"/>
  <c r="B86" i="2"/>
  <c r="D141" i="2"/>
  <c r="D22" i="2"/>
  <c r="B76" i="2"/>
  <c r="B70" i="2" s="1"/>
  <c r="C71" i="2"/>
  <c r="D71" i="2" s="1"/>
  <c r="D61" i="2"/>
  <c r="C83" i="2"/>
  <c r="D67" i="2"/>
  <c r="D134" i="2"/>
  <c r="D90" i="2"/>
  <c r="B3" i="2"/>
  <c r="D3" i="2" s="1"/>
  <c r="C29" i="2"/>
  <c r="B94" i="2"/>
  <c r="D94" i="2" s="1"/>
  <c r="D86" i="2"/>
  <c r="D45" i="2"/>
  <c r="D121" i="2"/>
  <c r="B117" i="2"/>
  <c r="D105" i="2"/>
  <c r="D34" i="2"/>
  <c r="D44" i="2"/>
  <c r="B41" i="2"/>
  <c r="D41" i="2" s="1"/>
  <c r="D4" i="2"/>
  <c r="C33" i="2"/>
  <c r="B49" i="2"/>
  <c r="D49" i="2" s="1"/>
  <c r="B66" i="2"/>
  <c r="D66" i="2" s="1"/>
  <c r="B21" i="2"/>
  <c r="D78" i="2"/>
  <c r="D122" i="2"/>
  <c r="C117" i="2"/>
  <c r="C93" i="2" s="1"/>
  <c r="D17" i="2"/>
  <c r="B29" i="2"/>
  <c r="C70" i="2" l="1"/>
  <c r="B2" i="2"/>
  <c r="D70" i="2"/>
  <c r="D76" i="2"/>
  <c r="D83" i="2"/>
  <c r="D21" i="2"/>
  <c r="C16" i="2"/>
  <c r="C15" i="2" s="1"/>
  <c r="C14" i="2" s="1"/>
  <c r="D29" i="2"/>
  <c r="B93" i="2"/>
  <c r="D93" i="2" s="1"/>
  <c r="D33" i="2"/>
  <c r="B16" i="2"/>
  <c r="D117" i="2"/>
  <c r="B132" i="2" l="1"/>
  <c r="B133" i="2"/>
  <c r="B15" i="2"/>
  <c r="D16" i="2"/>
  <c r="D132" i="2" l="1"/>
  <c r="B129" i="2"/>
  <c r="D133" i="2"/>
  <c r="C12" i="2"/>
  <c r="D15" i="2"/>
  <c r="D12" i="2" l="1"/>
  <c r="C10" i="2"/>
  <c r="D129" i="2"/>
  <c r="B128" i="2"/>
  <c r="D10" i="2" l="1"/>
  <c r="C2" i="2"/>
  <c r="D128" i="2"/>
  <c r="B14" i="2"/>
  <c r="D14" i="2" l="1"/>
  <c r="I2" i="2" s="1"/>
  <c r="I5" i="2" s="1"/>
  <c r="D2" i="2"/>
  <c r="I8" i="2" l="1"/>
  <c r="I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14" authorId="0" shapeId="0" xr:uid="{301A713D-5FDF-47FD-B2B7-C132BF36623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пісок Біляєвський насипна щільність 1.5 усередньому</t>
        </r>
      </text>
    </comment>
    <comment ref="L146" authorId="0" shapeId="0" xr:uid="{00AF2D4F-ACB6-4DEC-92EE-1D14375A156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пісок Біляєвський насипна щільність 1.5 усередньому</t>
        </r>
      </text>
    </comment>
  </commentList>
</comments>
</file>

<file path=xl/sharedStrings.xml><?xml version="1.0" encoding="utf-8"?>
<sst xmlns="http://schemas.openxmlformats.org/spreadsheetml/2006/main" count="3153" uniqueCount="991">
  <si>
    <t>№
з/п</t>
  </si>
  <si>
    <t>Найменування робіт/витрат/матеріалів</t>
  </si>
  <si>
    <t>Од. вим.</t>
  </si>
  <si>
    <t>Кіль-
кість</t>
  </si>
  <si>
    <t>Вартість робіт за од.виміру, грн. з ПДВ</t>
  </si>
  <si>
    <t>Вартість матеріалів за од.виміру, грн. з ПДВ</t>
  </si>
  <si>
    <t>Вартість робіт за повний обсяг, грн. з ПДВ</t>
  </si>
  <si>
    <t>Вартість матеріалів  за повний обсяг, грн. з ПДВ</t>
  </si>
  <si>
    <t>Всього,   грн. з ПДВ</t>
  </si>
  <si>
    <t>І</t>
  </si>
  <si>
    <t>РОБОТА</t>
  </si>
  <si>
    <t>1.1</t>
  </si>
  <si>
    <t>м2</t>
  </si>
  <si>
    <t>1.2</t>
  </si>
  <si>
    <t>кг</t>
  </si>
  <si>
    <t>МАТЕРІАЛИ</t>
  </si>
  <si>
    <t>2.1</t>
  </si>
  <si>
    <t>2.2</t>
  </si>
  <si>
    <t>ІІ</t>
  </si>
  <si>
    <t>ІІІ</t>
  </si>
  <si>
    <t>шт</t>
  </si>
  <si>
    <t>МШП</t>
  </si>
  <si>
    <t>Аренда опалубки</t>
  </si>
  <si>
    <t>посл</t>
  </si>
  <si>
    <t>Загальновиробничі витрати</t>
  </si>
  <si>
    <t>Транспортні витрати дільниці</t>
  </si>
  <si>
    <t>міс</t>
  </si>
  <si>
    <t>Заходи з охорони праці</t>
  </si>
  <si>
    <t>Приїзд робітників</t>
  </si>
  <si>
    <t>Розробка ППРа, технолог карт</t>
  </si>
  <si>
    <t>Зарплата РМ (ф2)</t>
  </si>
  <si>
    <t>Зарплата РМ</t>
  </si>
  <si>
    <t>Начисления на зарплату PM</t>
  </si>
  <si>
    <t>Утримання зп РМ</t>
  </si>
  <si>
    <t>Відрядні ІТР</t>
  </si>
  <si>
    <t>днів</t>
  </si>
  <si>
    <t>Оренда житла ІТР</t>
  </si>
  <si>
    <t>Оренда житла робітників</t>
  </si>
  <si>
    <t>Зарплата підсобників</t>
  </si>
  <si>
    <t>Податки від суми надходжень</t>
  </si>
  <si>
    <t>Податки від Ф2</t>
  </si>
  <si>
    <t>Робота/матеріал/додаткові</t>
  </si>
  <si>
    <t xml:space="preserve">Найменування робіт/витрат/матеріалів узагальнена </t>
  </si>
  <si>
    <t>№</t>
  </si>
  <si>
    <t>Ст.затрат Упр отч</t>
  </si>
  <si>
    <t xml:space="preserve">Найменування роботи </t>
  </si>
  <si>
    <t>Од. виміру</t>
  </si>
  <si>
    <t>Об'єм</t>
  </si>
  <si>
    <t xml:space="preserve">Одинична розцінка або ціна, грн. з ПДВ
З КОЕФ </t>
  </si>
  <si>
    <t>Количество</t>
  </si>
  <si>
    <t>Коефіцієнт</t>
  </si>
  <si>
    <t>мес</t>
  </si>
  <si>
    <t>ф2</t>
  </si>
  <si>
    <t>Канцтовары</t>
  </si>
  <si>
    <t>ф1</t>
  </si>
  <si>
    <t>Другие хозтовары</t>
  </si>
  <si>
    <t>Чай, кофе</t>
  </si>
  <si>
    <t>Заправка картриджа</t>
  </si>
  <si>
    <t>Питьевая вода</t>
  </si>
  <si>
    <t>Курьерские и почтовые</t>
  </si>
  <si>
    <t>Ремонты</t>
  </si>
  <si>
    <t>Ремонты инструмента</t>
  </si>
  <si>
    <t>Разом по розділу</t>
  </si>
  <si>
    <t>Статья движения денежных средств</t>
  </si>
  <si>
    <t>Итого, грн</t>
  </si>
  <si>
    <t>Комментарии к бюджету объекта</t>
  </si>
  <si>
    <t>ПОСТУПЛЕНИЯ</t>
  </si>
  <si>
    <t xml:space="preserve">Операционная деятельность </t>
  </si>
  <si>
    <t>Поступление от Заказчика</t>
  </si>
  <si>
    <t>Прочие поступления</t>
  </si>
  <si>
    <t>Возврат залоговой суммы</t>
  </si>
  <si>
    <t>Поступление цех</t>
  </si>
  <si>
    <t>Поступление за технику</t>
  </si>
  <si>
    <t xml:space="preserve">Финансовая деятельность </t>
  </si>
  <si>
    <t>Финансовая помощь</t>
  </si>
  <si>
    <t>Поступление от Фин агента</t>
  </si>
  <si>
    <t>СПИСАНИЕ</t>
  </si>
  <si>
    <t>Административные затраты</t>
  </si>
  <si>
    <t>Аренда офиса</t>
  </si>
  <si>
    <t>Коммунальные платежи (офис)</t>
  </si>
  <si>
    <t>Охрана офиса и пожарная сигнализация</t>
  </si>
  <si>
    <t>Аренда квартиры</t>
  </si>
  <si>
    <t>Коммунальные платежи</t>
  </si>
  <si>
    <t>Затраты на персонал</t>
  </si>
  <si>
    <t>Затраты на обучение управленческого персонала</t>
  </si>
  <si>
    <t>Затраты по корпоративной культуре</t>
  </si>
  <si>
    <t>Материальная помощь</t>
  </si>
  <si>
    <t>Периодика</t>
  </si>
  <si>
    <t>Затраты на командировку</t>
  </si>
  <si>
    <t>Проезд</t>
  </si>
  <si>
    <t>Проживание</t>
  </si>
  <si>
    <t>Суточные</t>
  </si>
  <si>
    <t>Зарплата PM</t>
  </si>
  <si>
    <t>2 мес + 5 мес</t>
  </si>
  <si>
    <t>Удержание с зарплаты РМ</t>
  </si>
  <si>
    <t>Зарплата управленческого персонала</t>
  </si>
  <si>
    <t>Начисления на админ зарплату</t>
  </si>
  <si>
    <t>Премия админ персоналу</t>
  </si>
  <si>
    <t>Налоги и сборы</t>
  </si>
  <si>
    <t>Налог на прибыль</t>
  </si>
  <si>
    <t>НДС</t>
  </si>
  <si>
    <t>Прочие налоги</t>
  </si>
  <si>
    <t>Телекоммуникационные услуги</t>
  </si>
  <si>
    <t>Интернет</t>
  </si>
  <si>
    <t>Мобильная связь</t>
  </si>
  <si>
    <t>Стационарный телефон</t>
  </si>
  <si>
    <t>Транспортные затраты</t>
  </si>
  <si>
    <t>ГСМ (топливо)</t>
  </si>
  <si>
    <t>Такси</t>
  </si>
  <si>
    <t>Услуги</t>
  </si>
  <si>
    <t>Аутсорсинг</t>
  </si>
  <si>
    <t>Представительские затраты</t>
  </si>
  <si>
    <t>Лицензия Медок</t>
  </si>
  <si>
    <t>Уборка помещений</t>
  </si>
  <si>
    <t xml:space="preserve">Прочие затраты </t>
  </si>
  <si>
    <t>Услуги банков</t>
  </si>
  <si>
    <t>Комиссия банков и др.платежи по РКО</t>
  </si>
  <si>
    <t>Прочие услуги банка</t>
  </si>
  <si>
    <t>Юридические услуги</t>
  </si>
  <si>
    <t>Нотариальные действия</t>
  </si>
  <si>
    <t>Тендер</t>
  </si>
  <si>
    <t>Штраф</t>
  </si>
  <si>
    <t>Прочие юр.услуги</t>
  </si>
  <si>
    <t>Маркетинговые затраты</t>
  </si>
  <si>
    <t>Реклама</t>
  </si>
  <si>
    <t>Прочие маркетинговые затраты</t>
  </si>
  <si>
    <t>Общепроизводственные затраты</t>
  </si>
  <si>
    <t>ИТ расходы</t>
  </si>
  <si>
    <t>Обслуживание офисной техники</t>
  </si>
  <si>
    <t>ПО</t>
  </si>
  <si>
    <t>Расходный материал</t>
  </si>
  <si>
    <t>Благоустройство офиса</t>
  </si>
  <si>
    <t>Спецодежда</t>
  </si>
  <si>
    <t>Юридический адрес</t>
  </si>
  <si>
    <t>Хозтовары и материалы</t>
  </si>
  <si>
    <t>Бытовая химия</t>
  </si>
  <si>
    <t>чай, кофе</t>
  </si>
  <si>
    <t>Охрана труда</t>
  </si>
  <si>
    <t>Медосмотр</t>
  </si>
  <si>
    <t>Обучение производственного персонала</t>
  </si>
  <si>
    <t>Прочие затраты ОТ</t>
  </si>
  <si>
    <t>Разрешительная документация</t>
  </si>
  <si>
    <t>Страхование</t>
  </si>
  <si>
    <t>Производственные затраты</t>
  </si>
  <si>
    <t>Производственные затраты и услуги</t>
  </si>
  <si>
    <t>Вывоз мусора</t>
  </si>
  <si>
    <t>Залоговая сумма</t>
  </si>
  <si>
    <t>Запчасти для спецтехники</t>
  </si>
  <si>
    <t>Прочие производственные затраты</t>
  </si>
  <si>
    <t>Строительные материалы</t>
  </si>
  <si>
    <t>ТО (техническое обслуживание)</t>
  </si>
  <si>
    <t>Транспортные расходы</t>
  </si>
  <si>
    <t>Аренда производственного назначения</t>
  </si>
  <si>
    <t>Аренда техники</t>
  </si>
  <si>
    <t>Аренда сторонней техники</t>
  </si>
  <si>
    <t>Аренда вагончика</t>
  </si>
  <si>
    <t>Аренда строительного оборудования</t>
  </si>
  <si>
    <t>Аренда баллонов</t>
  </si>
  <si>
    <t>Аренда нежилых помещений</t>
  </si>
  <si>
    <t>Горючесмазочные материалы</t>
  </si>
  <si>
    <t>Топливо</t>
  </si>
  <si>
    <t>Смазка</t>
  </si>
  <si>
    <t>Масло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</si>
  <si>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</si>
  <si>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</si>
  <si>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</si>
  <si>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</si>
  <si>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</si>
  <si>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Оплата за выполненные работы</t>
  </si>
  <si>
    <t>Премия производств.персонал</t>
  </si>
  <si>
    <t>Финансовая деятельность</t>
  </si>
  <si>
    <t>Внутригрупповые затраты</t>
  </si>
  <si>
    <t>Затраты на пополнение уставного капитала</t>
  </si>
  <si>
    <t>15 %</t>
  </si>
  <si>
    <t>Оплата Фин агентам</t>
  </si>
  <si>
    <t>Дивиденды</t>
  </si>
  <si>
    <t>ФИЛ/ФИК/МИК</t>
  </si>
  <si>
    <t>Инвестиционная деятельность</t>
  </si>
  <si>
    <t>Покупка производственных ОС</t>
  </si>
  <si>
    <t>Капитальные инвестиции</t>
  </si>
  <si>
    <t>покупка крана Пионер - 120 тыс; покупка штабелеров - 2 шт * 50 тыс = 100 тыс</t>
  </si>
  <si>
    <t>Модернизация ОС</t>
  </si>
  <si>
    <t>Покупка ОС админ назначения</t>
  </si>
  <si>
    <t>Компьютерная техника</t>
  </si>
  <si>
    <t>Мебель</t>
  </si>
  <si>
    <t>Прочие ОС</t>
  </si>
  <si>
    <t>Поступление от возврата денежных средств</t>
  </si>
  <si>
    <t>Получение финансовой помощи</t>
  </si>
  <si>
    <t>Кредитная линия</t>
  </si>
  <si>
    <t>ЗП управленческого персонала с начислениями</t>
  </si>
  <si>
    <t>Удержание с админ зарплату</t>
  </si>
  <si>
    <t>Услуги сторонних организаций</t>
  </si>
  <si>
    <t>ЗП производственного персонала с начислениями</t>
  </si>
  <si>
    <t>Зарплата производственного персонала</t>
  </si>
  <si>
    <t>Зарплата подсобников</t>
  </si>
  <si>
    <t>Зарплата кладовщика</t>
  </si>
  <si>
    <t>Комиссия по Фин агенту</t>
  </si>
  <si>
    <t>Возврат кредитной линии</t>
  </si>
  <si>
    <t>Возврат Финансовой помощи</t>
  </si>
  <si>
    <t>Каркас</t>
  </si>
  <si>
    <t>Робота</t>
  </si>
  <si>
    <t>чол/год</t>
  </si>
  <si>
    <t>Виробництво/Будівництво</t>
  </si>
  <si>
    <t>Болт м24*200</t>
  </si>
  <si>
    <t>Гайка м 24</t>
  </si>
  <si>
    <t>Болт М16*90</t>
  </si>
  <si>
    <t>Гайка м 16</t>
  </si>
  <si>
    <t>Шайба М16</t>
  </si>
  <si>
    <t>Гровер М16</t>
  </si>
  <si>
    <t>Розчинник</t>
  </si>
  <si>
    <t>Матеріал</t>
  </si>
  <si>
    <t>Отделка</t>
  </si>
  <si>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</si>
  <si>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</si>
  <si>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</si>
  <si>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</si>
  <si>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</si>
  <si>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</si>
  <si>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</si>
  <si>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</si>
  <si>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</si>
  <si>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</si>
  <si>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</si>
  <si>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</si>
  <si>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</si>
  <si>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</si>
  <si>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</si>
  <si>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</si>
  <si>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</si>
  <si>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</si>
  <si>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</si>
  <si>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</si>
  <si>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</si>
  <si>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</si>
  <si>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</si>
  <si>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</si>
  <si>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</si>
  <si>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</si>
  <si>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</si>
  <si>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</si>
  <si>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</si>
  <si>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</si>
  <si>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</si>
  <si>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</si>
  <si>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</si>
  <si>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</si>
  <si>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</si>
  <si>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</si>
  <si>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</si>
  <si>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</si>
  <si>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</si>
  <si>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</si>
  <si>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</si>
  <si>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</si>
  <si>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</si>
  <si>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</si>
  <si>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</si>
  <si>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</si>
  <si>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</si>
  <si>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</si>
  <si>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</si>
  <si>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</si>
  <si>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</si>
  <si>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</si>
  <si>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</si>
  <si>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</si>
  <si>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</si>
  <si>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л</t>
  </si>
  <si>
    <t>м.п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</si>
  <si>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</si>
  <si>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</si>
  <si>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</si>
  <si>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</si>
  <si>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</si>
  <si>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</si>
  <si>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</si>
  <si>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</si>
  <si>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</si>
  <si>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</si>
  <si>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</si>
  <si>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</si>
  <si>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Фасад</t>
  </si>
  <si>
    <t>Стаття в ДДС</t>
  </si>
  <si>
    <t>3.1</t>
  </si>
  <si>
    <t>3.1.1</t>
  </si>
  <si>
    <t>3.1.2</t>
  </si>
  <si>
    <t>3.1.3</t>
  </si>
  <si>
    <t>3.1.4</t>
  </si>
  <si>
    <t>IV</t>
  </si>
  <si>
    <t>Окна/двери</t>
  </si>
  <si>
    <t>4.1</t>
  </si>
  <si>
    <t>4.1.1</t>
  </si>
  <si>
    <t>4.1.2</t>
  </si>
  <si>
    <t>4.1.3</t>
  </si>
  <si>
    <t>4.1.4</t>
  </si>
  <si>
    <t>4.2</t>
  </si>
  <si>
    <t>3.1.7</t>
  </si>
  <si>
    <t>Электрика/Подогрев</t>
  </si>
  <si>
    <t>V</t>
  </si>
  <si>
    <t>5.1</t>
  </si>
  <si>
    <t>5.1.1</t>
  </si>
  <si>
    <t>5.1.2</t>
  </si>
  <si>
    <t>5.1.3</t>
  </si>
  <si>
    <t>м</t>
  </si>
  <si>
    <t>5.2</t>
  </si>
  <si>
    <t>4.2.1</t>
  </si>
  <si>
    <t>4.2.2</t>
  </si>
  <si>
    <t>4.2.3</t>
  </si>
  <si>
    <t>4.2.4</t>
  </si>
  <si>
    <t>4.2.5</t>
  </si>
  <si>
    <t>4.2.6</t>
  </si>
  <si>
    <t>4.2.7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</si>
  <si>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</si>
  <si>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</si>
  <si>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</si>
  <si>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</si>
  <si>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</si>
  <si>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</si>
  <si>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</si>
  <si>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</si>
  <si>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</si>
  <si>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</si>
  <si>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</si>
  <si>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</si>
  <si>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</si>
  <si>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</si>
  <si>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</si>
  <si>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</si>
  <si>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</si>
  <si>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</si>
  <si>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</si>
  <si>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</si>
  <si>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</si>
  <si>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</si>
  <si>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</si>
  <si>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</si>
  <si>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</si>
  <si>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</si>
  <si>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</si>
  <si>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</si>
  <si>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Сантехника</t>
  </si>
  <si>
    <t>VI</t>
  </si>
  <si>
    <t>6.1</t>
  </si>
  <si>
    <t>6.1.1</t>
  </si>
  <si>
    <t>6.1.2</t>
  </si>
  <si>
    <t>6.2</t>
  </si>
  <si>
    <t>6.2.1</t>
  </si>
  <si>
    <t>6.1.3</t>
  </si>
  <si>
    <t>6.1.4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</si>
  <si>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</si>
  <si>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</si>
  <si>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</si>
  <si>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</si>
  <si>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</si>
  <si>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</si>
  <si>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</si>
  <si>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</si>
  <si>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</si>
  <si>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</si>
  <si>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</si>
  <si>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</si>
  <si>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</si>
  <si>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</si>
  <si>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</si>
  <si>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</si>
  <si>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</si>
  <si>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</si>
  <si>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</si>
  <si>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</si>
  <si>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</si>
  <si>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</si>
  <si>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</si>
  <si>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</si>
  <si>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</si>
  <si>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</si>
  <si>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</si>
  <si>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6.2.29</t>
  </si>
  <si>
    <t>6.2.30</t>
  </si>
  <si>
    <t>6.2.31</t>
  </si>
  <si>
    <t>6.2.43</t>
  </si>
  <si>
    <t>6.2.44</t>
  </si>
  <si>
    <t>6.2.45</t>
  </si>
  <si>
    <t>6.2.46</t>
  </si>
  <si>
    <t>6.2.47</t>
  </si>
  <si>
    <t>6.2.48</t>
  </si>
  <si>
    <t>6.2.49</t>
  </si>
  <si>
    <t>6.2.50</t>
  </si>
  <si>
    <t>6.2.51</t>
  </si>
  <si>
    <t>6.2.52</t>
  </si>
  <si>
    <t>VII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</si>
  <si>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</si>
  <si>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</si>
  <si>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</si>
  <si>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</si>
  <si>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</si>
  <si>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</si>
  <si>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</si>
  <si>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</si>
  <si>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</si>
  <si>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</si>
  <si>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</si>
  <si>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</si>
  <si>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</si>
  <si>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</si>
  <si>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</si>
  <si>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VIII</t>
  </si>
  <si>
    <t>Монтаж будинку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</si>
  <si>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</si>
  <si>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</si>
  <si>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</si>
  <si>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</si>
  <si>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</si>
  <si>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</si>
  <si>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</si>
  <si>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</si>
  <si>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</si>
  <si>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</si>
  <si>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8.2</t>
  </si>
  <si>
    <t>8.2.1</t>
  </si>
  <si>
    <t>8.2.2</t>
  </si>
  <si>
    <t>8.2.3</t>
  </si>
  <si>
    <t>IX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</si>
  <si>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</si>
  <si>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</si>
  <si>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</si>
  <si>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</si>
  <si>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</si>
  <si>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</si>
  <si>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</si>
  <si>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</si>
  <si>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</si>
  <si>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</si>
  <si>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</si>
  <si>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</si>
  <si>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</si>
  <si>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</si>
  <si>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</si>
  <si>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</si>
  <si>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</si>
  <si>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</si>
  <si>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</si>
  <si>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</si>
  <si>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Зарплата ІТР ) (ф2)</t>
  </si>
  <si>
    <t xml:space="preserve">Зарплата ІТР </t>
  </si>
  <si>
    <t xml:space="preserve">Утримання зп ІТР </t>
  </si>
  <si>
    <t>Дополнительная Комплектация</t>
  </si>
  <si>
    <t>Тип робіт</t>
  </si>
  <si>
    <t>Названия строк</t>
  </si>
  <si>
    <t>Общий итог</t>
  </si>
  <si>
    <t>Сумма по полю Всього,   грн. з ПДВ</t>
  </si>
  <si>
    <t>Названия столбцов</t>
  </si>
  <si>
    <t xml:space="preserve">№
</t>
  </si>
  <si>
    <t xml:space="preserve">Курс </t>
  </si>
  <si>
    <t xml:space="preserve">Площадь </t>
  </si>
  <si>
    <t>Общий итог $</t>
  </si>
  <si>
    <t>Материал  $</t>
  </si>
  <si>
    <t>На 1 м2 $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</si>
  <si>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</si>
  <si>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</si>
  <si>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</si>
  <si>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</si>
  <si>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</si>
  <si>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</si>
  <si>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</si>
  <si>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</si>
  <si>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</si>
  <si>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</si>
  <si>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</si>
  <si>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</si>
  <si>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</si>
  <si>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</si>
  <si>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</si>
  <si>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</si>
  <si>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</si>
  <si>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</si>
  <si>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</si>
  <si>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</si>
  <si>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</si>
  <si>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</si>
  <si>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електрокабеля</t>
  </si>
  <si>
    <t>монтаж електрофурнітури</t>
  </si>
  <si>
    <t>монтаж електроприборів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</si>
  <si>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</si>
  <si>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</si>
  <si>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</si>
  <si>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</si>
  <si>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>збираня меблів</t>
  </si>
  <si>
    <t>монтаж  меблів</t>
  </si>
  <si>
    <t>монжа кондиціонеру</t>
  </si>
  <si>
    <t>монтаж  відеонагляду</t>
  </si>
  <si>
    <t>монтаж  інтернету</t>
  </si>
  <si>
    <t>монжа пожежної  безпеки</t>
  </si>
  <si>
    <t>монтаж  заземелення</t>
  </si>
  <si>
    <t>Монтаж  фундаменту</t>
  </si>
  <si>
    <t>Монтаж  модульного  будинку</t>
  </si>
  <si>
    <t>Фіншнє  заверешення монтажу (ззовні та всередні)</t>
  </si>
  <si>
    <t>Підключення електрики</t>
  </si>
  <si>
    <t>Підключення води</t>
  </si>
  <si>
    <t>Підключення каналізації</t>
  </si>
  <si>
    <t>Монтаж  септику</t>
  </si>
  <si>
    <t>інші роботи</t>
  </si>
  <si>
    <t>1.1.8</t>
  </si>
  <si>
    <t>2.1.7</t>
  </si>
  <si>
    <t>7.1.5</t>
  </si>
  <si>
    <t>7.1.6</t>
  </si>
  <si>
    <t>7.1.7</t>
  </si>
  <si>
    <t>Лист 4мм</t>
  </si>
  <si>
    <t>Лист 8мм</t>
  </si>
  <si>
    <t>Лист 14мм</t>
  </si>
  <si>
    <t>м.кв.</t>
  </si>
  <si>
    <t>Вікна/двері</t>
  </si>
  <si>
    <t>Шина нульова на ізоляторі на Din-рейку CD 6х9/10, блакитний</t>
  </si>
  <si>
    <t>Клема з'єднувальна WGn-2</t>
  </si>
  <si>
    <t>Клема з'єднувальна WGn-3</t>
  </si>
  <si>
    <t>Клема з'єднувальна WGn-5</t>
  </si>
  <si>
    <t>084-020-0002 Світильник аварійний</t>
  </si>
  <si>
    <t>Ізоляційна стрічка 0,13мм  х 15мм х 20м, білий</t>
  </si>
  <si>
    <t>метри</t>
  </si>
  <si>
    <t>Додаткова Комплектація</t>
  </si>
  <si>
    <t>Автокран</t>
  </si>
  <si>
    <t>послуга</t>
  </si>
  <si>
    <t>Непередбачувана робота</t>
  </si>
  <si>
    <t>Непередбачувані матеріали</t>
  </si>
  <si>
    <t>Оренда Екскаватора</t>
  </si>
  <si>
    <t>Траснпортны витрати</t>
  </si>
  <si>
    <t>Розробка креслень</t>
  </si>
  <si>
    <t>Загальна сс, грн</t>
  </si>
  <si>
    <t>Налоговая нагрузка, 3%:</t>
  </si>
  <si>
    <t>КП:</t>
  </si>
  <si>
    <t>Маржа, грн: за шт</t>
  </si>
  <si>
    <t>Маржа, %:</t>
  </si>
  <si>
    <t>Количество  в заказе, шт</t>
  </si>
  <si>
    <t>Итого  маржа по заказу,  грн</t>
  </si>
  <si>
    <t xml:space="preserve">Матеріали </t>
  </si>
  <si>
    <t>9.1.20</t>
  </si>
  <si>
    <t>9.1.21</t>
  </si>
  <si>
    <t>9.1.22</t>
  </si>
  <si>
    <t>9.1.23</t>
  </si>
  <si>
    <t>9.1.24</t>
  </si>
  <si>
    <t>9.1.25</t>
  </si>
  <si>
    <t>т</t>
  </si>
  <si>
    <t>м.п.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</si>
  <si>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</si>
  <si>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</si>
  <si>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</si>
  <si>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</si>
  <si>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</si>
  <si>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</si>
  <si>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</si>
  <si>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</si>
  <si>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</si>
  <si>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</si>
  <si>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</si>
  <si>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</si>
  <si>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</si>
  <si>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</si>
  <si>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</si>
  <si>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</si>
  <si>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Профільна труба</t>
  </si>
  <si>
    <t>Болт</t>
  </si>
  <si>
    <t>Гайка</t>
  </si>
  <si>
    <t>Шайба</t>
  </si>
  <si>
    <t>Гровер</t>
  </si>
  <si>
    <t>мінеральна вата</t>
  </si>
  <si>
    <t>Брус</t>
  </si>
  <si>
    <t>Дошка</t>
  </si>
  <si>
    <t>Герметик</t>
  </si>
  <si>
    <t>Плінтус</t>
  </si>
  <si>
    <t>Саморіз</t>
  </si>
  <si>
    <t>Профнастил</t>
  </si>
  <si>
    <t>Вікна</t>
  </si>
  <si>
    <t>Электрика</t>
  </si>
  <si>
    <t>Кабель</t>
  </si>
  <si>
    <t>Розетка</t>
  </si>
  <si>
    <t>Світильник</t>
  </si>
  <si>
    <t>Шина</t>
  </si>
  <si>
    <t>Клема</t>
  </si>
  <si>
    <t>Вилка</t>
  </si>
  <si>
    <t>Змішувач</t>
  </si>
  <si>
    <t>Кут</t>
  </si>
  <si>
    <t>Перехід</t>
  </si>
  <si>
    <t>Хрестовина</t>
  </si>
  <si>
    <t>Труба</t>
  </si>
  <si>
    <t>Трійник</t>
  </si>
  <si>
    <t>Кріплення</t>
  </si>
  <si>
    <t>Кран</t>
  </si>
  <si>
    <t>Муфта</t>
  </si>
  <si>
    <t>Шланг</t>
  </si>
  <si>
    <t>Вентилятор</t>
  </si>
  <si>
    <t>Монтаж</t>
  </si>
  <si>
    <t>Коліно</t>
  </si>
  <si>
    <t>Загальновиробничі</t>
  </si>
  <si>
    <t>Мембрана</t>
  </si>
  <si>
    <t>Вхідні двері металеві</t>
  </si>
  <si>
    <t>Внутрішні двері металопластикові</t>
  </si>
  <si>
    <t>Гладкий лист метал</t>
  </si>
  <si>
    <t>Вікно металопластикове</t>
  </si>
  <si>
    <t>Піна клей</t>
  </si>
  <si>
    <t>Пластиковий люк каналізаційний д 700 мм</t>
  </si>
  <si>
    <t>Унітаз-Компакт</t>
  </si>
  <si>
    <t>Сифон</t>
  </si>
  <si>
    <t>Вимикач</t>
  </si>
  <si>
    <t>рамка</t>
  </si>
  <si>
    <t>Ізоляційна стрічка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</si>
  <si>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</si>
  <si>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</si>
  <si>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</si>
  <si>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</si>
  <si>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</si>
  <si>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</si>
  <si>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</si>
  <si>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</si>
  <si>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</si>
  <si>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</si>
  <si>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1.2.42</t>
  </si>
  <si>
    <t>1.2.43</t>
  </si>
  <si>
    <t>1.2.44</t>
  </si>
  <si>
    <t>1.2.45</t>
  </si>
  <si>
    <t>Труба металева Ст3  100*100*3</t>
  </si>
  <si>
    <t>Труба металева Ст3  50*50*2</t>
  </si>
  <si>
    <t>Труба металева Ст3  50*25*2</t>
  </si>
  <si>
    <t>лист ГК</t>
  </si>
  <si>
    <t>Шпилька М48</t>
  </si>
  <si>
    <t>Шпилька</t>
  </si>
  <si>
    <t>Гайка м 48</t>
  </si>
  <si>
    <t>Труба 40*40*3</t>
  </si>
  <si>
    <t>Труба 50*25*3</t>
  </si>
  <si>
    <t>кутик 32*32 *3</t>
  </si>
  <si>
    <t>Кутики сталеві</t>
  </si>
  <si>
    <t>пвл 406 1,25*2,5</t>
  </si>
  <si>
    <t>лист</t>
  </si>
  <si>
    <t>Труба 50*50*4</t>
  </si>
  <si>
    <t>Болт м12 (60мм)</t>
  </si>
  <si>
    <t>Болт м12 (90мм)</t>
  </si>
  <si>
    <t xml:space="preserve">Гайки м12 </t>
  </si>
  <si>
    <t>шайба м12</t>
  </si>
  <si>
    <t>гровер м12</t>
  </si>
  <si>
    <t>Завіса 16мм</t>
  </si>
  <si>
    <t>Завіса</t>
  </si>
  <si>
    <t>Завіса 20мм</t>
  </si>
  <si>
    <t>Лист 5 мм</t>
  </si>
  <si>
    <t>Фарба 3 в 1 сіра</t>
  </si>
  <si>
    <t>Фарба</t>
  </si>
  <si>
    <t xml:space="preserve">Розчинник </t>
  </si>
  <si>
    <t>Труба 20*40*3</t>
  </si>
  <si>
    <t>Лист 6мм</t>
  </si>
  <si>
    <t>Завіси 16 мм круглі</t>
  </si>
  <si>
    <t xml:space="preserve">Фарба 3 в 1 </t>
  </si>
  <si>
    <t>Пінопласт 100мм</t>
  </si>
  <si>
    <t>Пінопласт</t>
  </si>
  <si>
    <t>Паробарьер</t>
  </si>
  <si>
    <t>Паробар'єр</t>
  </si>
  <si>
    <t>Профнастил  ПК 10</t>
  </si>
  <si>
    <t xml:space="preserve">Гладкий лист  </t>
  </si>
  <si>
    <t>лист 3 мм</t>
  </si>
  <si>
    <t xml:space="preserve">Інформаційний банер зовнішній - 2130х500мм </t>
  </si>
  <si>
    <t>Інформаційний банер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</si>
  <si>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</si>
  <si>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</si>
  <si>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</si>
  <si>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</si>
  <si>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</si>
  <si>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</si>
  <si>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</si>
  <si>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</si>
  <si>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</si>
  <si>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</si>
  <si>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</si>
  <si>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</si>
  <si>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Вітробарєр</t>
  </si>
  <si>
    <t>Шуруп універсальний цинк жовтий ПОВНА РІЗЬБА DIN 7997 4,5*45</t>
  </si>
  <si>
    <t xml:space="preserve">Паро-гідро бар'єр </t>
  </si>
  <si>
    <t xml:space="preserve">Пінопласт 15 кг/м3 товщина 100 мм </t>
  </si>
  <si>
    <t xml:space="preserve">Пінопласт 15 кг/м3 товщина 50 мм </t>
  </si>
  <si>
    <t xml:space="preserve">Мінеральна вата щільність 35 кг/м3  (100 мм) </t>
  </si>
  <si>
    <t xml:space="preserve">Мінеральна вата щільність 35 кг/м3  (50 мм) </t>
  </si>
  <si>
    <t>ЦСП панель 20 мм 3,2*1,2</t>
  </si>
  <si>
    <t>Плита ЦСП</t>
  </si>
  <si>
    <t>Лінолеум сірий комерційний</t>
  </si>
  <si>
    <t>Лінолеум</t>
  </si>
  <si>
    <t xml:space="preserve">Клей для лінолеума </t>
  </si>
  <si>
    <t>Клей для лінолеума</t>
  </si>
  <si>
    <t>Оцинкована решітка 1000х1000</t>
  </si>
  <si>
    <t>Оцинкована решітка</t>
  </si>
  <si>
    <t>Порожек алюміній (оконтовка навколо решітки)</t>
  </si>
  <si>
    <t>Порожек алюмінієвий</t>
  </si>
  <si>
    <t>Шуруп універсальний цинк жов т0ий ЧАСТКОВА РІЗЬБА DIN 7997 5*70</t>
  </si>
  <si>
    <t>Саморіз по металу з посиленим сверлом до 12 мм 5,5*70</t>
  </si>
  <si>
    <t>Саморіз  чорний 25 мм для дерева</t>
  </si>
  <si>
    <t>Саморіз покрівельний з шайбою EPDM зі сверлом по дереву ФАРБОВАНИЙ RAL 9003 4,8*50</t>
  </si>
  <si>
    <t>Гвинт самонарізний з прес-шайбою по металу гострий 4,2*19</t>
  </si>
  <si>
    <t>Гвинт</t>
  </si>
  <si>
    <t>Гвинт самонарізний з прес-шайбою по металу зі свердлом  ФАРБОВАНИЙ RAL 9003 4,2*16</t>
  </si>
  <si>
    <t>Шуруп універсальний  з пером по металу  ЧАСТКОВА РІЗЬБА  5,5*90</t>
  </si>
  <si>
    <t xml:space="preserve">Брус 50*50 сосна стругана </t>
  </si>
  <si>
    <t xml:space="preserve">Дошка 20*100 </t>
  </si>
  <si>
    <t>Страж (оброблення деревини)</t>
  </si>
  <si>
    <t>Вогнезахист</t>
  </si>
  <si>
    <t>ОСБ плита 10 мм 1250*2500</t>
  </si>
  <si>
    <t>Плита ОСБ</t>
  </si>
  <si>
    <t xml:space="preserve">Дверцята ревізійні пластикові DOMOVENT Л 100x100 </t>
  </si>
  <si>
    <t>Дверцята ревізійні</t>
  </si>
  <si>
    <t>Герметик акриловий латексний білий</t>
  </si>
  <si>
    <t>Клей монтажнй білий</t>
  </si>
  <si>
    <t>Клей</t>
  </si>
  <si>
    <t>Теплий відкос</t>
  </si>
  <si>
    <t xml:space="preserve">Лінолеум стіновий білий </t>
  </si>
  <si>
    <t>Кутики білі 30*30 мм 2,7м</t>
  </si>
  <si>
    <t>Кутики пластикові</t>
  </si>
  <si>
    <t>Кутики білі 50*50 мм 2,7м</t>
  </si>
  <si>
    <t>ПВХ вагонка 8мм товщина 250 мм ширина без шовна біла</t>
  </si>
  <si>
    <t>ПВХ вагонка</t>
  </si>
  <si>
    <t>Лента К2 ширина 150 мм</t>
  </si>
  <si>
    <t>Лента</t>
  </si>
  <si>
    <t>Плінтус на підлогу висота 100 мм</t>
  </si>
  <si>
    <t>Порфлист ПК 20  довжина 6070 мм Покрівля РАЛ 9003</t>
  </si>
  <si>
    <t>Порфлист ПК 10  довжина 2450 Стіни РАЛ 9003</t>
  </si>
  <si>
    <t>Порфлист ПК 10   Довжина  3100 мм Стіни   РАЛ 9003</t>
  </si>
  <si>
    <t xml:space="preserve">Гладкий былий РАЛ 9003 довжина 2800 </t>
  </si>
  <si>
    <t>Порфлист ПК 8 довжина 2450мм (підшивка дна модуля)</t>
  </si>
  <si>
    <t>3.1.5</t>
  </si>
  <si>
    <t>3.1.6</t>
  </si>
  <si>
    <t xml:space="preserve">Вікно металопластик ліве відкривання 870*1140 з плівка на скло </t>
  </si>
  <si>
    <t xml:space="preserve">Вікно металопластик праве відкрив  870*1140 з плівка на скло </t>
  </si>
  <si>
    <t xml:space="preserve">Вікно металопластик ліве відкрив 570*570 з плівка на скло </t>
  </si>
  <si>
    <t xml:space="preserve">Вікно металопластик праве відкрив 570*570 з плівка на скло </t>
  </si>
  <si>
    <t>Вхідні двері металеві 1120*2070 ліві з квадратним віконцем</t>
  </si>
  <si>
    <t xml:space="preserve">Вхідні двері металопластткові  870*2070 праві </t>
  </si>
  <si>
    <t>Вхідні двері металопластикові</t>
  </si>
  <si>
    <t>Двері металопластткові засклені  1120*2070 праві</t>
  </si>
  <si>
    <t>Двері металопластткові глухі з вент прорізами  920*2070 ліві</t>
  </si>
  <si>
    <t>Двері металопластткові 1020*2070 ліві</t>
  </si>
  <si>
    <t>Двері металопластткові 1020*2070 праві</t>
  </si>
  <si>
    <t xml:space="preserve">Двері металопластткові 920*2070 праве </t>
  </si>
  <si>
    <t>Двері металопластткові 920*2070 ліві</t>
  </si>
  <si>
    <t>4.2.8</t>
  </si>
  <si>
    <t>4.2.9</t>
  </si>
  <si>
    <t>4.2.10</t>
  </si>
  <si>
    <t>4.2.11</t>
  </si>
  <si>
    <t>4.2.12</t>
  </si>
  <si>
    <t>Щиток пластиковий зовнішній  320*420 на три дін рейки</t>
  </si>
  <si>
    <t>Розподільчий щит</t>
  </si>
  <si>
    <t>Щиток пластиковий зовнішній на 9 модулі</t>
  </si>
  <si>
    <t>ВВГнгд 3х4 кабель</t>
  </si>
  <si>
    <t>ВВГнгд 3х2,5 кабель</t>
  </si>
  <si>
    <t>ВВГнгд 3х1,5 кабель</t>
  </si>
  <si>
    <t>Труба ПВХ гнучка гофр. д.18 мм, з протяжкою, сірий колір</t>
  </si>
  <si>
    <t>Труба гофра</t>
  </si>
  <si>
    <t>Автоматичний вимикач Schneider Electric RESI9 50 А, 2P, крива С, 6кА (R9F12250)</t>
  </si>
  <si>
    <t>Автомат введення резерву 2P 230V 63A 1-но фазний</t>
  </si>
  <si>
    <t>РЕЛЕ НАПРУГИ ZUBR D63 НА DIN-РЕЙКУ</t>
  </si>
  <si>
    <t>Реле напруги</t>
  </si>
  <si>
    <t>Модульний автоматичний вимикач YCB6H-63 1Р 4,5кА тип С 10А</t>
  </si>
  <si>
    <t>Диференційний автомат 1п+N 16А С тип А 10мА, E.NEXT</t>
  </si>
  <si>
    <t>Диференційний автомат</t>
  </si>
  <si>
    <t>Модульний автоматичний вимикач YCB6H-63 1Р 4,5кА тип С 16А</t>
  </si>
  <si>
    <t>Модульний автоматичний вимикач YCB6H-63 1Р 4,5кА тип С 25А</t>
  </si>
  <si>
    <t>Розподільча коробка 100*100*45 (гіпсокартон)</t>
  </si>
  <si>
    <t>Розподільча коробка</t>
  </si>
  <si>
    <t>MB002 Коробка монтажна типу MB PLANK Electrotechnic для порожніх  стін 65х45 (200 шт. уп)</t>
  </si>
  <si>
    <t>Розетка стаціонарна наружна 7123 32А 220В 2Р+Е IP44</t>
  </si>
  <si>
    <t>Розетка стаціонарна</t>
  </si>
  <si>
    <t>Вилка переносна 7023 32А 220В 2Р+Е IP44</t>
  </si>
  <si>
    <t>LED світильник LEBRON L-PRS-1265, 12W, накладний, 6500K, з блоком живлення</t>
  </si>
  <si>
    <t>Лед.св.офісний_DELUX_LED PANEL 43 36W 6500K бел_(595*595) opal</t>
  </si>
  <si>
    <t>Світлодіод.акс. _DELUX_Рамка накладного монтажу_до LED Panel 43 біла</t>
  </si>
  <si>
    <t xml:space="preserve">Світ-к стінний_MAGNUM_MIF 022 NEW 60W E27_чорний  з вимикачем </t>
  </si>
  <si>
    <t>Світлодіод.лампа_DELUX_BL 60 15 Вт_6500K 220В E27</t>
  </si>
  <si>
    <t>Лампа</t>
  </si>
  <si>
    <t>EPH0370121  Вимикач двоклавішний, білий, Asfora, без рамки</t>
  </si>
  <si>
    <t>EPH5800121 Рамка 1-постова, білий, Asfora</t>
  </si>
  <si>
    <t>Вимикач 1-кл. Schneider Electric Asfora 10A Білий (EPH0100121)</t>
  </si>
  <si>
    <t>Розетка Schneider Electric Asfora із заземленням Біла (EPH2900121)</t>
  </si>
  <si>
    <t>Розетка з з/к з зах штр біла ASFORA IP44 кришка</t>
  </si>
  <si>
    <t>РОЗЕТКА  ПОДВІЙНА З З/К БІЛА ASFORA</t>
  </si>
  <si>
    <t>РОЗЕТКА  ПОДВІЙНА З З/К БІЛА P44 кришка</t>
  </si>
  <si>
    <t>Комплект теплої підлоги 48 Вт / 4 м</t>
  </si>
  <si>
    <t>Тепла підлога</t>
  </si>
  <si>
    <t>Вентилятор Домовент 100 СВ з вимикачем</t>
  </si>
  <si>
    <t>KO100-1 Канал d100/1</t>
  </si>
  <si>
    <t>Канал вентиляційний</t>
  </si>
  <si>
    <t>МВ 102 ВК АБС  гратка вентиляційна пластикова</t>
  </si>
  <si>
    <t>Гратка вентиляційна</t>
  </si>
  <si>
    <t>Виделка силова  220V біла для бойлера</t>
  </si>
  <si>
    <t>Кабель заземлення одинаргий ПВ3 діаметр 8 мм</t>
  </si>
  <si>
    <t>Обігрівач керамічний TeploCeramik TC395  600х600х14 мм</t>
  </si>
  <si>
    <t>Обігрівач</t>
  </si>
  <si>
    <t>Регулятор температури  для обігрівача 395 Вт</t>
  </si>
  <si>
    <t>Регулятор температури</t>
  </si>
  <si>
    <t>Кондиционер інверторний площа до 18 м2</t>
  </si>
  <si>
    <t>Кондиционер</t>
  </si>
  <si>
    <t>5.2.29</t>
  </si>
  <si>
    <t>5.2.30</t>
  </si>
  <si>
    <t>5.2.31</t>
  </si>
  <si>
    <t>5.2.32</t>
  </si>
  <si>
    <t>5.2.33</t>
  </si>
  <si>
    <t>5.2.34</t>
  </si>
  <si>
    <t>5.2.35</t>
  </si>
  <si>
    <t>5.2.36</t>
  </si>
  <si>
    <t>5.2.37</t>
  </si>
  <si>
    <t>5.2.38</t>
  </si>
  <si>
    <t>5.2.39</t>
  </si>
  <si>
    <t>5.2.40</t>
  </si>
  <si>
    <t>5.2.41</t>
  </si>
  <si>
    <t>5.2.42</t>
  </si>
  <si>
    <t>5.2.43</t>
  </si>
  <si>
    <t>5.2.44</t>
  </si>
  <si>
    <t>Гнучка труба 1 1/2х40/50</t>
  </si>
  <si>
    <t>Гнучка труба</t>
  </si>
  <si>
    <t>Гнучкий шланг 1\2 ВВ довжина 60 см</t>
  </si>
  <si>
    <t>Гнучкий шланг, 1 / 2" ВВ, довжина 30 см</t>
  </si>
  <si>
    <t>Душовий бокс 90х90х215</t>
  </si>
  <si>
    <t>Душовий бокс</t>
  </si>
  <si>
    <t>Ексцентрик для унітазу гумовий</t>
  </si>
  <si>
    <t>Ексцентрик</t>
  </si>
  <si>
    <t>Електричний болер O "Profi VM 080 D400-1-M, 80 л,</t>
  </si>
  <si>
    <t>Бойлер</t>
  </si>
  <si>
    <t>Ємність 1500л харчова</t>
  </si>
  <si>
    <t>Ємність</t>
  </si>
  <si>
    <t>З'єднувач PP-R D=20 mm. х1\2 Н сірий</t>
  </si>
  <si>
    <t>З'єднувач з американкою</t>
  </si>
  <si>
    <t>З’єднання з амереканкою РР-R D=20 ммх1/2 Н</t>
  </si>
  <si>
    <t>Змішувач  для умивальника, хром</t>
  </si>
  <si>
    <t>Клапан зворотній 1/2*</t>
  </si>
  <si>
    <t>Клапан зворотній</t>
  </si>
  <si>
    <t>Коліно каналізаційне зовнішнє  110х87 Valrom</t>
  </si>
  <si>
    <t>Комплект для підключення змішувача PP-R D=20 мм х1\2 сірий</t>
  </si>
  <si>
    <t>Підключення змішувача</t>
  </si>
  <si>
    <t>Комплект кріплення труб 104-112 мм</t>
  </si>
  <si>
    <t>Комплект кріплення труб 31-37мм 1"</t>
  </si>
  <si>
    <t>Комплект кріплення труб 47-52мм 1 1/2"</t>
  </si>
  <si>
    <t>Кран вентильний для сантехприладів 1/2 х3/4 ALBERTONI</t>
  </si>
  <si>
    <t>Кран кульовий 3В 1/2", "метелик" 8481808100</t>
  </si>
  <si>
    <t>Кріплення для труб 25 мм</t>
  </si>
  <si>
    <t>Кріплення умивальника до стіни (з ексцентриками і болт.8х120мм )</t>
  </si>
  <si>
    <t>Куточок 90 PP-R D=20 mm сірий</t>
  </si>
  <si>
    <t>Муфта редукційна коротка D 40*25 мм</t>
  </si>
  <si>
    <t>Муфта, PP-R, D=20 мм, сіра 3917400090</t>
  </si>
  <si>
    <t>Насосна станція</t>
  </si>
  <si>
    <t>Ніпель латунний, 1\2"</t>
  </si>
  <si>
    <t>Ніпель</t>
  </si>
  <si>
    <t>Обвідне коліно PP-R D=20 mm сірий</t>
  </si>
  <si>
    <t>Обвідне коліно</t>
  </si>
  <si>
    <t>Перехід ексцентричний D=110/50 мм</t>
  </si>
  <si>
    <t>Перехідник  3/4В*1/2Н ВЛМЗ</t>
  </si>
  <si>
    <t>Перехідник  D=25мм*1/2 B</t>
  </si>
  <si>
    <t>Сифон для мийки бутилоч Д=1 1/2"х32мм</t>
  </si>
  <si>
    <t>Сифон для низького піддону Н-6,5см Scand SPA</t>
  </si>
  <si>
    <t>Сповіщувач пожежний димовий СПД-3,4</t>
  </si>
  <si>
    <t>Сигналізація виявлення диму</t>
  </si>
  <si>
    <t>Трійник PP-R D=20 mm. х1\2 Н сірий</t>
  </si>
  <si>
    <t>Трійник редукц 32х3/20х2/32х3 фітинг</t>
  </si>
  <si>
    <t>Труба каналізаційна 110х3,2х1000мм зовн</t>
  </si>
  <si>
    <t>Труба каналізаційна ПВХ 110х3,2х3000</t>
  </si>
  <si>
    <t>Труба ПЕ ф25</t>
  </si>
  <si>
    <t>пог.м</t>
  </si>
  <si>
    <t>Труба поліпропіленова каналізаційна d=32  мм І=1000 мм</t>
  </si>
  <si>
    <t>Труба поліпропіленова каналізаційна d=32  мм І=2000 мм</t>
  </si>
  <si>
    <t>Труба поліпропіленова, PP-R/F, RN 20бар, 20 мм сіра</t>
  </si>
  <si>
    <t>Умивальник</t>
  </si>
  <si>
    <t>Унітаз-Компакт підлоговий</t>
  </si>
  <si>
    <t>Хомут для труб  PP-R одинарний D=20 mm</t>
  </si>
  <si>
    <t>Хомут</t>
  </si>
  <si>
    <t>Хрестовина двохплощинна 110 х110х50, 87° права фітинг</t>
  </si>
  <si>
    <t>Витяжка купольна</t>
  </si>
  <si>
    <t>Витяжка</t>
  </si>
  <si>
    <t>Підключення змішувача ППР д20</t>
  </si>
  <si>
    <t>Ніпель 1,2"</t>
  </si>
  <si>
    <t>Перехід латунний 1,2"х3,4"</t>
  </si>
  <si>
    <t>З'єднувач з американкою PP-R 20 мм x 1/2" З</t>
  </si>
  <si>
    <t>З'єднувач з американкою PP-R 20 мм x 1/2" В</t>
  </si>
  <si>
    <t>Зворотній клапан 1,2" ВВ</t>
  </si>
  <si>
    <t>З'єднувач компресійний 25 мм x 1/2" В</t>
  </si>
  <si>
    <t>З'єднувач компресійний</t>
  </si>
  <si>
    <t>Хомут для труб PP-R д20</t>
  </si>
  <si>
    <t>Підключення емкості до труби ПЕ д25</t>
  </si>
  <si>
    <t>Підключення</t>
  </si>
  <si>
    <t>Перехідник Taizhou латунний 1" З-1/2" В</t>
  </si>
  <si>
    <t>Раковина без пятистала</t>
  </si>
  <si>
    <t xml:space="preserve">Кріплення умивальника </t>
  </si>
  <si>
    <t>Ринва</t>
  </si>
  <si>
    <t>труба</t>
  </si>
  <si>
    <t>Злив лівий</t>
  </si>
  <si>
    <t>Злив</t>
  </si>
  <si>
    <t>Злив правий</t>
  </si>
  <si>
    <t xml:space="preserve">Відвід  45 </t>
  </si>
  <si>
    <t>Відвід</t>
  </si>
  <si>
    <t xml:space="preserve">кріплення ринви </t>
  </si>
  <si>
    <t>кріплення труби</t>
  </si>
  <si>
    <t>зєднувачі</t>
  </si>
  <si>
    <t>З'єднувач</t>
  </si>
  <si>
    <t>Труба каналізаційна DN110х2000 (зовн.)</t>
  </si>
  <si>
    <t>Коліно 110/45 зн Інсталпласт</t>
  </si>
  <si>
    <t>6.2.53</t>
  </si>
  <si>
    <t>6.2.54</t>
  </si>
  <si>
    <t>6.2.55</t>
  </si>
  <si>
    <t>6.2.56</t>
  </si>
  <si>
    <t>6.2.57</t>
  </si>
  <si>
    <t>6.2.58</t>
  </si>
  <si>
    <t>6.2.59</t>
  </si>
  <si>
    <t>6.2.60</t>
  </si>
  <si>
    <t>6.2.61</t>
  </si>
  <si>
    <t>6.2.62</t>
  </si>
  <si>
    <t>6.2.63</t>
  </si>
  <si>
    <t>6.2.64</t>
  </si>
  <si>
    <t>6.2.65</t>
  </si>
  <si>
    <t>6.2.66</t>
  </si>
  <si>
    <t>6.2.67</t>
  </si>
  <si>
    <t>6.2.68</t>
  </si>
  <si>
    <t>6.2.69</t>
  </si>
  <si>
    <t>6.2.70</t>
  </si>
  <si>
    <t>6.2.71</t>
  </si>
  <si>
    <t>6.2.72</t>
  </si>
  <si>
    <t>6.2.73</t>
  </si>
  <si>
    <t>6.2.74</t>
  </si>
  <si>
    <t>6.2.75</t>
  </si>
  <si>
    <t>6.2.76</t>
  </si>
  <si>
    <t>6.2.77</t>
  </si>
  <si>
    <t>6.2.78</t>
  </si>
  <si>
    <t xml:space="preserve">Вогнегасник (порошок 3 кг) </t>
  </si>
  <si>
    <t xml:space="preserve">Протипожежна ковдра </t>
  </si>
  <si>
    <t>Пресована оцинкована решітка шириною не менше 1,0  м ззовні</t>
  </si>
  <si>
    <t xml:space="preserve">Килимок всередині </t>
  </si>
  <si>
    <t xml:space="preserve">Знаки дверей і визначення шляху </t>
  </si>
  <si>
    <t xml:space="preserve">Стелаж складський металевий, не менше 50 кг на полицю </t>
  </si>
  <si>
    <t xml:space="preserve">Сигналізація виявлення диму </t>
  </si>
  <si>
    <t>дозатор рідкого мила</t>
  </si>
  <si>
    <t xml:space="preserve">дозатор рушників </t>
  </si>
  <si>
    <t xml:space="preserve">Стіл офісний </t>
  </si>
  <si>
    <t xml:space="preserve">Кушетка медична </t>
  </si>
  <si>
    <t xml:space="preserve">Вішалка для одягу стояча </t>
  </si>
  <si>
    <t xml:space="preserve">Столик для огляду/ сповивання новонародженого </t>
  </si>
  <si>
    <t>Стіл медичний  пересувний</t>
  </si>
  <si>
    <t xml:space="preserve">Крісло персоналу </t>
  </si>
  <si>
    <t>металеві двохсекційні шафи/шафки для одягу</t>
  </si>
  <si>
    <t>диспенсер для туалетного паперу</t>
  </si>
  <si>
    <t>Поручень Laris 500мм</t>
  </si>
  <si>
    <t>поручні</t>
  </si>
  <si>
    <t>ЄМНІСТЬ 1500Л ВЕРТИКАЛЬНА ПБ БЛАКИТНА</t>
  </si>
  <si>
    <t xml:space="preserve">Залізо бетонне дно Д1500 мм </t>
  </si>
  <si>
    <t xml:space="preserve">Залізо бетонне кільце Д1500 мм </t>
  </si>
  <si>
    <t>Залізо бетонна кришка з отвором Д1500 мм</t>
  </si>
  <si>
    <t>Готовий розчин мішок 25 кг</t>
  </si>
  <si>
    <t>Труба каналізаційна d=110  мм І=3000 мм</t>
  </si>
  <si>
    <t>Труба ПЕ 25</t>
  </si>
  <si>
    <t>Утеплювач Труби (150х1500)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</si>
  <si>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</si>
  <si>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</si>
  <si>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</si>
  <si>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</si>
  <si>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</si>
  <si>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</si>
  <si>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</si>
  <si>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</si>
  <si>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</si>
  <si>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МД EMS мала</t>
  </si>
  <si>
    <t>+</t>
  </si>
  <si>
    <t>тут була помилка</t>
  </si>
  <si>
    <t>Шафа для зберігання ліків (Шафа ШМ-М)</t>
  </si>
  <si>
    <t>Шафа пересувна  (Шафа ШМ-М-М)</t>
  </si>
  <si>
    <t>Генератор 9 квт</t>
  </si>
  <si>
    <t xml:space="preserve">Кухня з мийкою </t>
  </si>
  <si>
    <t xml:space="preserve">Аварійне освітлення </t>
  </si>
  <si>
    <t>Обігрівач керамічний TeploCeramik TC395</t>
  </si>
  <si>
    <t>Лавка 1,5 м</t>
  </si>
  <si>
    <t>Ліжко</t>
  </si>
  <si>
    <t>Матрац</t>
  </si>
  <si>
    <t>Шафи для одягу (каркасна)</t>
  </si>
  <si>
    <t>Шафа для зберігання медикаментів ШМ-М</t>
  </si>
  <si>
    <t>Шафа для зберігання медикаментів ШМ-М-М</t>
  </si>
  <si>
    <t xml:space="preserve">Шафа офісна </t>
  </si>
  <si>
    <t xml:space="preserve">Холодильник </t>
  </si>
  <si>
    <t xml:space="preserve">Прально-сушильна машина (комбінована) </t>
  </si>
  <si>
    <t>Стіл обідній</t>
  </si>
  <si>
    <t xml:space="preserve">Офісний диван </t>
  </si>
  <si>
    <t>Кухонні стільці (білі)</t>
  </si>
  <si>
    <t>Стілець розкладний</t>
  </si>
  <si>
    <t xml:space="preserve">Відра для сміття 20 л </t>
  </si>
  <si>
    <t>Плита кухонна</t>
  </si>
  <si>
    <t xml:space="preserve">Мікрохвильова піч </t>
  </si>
  <si>
    <t>Чайник</t>
  </si>
  <si>
    <t>Вент канал для витяжки</t>
  </si>
  <si>
    <t>Дзеркало прямокутне</t>
  </si>
  <si>
    <t>комп</t>
  </si>
  <si>
    <t xml:space="preserve">Статус </t>
  </si>
  <si>
    <t>Факт виконання</t>
  </si>
  <si>
    <t>аналіз годин  до закінчення, плановий</t>
  </si>
  <si>
    <t>Найменування робіт</t>
  </si>
  <si>
    <t>виконується</t>
  </si>
  <si>
    <t>Загальна кількість, год</t>
  </si>
  <si>
    <t>табель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</si>
</sst>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"/>
  </numFmts>
  <fonts count="4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name val="Arial"/>
      <family val="2"/>
    </font>
    <font>
      <sz val="9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color theme="1"/>
      <name val="Cambria"/>
      <family val="1"/>
      <charset val="204"/>
    </font>
    <font>
      <b/>
      <sz val="12"/>
      <color rgb="FF000000"/>
      <name val="Cambria"/>
      <family val="1"/>
      <charset val="204"/>
    </font>
    <font>
      <b/>
      <sz val="14"/>
      <color rgb="FF000000"/>
      <name val="Cambria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 Light"/>
      <family val="2"/>
      <charset val="204"/>
      <scheme val="major"/>
    </font>
    <font>
      <sz val="10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 Light"/>
      <family val="2"/>
      <charset val="204"/>
      <scheme val="major"/>
    </font>
    <font>
      <b/>
      <sz val="11"/>
      <name val="Times New Roman"/>
      <family val="1"/>
      <charset val="204"/>
    </font>
    <font>
      <sz val="9"/>
      <name val="Calibri Light"/>
      <family val="2"/>
      <charset val="204"/>
      <scheme val="major"/>
    </font>
    <font>
      <sz val="12"/>
      <color theme="1"/>
      <name val="Arial Black"/>
      <family val="2"/>
      <charset val="204"/>
    </font>
    <font>
      <b/>
      <sz val="11"/>
      <name val="Calibri Light"/>
      <family val="2"/>
      <charset val="204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3" fillId="0" borderId="0"/>
    <xf numFmtId="0" fontId="31" fillId="0" borderId="0"/>
    <xf numFmtId="0" fontId="31" fillId="0" borderId="0"/>
    <xf numFmtId="0" fontId="1" fillId="0" borderId="0"/>
    <xf numFmtId="9" fontId="1" fillId="0" borderId="0" applyFont="0" applyFill="0" applyBorder="0" applyAlignment="0" applyProtection="0"/>
  </cellStyleXfs>
  <cellXfs count="251">
    <xf numFmtId="0" fontId="0" fillId="0" borderId="0" xfId="0"/>
    <xf numFmtId="49" fontId="6" fillId="3" borderId="3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top"/>
    </xf>
    <xf numFmtId="49" fontId="6" fillId="0" borderId="3" xfId="1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vertical="center" wrapText="1"/>
    </xf>
    <xf numFmtId="2" fontId="7" fillId="2" borderId="3" xfId="1" applyNumberFormat="1" applyFont="1" applyFill="1" applyBorder="1" applyAlignment="1">
      <alignment horizontal="center" vertical="center" wrapText="1"/>
    </xf>
    <xf numFmtId="0" fontId="5" fillId="0" borderId="0" xfId="2"/>
    <xf numFmtId="3" fontId="15" fillId="10" borderId="20" xfId="2" applyNumberFormat="1" applyFont="1" applyFill="1" applyBorder="1" applyAlignment="1">
      <alignment horizontal="center" vertical="center"/>
    </xf>
    <xf numFmtId="0" fontId="15" fillId="10" borderId="21" xfId="2" applyFont="1" applyFill="1" applyBorder="1" applyAlignment="1">
      <alignment horizontal="center" vertical="center"/>
    </xf>
    <xf numFmtId="0" fontId="16" fillId="10" borderId="11" xfId="2" applyFont="1" applyFill="1" applyBorder="1" applyAlignment="1">
      <alignment horizontal="center" vertical="center"/>
    </xf>
    <xf numFmtId="0" fontId="17" fillId="7" borderId="2" xfId="2" applyFont="1" applyFill="1" applyBorder="1" applyAlignment="1">
      <alignment horizontal="center" vertical="center" wrapText="1"/>
    </xf>
    <xf numFmtId="3" fontId="9" fillId="11" borderId="23" xfId="2" applyNumberFormat="1" applyFont="1" applyFill="1" applyBorder="1" applyAlignment="1">
      <alignment horizontal="center" vertical="center"/>
    </xf>
    <xf numFmtId="3" fontId="9" fillId="11" borderId="24" xfId="2" applyNumberFormat="1" applyFont="1" applyFill="1" applyBorder="1" applyAlignment="1">
      <alignment horizontal="center" vertical="center"/>
    </xf>
    <xf numFmtId="3" fontId="9" fillId="11" borderId="25" xfId="2" applyNumberFormat="1" applyFont="1" applyFill="1" applyBorder="1" applyAlignment="1">
      <alignment horizontal="center" vertical="center"/>
    </xf>
    <xf numFmtId="3" fontId="9" fillId="11" borderId="26" xfId="2" applyNumberFormat="1" applyFont="1" applyFill="1" applyBorder="1" applyAlignment="1">
      <alignment horizontal="center" vertical="center" wrapText="1"/>
    </xf>
    <xf numFmtId="3" fontId="18" fillId="12" borderId="14" xfId="2" applyNumberFormat="1" applyFont="1" applyFill="1" applyBorder="1" applyAlignment="1">
      <alignment horizontal="center" vertical="center"/>
    </xf>
    <xf numFmtId="3" fontId="18" fillId="12" borderId="27" xfId="2" applyNumberFormat="1" applyFont="1" applyFill="1" applyBorder="1" applyAlignment="1">
      <alignment horizontal="center" vertical="center"/>
    </xf>
    <xf numFmtId="3" fontId="18" fillId="12" borderId="15" xfId="2" applyNumberFormat="1" applyFont="1" applyFill="1" applyBorder="1" applyAlignment="1">
      <alignment horizontal="center" vertical="center"/>
    </xf>
    <xf numFmtId="3" fontId="18" fillId="12" borderId="28" xfId="2" applyNumberFormat="1" applyFont="1" applyFill="1" applyBorder="1" applyAlignment="1">
      <alignment horizontal="center" vertical="center" wrapText="1"/>
    </xf>
    <xf numFmtId="3" fontId="14" fillId="0" borderId="14" xfId="2" applyNumberFormat="1" applyFont="1" applyBorder="1" applyAlignment="1">
      <alignment horizontal="center" vertical="center"/>
    </xf>
    <xf numFmtId="3" fontId="14" fillId="0" borderId="16" xfId="2" applyNumberFormat="1" applyFont="1" applyBorder="1" applyAlignment="1">
      <alignment horizontal="center" vertical="center"/>
    </xf>
    <xf numFmtId="3" fontId="14" fillId="0" borderId="15" xfId="2" applyNumberFormat="1" applyFont="1" applyBorder="1" applyAlignment="1">
      <alignment horizontal="center" vertical="center"/>
    </xf>
    <xf numFmtId="9" fontId="14" fillId="0" borderId="28" xfId="2" applyNumberFormat="1" applyFont="1" applyBorder="1" applyAlignment="1">
      <alignment horizontal="center" vertical="center" wrapText="1"/>
    </xf>
    <xf numFmtId="3" fontId="19" fillId="0" borderId="15" xfId="2" applyNumberFormat="1" applyFont="1" applyBorder="1" applyAlignment="1">
      <alignment horizontal="center" vertical="center"/>
    </xf>
    <xf numFmtId="3" fontId="19" fillId="0" borderId="28" xfId="2" applyNumberFormat="1" applyFont="1" applyBorder="1" applyAlignment="1">
      <alignment horizontal="center" vertical="center" wrapText="1"/>
    </xf>
    <xf numFmtId="4" fontId="5" fillId="0" borderId="0" xfId="2" applyNumberFormat="1"/>
    <xf numFmtId="3" fontId="14" fillId="0" borderId="30" xfId="2" applyNumberFormat="1" applyFont="1" applyBorder="1" applyAlignment="1">
      <alignment horizontal="center" vertical="center"/>
    </xf>
    <xf numFmtId="3" fontId="14" fillId="0" borderId="31" xfId="2" applyNumberFormat="1" applyFont="1" applyBorder="1" applyAlignment="1">
      <alignment horizontal="center" vertical="center"/>
    </xf>
    <xf numFmtId="3" fontId="19" fillId="0" borderId="32" xfId="2" applyNumberFormat="1" applyFont="1" applyBorder="1" applyAlignment="1">
      <alignment horizontal="center" vertical="center"/>
    </xf>
    <xf numFmtId="3" fontId="19" fillId="0" borderId="31" xfId="2" applyNumberFormat="1" applyFont="1" applyBorder="1" applyAlignment="1">
      <alignment horizontal="center" vertical="center" wrapText="1"/>
    </xf>
    <xf numFmtId="3" fontId="9" fillId="11" borderId="33" xfId="2" applyNumberFormat="1" applyFont="1" applyFill="1" applyBorder="1" applyAlignment="1">
      <alignment horizontal="center" vertical="center"/>
    </xf>
    <xf numFmtId="3" fontId="9" fillId="11" borderId="34" xfId="2" applyNumberFormat="1" applyFont="1" applyFill="1" applyBorder="1" applyAlignment="1">
      <alignment horizontal="center" vertical="center"/>
    </xf>
    <xf numFmtId="3" fontId="9" fillId="11" borderId="35" xfId="2" applyNumberFormat="1" applyFont="1" applyFill="1" applyBorder="1" applyAlignment="1">
      <alignment horizontal="center" vertical="center"/>
    </xf>
    <xf numFmtId="3" fontId="9" fillId="11" borderId="36" xfId="2" applyNumberFormat="1" applyFont="1" applyFill="1" applyBorder="1" applyAlignment="1">
      <alignment horizontal="center" vertical="center" wrapText="1"/>
    </xf>
    <xf numFmtId="0" fontId="20" fillId="12" borderId="28" xfId="2" applyFont="1" applyFill="1" applyBorder="1" applyAlignment="1">
      <alignment wrapText="1"/>
    </xf>
    <xf numFmtId="3" fontId="18" fillId="13" borderId="14" xfId="2" applyNumberFormat="1" applyFont="1" applyFill="1" applyBorder="1" applyAlignment="1">
      <alignment horizontal="center" vertical="center"/>
    </xf>
    <xf numFmtId="3" fontId="18" fillId="13" borderId="27" xfId="2" applyNumberFormat="1" applyFont="1" applyFill="1" applyBorder="1" applyAlignment="1">
      <alignment horizontal="center" vertical="center"/>
    </xf>
    <xf numFmtId="3" fontId="18" fillId="13" borderId="15" xfId="2" applyNumberFormat="1" applyFont="1" applyFill="1" applyBorder="1" applyAlignment="1">
      <alignment horizontal="center" vertical="center"/>
    </xf>
    <xf numFmtId="3" fontId="21" fillId="13" borderId="28" xfId="2" applyNumberFormat="1" applyFont="1" applyFill="1" applyBorder="1" applyAlignment="1">
      <alignment horizontal="center" vertical="center" wrapText="1"/>
    </xf>
    <xf numFmtId="3" fontId="18" fillId="2" borderId="14" xfId="2" applyNumberFormat="1" applyFont="1" applyFill="1" applyBorder="1" applyAlignment="1">
      <alignment horizontal="center" vertical="center"/>
    </xf>
    <xf numFmtId="3" fontId="18" fillId="2" borderId="27" xfId="2" applyNumberFormat="1" applyFont="1" applyFill="1" applyBorder="1" applyAlignment="1">
      <alignment horizontal="center" vertical="center"/>
    </xf>
    <xf numFmtId="3" fontId="18" fillId="2" borderId="15" xfId="2" applyNumberFormat="1" applyFont="1" applyFill="1" applyBorder="1" applyAlignment="1">
      <alignment horizontal="center" vertical="center"/>
    </xf>
    <xf numFmtId="3" fontId="19" fillId="2" borderId="28" xfId="2" applyNumberFormat="1" applyFont="1" applyFill="1" applyBorder="1" applyAlignment="1">
      <alignment horizontal="center" vertical="center" wrapText="1"/>
    </xf>
    <xf numFmtId="3" fontId="22" fillId="0" borderId="28" xfId="2" applyNumberFormat="1" applyFont="1" applyBorder="1" applyAlignment="1">
      <alignment horizontal="center" vertical="center" wrapText="1"/>
    </xf>
    <xf numFmtId="3" fontId="23" fillId="0" borderId="28" xfId="2" applyNumberFormat="1" applyFont="1" applyBorder="1" applyAlignment="1">
      <alignment horizontal="center" vertical="center" wrapText="1"/>
    </xf>
    <xf numFmtId="3" fontId="19" fillId="4" borderId="28" xfId="2" applyNumberFormat="1" applyFont="1" applyFill="1" applyBorder="1" applyAlignment="1">
      <alignment horizontal="center" vertical="center" wrapText="1"/>
    </xf>
    <xf numFmtId="9" fontId="19" fillId="0" borderId="28" xfId="2" applyNumberFormat="1" applyFont="1" applyBorder="1" applyAlignment="1">
      <alignment horizontal="center" vertical="center" wrapText="1"/>
    </xf>
    <xf numFmtId="0" fontId="24" fillId="0" borderId="0" xfId="2" applyFont="1" applyAlignment="1">
      <alignment horizontal="left" vertical="center"/>
    </xf>
    <xf numFmtId="3" fontId="19" fillId="0" borderId="28" xfId="2" applyNumberFormat="1" applyFont="1" applyBorder="1" applyAlignment="1">
      <alignment horizontal="center" vertical="center"/>
    </xf>
    <xf numFmtId="3" fontId="25" fillId="13" borderId="14" xfId="2" applyNumberFormat="1" applyFont="1" applyFill="1" applyBorder="1" applyAlignment="1">
      <alignment horizontal="center" vertical="center"/>
    </xf>
    <xf numFmtId="3" fontId="25" fillId="13" borderId="27" xfId="2" applyNumberFormat="1" applyFont="1" applyFill="1" applyBorder="1" applyAlignment="1">
      <alignment horizontal="center" vertical="center"/>
    </xf>
    <xf numFmtId="3" fontId="25" fillId="13" borderId="15" xfId="2" applyNumberFormat="1" applyFont="1" applyFill="1" applyBorder="1" applyAlignment="1">
      <alignment horizontal="center" vertical="center"/>
    </xf>
    <xf numFmtId="4" fontId="26" fillId="13" borderId="28" xfId="2" applyNumberFormat="1" applyFont="1" applyFill="1" applyBorder="1" applyAlignment="1">
      <alignment horizontal="center" vertical="center"/>
    </xf>
    <xf numFmtId="3" fontId="27" fillId="2" borderId="14" xfId="2" applyNumberFormat="1" applyFont="1" applyFill="1" applyBorder="1" applyAlignment="1">
      <alignment horizontal="center" vertical="center"/>
    </xf>
    <xf numFmtId="3" fontId="27" fillId="2" borderId="27" xfId="2" applyNumberFormat="1" applyFont="1" applyFill="1" applyBorder="1" applyAlignment="1">
      <alignment horizontal="center" vertical="center"/>
    </xf>
    <xf numFmtId="3" fontId="27" fillId="2" borderId="15" xfId="2" applyNumberFormat="1" applyFont="1" applyFill="1" applyBorder="1" applyAlignment="1">
      <alignment horizontal="center" vertical="center"/>
    </xf>
    <xf numFmtId="4" fontId="28" fillId="2" borderId="28" xfId="2" applyNumberFormat="1" applyFont="1" applyFill="1" applyBorder="1" applyAlignment="1">
      <alignment horizontal="center" vertical="center"/>
    </xf>
    <xf numFmtId="3" fontId="22" fillId="0" borderId="15" xfId="2" applyNumberFormat="1" applyFont="1" applyBorder="1" applyAlignment="1">
      <alignment horizontal="center" vertical="center"/>
    </xf>
    <xf numFmtId="3" fontId="22" fillId="0" borderId="28" xfId="2" applyNumberFormat="1" applyFont="1" applyBorder="1" applyAlignment="1">
      <alignment horizontal="center" vertical="center"/>
    </xf>
    <xf numFmtId="3" fontId="22" fillId="4" borderId="15" xfId="2" applyNumberFormat="1" applyFont="1" applyFill="1" applyBorder="1" applyAlignment="1">
      <alignment horizontal="center" vertical="center"/>
    </xf>
    <xf numFmtId="3" fontId="22" fillId="4" borderId="28" xfId="2" applyNumberFormat="1" applyFont="1" applyFill="1" applyBorder="1" applyAlignment="1">
      <alignment horizontal="center" vertical="center"/>
    </xf>
    <xf numFmtId="3" fontId="2" fillId="13" borderId="14" xfId="2" applyNumberFormat="1" applyFont="1" applyFill="1" applyBorder="1" applyAlignment="1">
      <alignment horizontal="center" vertical="center"/>
    </xf>
    <xf numFmtId="3" fontId="2" fillId="13" borderId="27" xfId="2" applyNumberFormat="1" applyFont="1" applyFill="1" applyBorder="1" applyAlignment="1">
      <alignment horizontal="center" vertical="center"/>
    </xf>
    <xf numFmtId="3" fontId="2" fillId="13" borderId="15" xfId="2" applyNumberFormat="1" applyFont="1" applyFill="1" applyBorder="1" applyAlignment="1">
      <alignment horizontal="center" vertical="center"/>
    </xf>
    <xf numFmtId="3" fontId="2" fillId="13" borderId="28" xfId="2" applyNumberFormat="1" applyFont="1" applyFill="1" applyBorder="1" applyAlignment="1">
      <alignment horizontal="center" vertical="center" wrapText="1"/>
    </xf>
    <xf numFmtId="0" fontId="19" fillId="0" borderId="28" xfId="2" applyFont="1" applyBorder="1" applyAlignment="1">
      <alignment horizontal="center" vertical="center" wrapText="1"/>
    </xf>
    <xf numFmtId="0" fontId="29" fillId="2" borderId="28" xfId="2" applyFont="1" applyFill="1" applyBorder="1"/>
    <xf numFmtId="0" fontId="5" fillId="0" borderId="28" xfId="2" applyBorder="1"/>
    <xf numFmtId="9" fontId="14" fillId="14" borderId="28" xfId="2" applyNumberFormat="1" applyFont="1" applyFill="1" applyBorder="1" applyAlignment="1">
      <alignment horizontal="center" vertical="center" wrapText="1"/>
    </xf>
    <xf numFmtId="3" fontId="18" fillId="2" borderId="28" xfId="2" applyNumberFormat="1" applyFont="1" applyFill="1" applyBorder="1" applyAlignment="1">
      <alignment horizontal="center" vertical="center"/>
    </xf>
    <xf numFmtId="3" fontId="14" fillId="14" borderId="15" xfId="2" applyNumberFormat="1" applyFont="1" applyFill="1" applyBorder="1" applyAlignment="1">
      <alignment horizontal="center" vertical="center"/>
    </xf>
    <xf numFmtId="3" fontId="2" fillId="12" borderId="14" xfId="2" applyNumberFormat="1" applyFont="1" applyFill="1" applyBorder="1" applyAlignment="1">
      <alignment horizontal="center" vertical="center"/>
    </xf>
    <xf numFmtId="3" fontId="2" fillId="12" borderId="27" xfId="2" applyNumberFormat="1" applyFont="1" applyFill="1" applyBorder="1" applyAlignment="1">
      <alignment horizontal="center" vertical="center"/>
    </xf>
    <xf numFmtId="3" fontId="2" fillId="12" borderId="15" xfId="2" applyNumberFormat="1" applyFont="1" applyFill="1" applyBorder="1" applyAlignment="1">
      <alignment horizontal="center" vertical="center"/>
    </xf>
    <xf numFmtId="3" fontId="2" fillId="12" borderId="28" xfId="2" applyNumberFormat="1" applyFont="1" applyFill="1" applyBorder="1" applyAlignment="1">
      <alignment horizontal="center" vertical="center" wrapText="1"/>
    </xf>
    <xf numFmtId="3" fontId="19" fillId="2" borderId="14" xfId="2" applyNumberFormat="1" applyFont="1" applyFill="1" applyBorder="1" applyAlignment="1">
      <alignment horizontal="center" vertical="center" wrapText="1"/>
    </xf>
    <xf numFmtId="3" fontId="19" fillId="2" borderId="27" xfId="2" applyNumberFormat="1" applyFont="1" applyFill="1" applyBorder="1" applyAlignment="1">
      <alignment horizontal="center" vertical="center" wrapText="1"/>
    </xf>
    <xf numFmtId="3" fontId="19" fillId="2" borderId="15" xfId="2" applyNumberFormat="1" applyFont="1" applyFill="1" applyBorder="1" applyAlignment="1">
      <alignment horizontal="center" vertical="center" wrapText="1"/>
    </xf>
    <xf numFmtId="49" fontId="19" fillId="0" borderId="28" xfId="2" applyNumberFormat="1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3" fontId="30" fillId="4" borderId="28" xfId="2" applyNumberFormat="1" applyFont="1" applyFill="1" applyBorder="1" applyAlignment="1">
      <alignment horizontal="center" vertical="center" wrapText="1"/>
    </xf>
    <xf numFmtId="3" fontId="5" fillId="0" borderId="0" xfId="2" applyNumberFormat="1"/>
    <xf numFmtId="0" fontId="18" fillId="11" borderId="22" xfId="8" applyFont="1" applyFill="1" applyBorder="1" applyAlignment="1">
      <alignment horizontal="center" vertical="center"/>
    </xf>
    <xf numFmtId="0" fontId="31" fillId="0" borderId="39" xfId="9" applyBorder="1" applyAlignment="1">
      <alignment vertical="top" wrapText="1" indent="4"/>
    </xf>
    <xf numFmtId="0" fontId="19" fillId="0" borderId="40" xfId="8" applyFont="1" applyBorder="1" applyAlignment="1">
      <alignment horizontal="center" vertical="center" wrapText="1"/>
    </xf>
    <xf numFmtId="0" fontId="18" fillId="11" borderId="41" xfId="8" applyFont="1" applyFill="1" applyBorder="1" applyAlignment="1">
      <alignment horizontal="center" vertical="center"/>
    </xf>
    <xf numFmtId="0" fontId="18" fillId="12" borderId="40" xfId="8" applyFont="1" applyFill="1" applyBorder="1" applyAlignment="1">
      <alignment horizontal="center" vertical="center"/>
    </xf>
    <xf numFmtId="0" fontId="18" fillId="13" borderId="40" xfId="8" applyFont="1" applyFill="1" applyBorder="1" applyAlignment="1">
      <alignment horizontal="center" vertical="center"/>
    </xf>
    <xf numFmtId="0" fontId="18" fillId="2" borderId="40" xfId="8" applyFont="1" applyFill="1" applyBorder="1" applyAlignment="1">
      <alignment horizontal="center" vertical="center"/>
    </xf>
    <xf numFmtId="0" fontId="19" fillId="0" borderId="40" xfId="8" applyFont="1" applyBorder="1" applyAlignment="1">
      <alignment horizontal="center" vertical="center"/>
    </xf>
    <xf numFmtId="0" fontId="18" fillId="2" borderId="40" xfId="8" applyFont="1" applyFill="1" applyBorder="1" applyAlignment="1">
      <alignment horizontal="center" vertical="center" wrapText="1"/>
    </xf>
    <xf numFmtId="0" fontId="22" fillId="0" borderId="40" xfId="8" applyFont="1" applyBorder="1" applyAlignment="1">
      <alignment horizontal="center" vertical="center" wrapText="1"/>
    </xf>
    <xf numFmtId="0" fontId="22" fillId="4" borderId="40" xfId="8" applyFont="1" applyFill="1" applyBorder="1" applyAlignment="1">
      <alignment horizontal="center" vertical="center" wrapText="1"/>
    </xf>
    <xf numFmtId="0" fontId="19" fillId="4" borderId="40" xfId="8" applyFont="1" applyFill="1" applyBorder="1" applyAlignment="1">
      <alignment horizontal="center" vertical="center"/>
    </xf>
    <xf numFmtId="0" fontId="27" fillId="2" borderId="40" xfId="8" applyFont="1" applyFill="1" applyBorder="1" applyAlignment="1">
      <alignment horizontal="center" vertical="center" wrapText="1"/>
    </xf>
    <xf numFmtId="0" fontId="22" fillId="0" borderId="40" xfId="8" applyFont="1" applyBorder="1" applyAlignment="1">
      <alignment horizontal="center" vertical="center"/>
    </xf>
    <xf numFmtId="0" fontId="22" fillId="4" borderId="40" xfId="8" applyFont="1" applyFill="1" applyBorder="1" applyAlignment="1">
      <alignment horizontal="center" vertical="center"/>
    </xf>
    <xf numFmtId="0" fontId="19" fillId="4" borderId="40" xfId="8" applyFont="1" applyFill="1" applyBorder="1" applyAlignment="1">
      <alignment horizontal="center" vertical="center" wrapText="1"/>
    </xf>
    <xf numFmtId="0" fontId="19" fillId="0" borderId="37" xfId="8" applyFont="1" applyBorder="1" applyAlignment="1">
      <alignment horizontal="center" vertical="center"/>
    </xf>
    <xf numFmtId="0" fontId="18" fillId="2" borderId="37" xfId="8" applyFont="1" applyFill="1" applyBorder="1" applyAlignment="1">
      <alignment horizontal="center" vertical="center"/>
    </xf>
    <xf numFmtId="0" fontId="19" fillId="0" borderId="29" xfId="8" applyFont="1" applyBorder="1" applyAlignment="1">
      <alignment horizontal="center" vertical="center"/>
    </xf>
    <xf numFmtId="0" fontId="2" fillId="15" borderId="38" xfId="8" applyFont="1" applyFill="1" applyBorder="1" applyAlignment="1">
      <alignment horizontal="center" vertical="center"/>
    </xf>
    <xf numFmtId="3" fontId="14" fillId="0" borderId="42" xfId="2" applyNumberFormat="1" applyFont="1" applyBorder="1" applyAlignment="1">
      <alignment horizontal="center" vertical="center"/>
    </xf>
    <xf numFmtId="49" fontId="6" fillId="3" borderId="43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16" borderId="44" xfId="0" applyFont="1" applyFill="1" applyBorder="1"/>
    <xf numFmtId="0" fontId="2" fillId="16" borderId="0" xfId="0" applyFont="1" applyFill="1"/>
    <xf numFmtId="4" fontId="0" fillId="0" borderId="0" xfId="0" applyNumberFormat="1"/>
    <xf numFmtId="4" fontId="2" fillId="16" borderId="45" xfId="0" applyNumberFormat="1" applyFont="1" applyFill="1" applyBorder="1"/>
    <xf numFmtId="165" fontId="0" fillId="0" borderId="0" xfId="0" applyNumberFormat="1"/>
    <xf numFmtId="49" fontId="7" fillId="0" borderId="43" xfId="1" applyNumberFormat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vertical="center" wrapText="1"/>
    </xf>
    <xf numFmtId="4" fontId="6" fillId="0" borderId="3" xfId="1" applyNumberFormat="1" applyFont="1" applyBorder="1" applyAlignment="1">
      <alignment horizontal="center" vertical="center" wrapText="1"/>
    </xf>
    <xf numFmtId="4" fontId="6" fillId="0" borderId="3" xfId="1" applyNumberFormat="1" applyFont="1" applyBorder="1" applyAlignment="1">
      <alignment vertical="center" wrapText="1"/>
    </xf>
    <xf numFmtId="4" fontId="8" fillId="0" borderId="3" xfId="1" applyNumberFormat="1" applyFont="1" applyBorder="1" applyAlignment="1">
      <alignment vertical="top"/>
    </xf>
    <xf numFmtId="4" fontId="6" fillId="17" borderId="3" xfId="1" applyNumberFormat="1" applyFont="1" applyFill="1" applyBorder="1" applyAlignment="1">
      <alignment horizontal="center" vertical="center" wrapText="1"/>
    </xf>
    <xf numFmtId="4" fontId="7" fillId="17" borderId="3" xfId="1" applyNumberFormat="1" applyFont="1" applyFill="1" applyBorder="1" applyAlignment="1">
      <alignment horizontal="center" vertical="center" wrapText="1"/>
    </xf>
    <xf numFmtId="4" fontId="7" fillId="0" borderId="3" xfId="1" applyNumberFormat="1" applyFont="1" applyBorder="1" applyAlignment="1">
      <alignment vertical="center" wrapText="1"/>
    </xf>
    <xf numFmtId="4" fontId="7" fillId="0" borderId="17" xfId="1" applyNumberFormat="1" applyFont="1" applyBorder="1" applyAlignment="1">
      <alignment vertical="center" wrapText="1"/>
    </xf>
    <xf numFmtId="4" fontId="7" fillId="0" borderId="3" xfId="1" applyNumberFormat="1" applyFont="1" applyBorder="1" applyAlignment="1">
      <alignment horizontal="center" vertical="center" wrapText="1"/>
    </xf>
    <xf numFmtId="4" fontId="4" fillId="3" borderId="3" xfId="1" applyNumberFormat="1" applyFont="1" applyFill="1" applyBorder="1" applyAlignment="1">
      <alignment horizontal="center" vertical="center" wrapText="1"/>
    </xf>
    <xf numFmtId="4" fontId="7" fillId="2" borderId="3" xfId="1" applyNumberFormat="1" applyFont="1" applyFill="1" applyBorder="1" applyAlignment="1">
      <alignment horizontal="center" vertical="center" wrapText="1"/>
    </xf>
    <xf numFmtId="4" fontId="6" fillId="0" borderId="43" xfId="1" applyNumberFormat="1" applyFont="1" applyBorder="1" applyAlignment="1">
      <alignment horizontal="center" vertical="center" wrapText="1"/>
    </xf>
    <xf numFmtId="4" fontId="7" fillId="17" borderId="43" xfId="1" applyNumberFormat="1" applyFont="1" applyFill="1" applyBorder="1" applyAlignment="1">
      <alignment horizontal="center" vertical="center" wrapText="1"/>
    </xf>
    <xf numFmtId="4" fontId="7" fillId="0" borderId="43" xfId="1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4" fontId="32" fillId="0" borderId="2" xfId="0" applyNumberFormat="1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4" fontId="32" fillId="0" borderId="46" xfId="0" applyNumberFormat="1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4" fontId="34" fillId="18" borderId="46" xfId="0" applyNumberFormat="1" applyFont="1" applyFill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4" fontId="34" fillId="19" borderId="46" xfId="0" applyNumberFormat="1" applyFont="1" applyFill="1" applyBorder="1" applyAlignment="1">
      <alignment horizontal="center" vertical="center"/>
    </xf>
    <xf numFmtId="0" fontId="36" fillId="18" borderId="46" xfId="0" applyFont="1" applyFill="1" applyBorder="1" applyAlignment="1">
      <alignment horizontal="center" vertical="center"/>
    </xf>
    <xf numFmtId="9" fontId="32" fillId="0" borderId="46" xfId="11" applyFont="1" applyBorder="1" applyAlignment="1">
      <alignment horizontal="center" vertical="center"/>
    </xf>
    <xf numFmtId="49" fontId="6" fillId="0" borderId="43" xfId="1" applyNumberFormat="1" applyFont="1" applyBorder="1" applyAlignment="1">
      <alignment horizontal="center" vertical="center" wrapText="1"/>
    </xf>
    <xf numFmtId="4" fontId="7" fillId="0" borderId="43" xfId="1" applyNumberFormat="1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3" borderId="43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37" fillId="2" borderId="3" xfId="1" applyFont="1" applyFill="1" applyBorder="1" applyAlignment="1">
      <alignment horizontal="center" vertical="center" wrapText="1"/>
    </xf>
    <xf numFmtId="2" fontId="37" fillId="2" borderId="3" xfId="1" applyNumberFormat="1" applyFont="1" applyFill="1" applyBorder="1" applyAlignment="1">
      <alignment horizontal="center" vertical="center" wrapText="1"/>
    </xf>
    <xf numFmtId="2" fontId="37" fillId="2" borderId="43" xfId="1" applyNumberFormat="1" applyFont="1" applyFill="1" applyBorder="1" applyAlignment="1">
      <alignment horizontal="center" vertical="center" wrapText="1"/>
    </xf>
    <xf numFmtId="4" fontId="37" fillId="2" borderId="3" xfId="1" applyNumberFormat="1" applyFont="1" applyFill="1" applyBorder="1" applyAlignment="1">
      <alignment horizontal="center" vertical="center" wrapText="1"/>
    </xf>
    <xf numFmtId="4" fontId="37" fillId="2" borderId="3" xfId="3" applyNumberFormat="1" applyFont="1" applyFill="1" applyBorder="1" applyAlignment="1">
      <alignment horizontal="center" vertical="center" wrapText="1"/>
    </xf>
    <xf numFmtId="0" fontId="38" fillId="0" borderId="0" xfId="0" applyFont="1"/>
    <xf numFmtId="4" fontId="7" fillId="3" borderId="3" xfId="1" applyNumberFormat="1" applyFont="1" applyFill="1" applyBorder="1" applyAlignment="1">
      <alignment horizontal="left" wrapText="1"/>
    </xf>
    <xf numFmtId="4" fontId="7" fillId="0" borderId="3" xfId="1" applyNumberFormat="1" applyFont="1" applyBorder="1" applyAlignment="1">
      <alignment horizontal="left" wrapText="1"/>
    </xf>
    <xf numFmtId="0" fontId="39" fillId="0" borderId="40" xfId="8" applyFont="1" applyBorder="1" applyAlignment="1">
      <alignment horizontal="center" vertical="center"/>
    </xf>
    <xf numFmtId="0" fontId="40" fillId="12" borderId="17" xfId="10" applyFont="1" applyFill="1" applyBorder="1" applyAlignment="1">
      <alignment horizontal="left" vertical="center" wrapText="1"/>
    </xf>
    <xf numFmtId="4" fontId="7" fillId="4" borderId="3" xfId="4" applyNumberFormat="1" applyFont="1" applyFill="1" applyBorder="1" applyAlignment="1">
      <alignment horizontal="center" vertical="center"/>
    </xf>
    <xf numFmtId="0" fontId="7" fillId="0" borderId="33" xfId="10" applyFont="1" applyBorder="1" applyAlignment="1">
      <alignment horizontal="left" vertical="center" wrapText="1"/>
    </xf>
    <xf numFmtId="0" fontId="38" fillId="4" borderId="43" xfId="0" applyFont="1" applyFill="1" applyBorder="1" applyAlignment="1">
      <alignment horizontal="center"/>
    </xf>
    <xf numFmtId="0" fontId="11" fillId="0" borderId="43" xfId="6" applyBorder="1"/>
    <xf numFmtId="0" fontId="7" fillId="0" borderId="43" xfId="10" applyFont="1" applyBorder="1" applyAlignment="1">
      <alignment horizontal="left" vertical="center" wrapText="1"/>
    </xf>
    <xf numFmtId="0" fontId="7" fillId="4" borderId="43" xfId="10" applyFont="1" applyFill="1" applyBorder="1" applyAlignment="1">
      <alignment horizontal="left" vertical="center" wrapText="1"/>
    </xf>
    <xf numFmtId="4" fontId="18" fillId="0" borderId="43" xfId="0" applyNumberFormat="1" applyFont="1" applyBorder="1" applyAlignment="1">
      <alignment horizontal="left" vertical="center" wrapText="1"/>
    </xf>
    <xf numFmtId="4" fontId="18" fillId="0" borderId="43" xfId="0" applyNumberFormat="1" applyFont="1" applyBorder="1" applyAlignment="1">
      <alignment horizontal="center" vertical="center" wrapText="1"/>
    </xf>
    <xf numFmtId="0" fontId="38" fillId="0" borderId="43" xfId="0" applyFont="1" applyBorder="1" applyAlignment="1">
      <alignment horizontal="left" vertical="center" wrapText="1"/>
    </xf>
    <xf numFmtId="49" fontId="8" fillId="3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  <xf numFmtId="4" fontId="8" fillId="3" borderId="3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" fontId="7" fillId="0" borderId="43" xfId="10" applyNumberFormat="1" applyFont="1" applyBorder="1" applyAlignment="1">
      <alignment horizontal="center" vertical="center" wrapText="1"/>
    </xf>
    <xf numFmtId="4" fontId="7" fillId="2" borderId="3" xfId="4" applyNumberFormat="1" applyFont="1" applyFill="1" applyBorder="1" applyAlignment="1">
      <alignment horizontal="center" vertical="center"/>
    </xf>
    <xf numFmtId="0" fontId="38" fillId="0" borderId="43" xfId="0" applyFont="1" applyBorder="1" applyAlignment="1">
      <alignment horizontal="left"/>
    </xf>
    <xf numFmtId="0" fontId="40" fillId="0" borderId="17" xfId="10" applyFont="1" applyBorder="1" applyAlignment="1">
      <alignment horizontal="left" vertical="center" wrapText="1"/>
    </xf>
    <xf numFmtId="0" fontId="38" fillId="0" borderId="43" xfId="0" applyFont="1" applyBorder="1" applyAlignment="1">
      <alignment horizontal="center"/>
    </xf>
    <xf numFmtId="0" fontId="7" fillId="0" borderId="17" xfId="10" applyFont="1" applyBorder="1" applyAlignment="1">
      <alignment horizontal="left" vertical="center" wrapText="1"/>
    </xf>
    <xf numFmtId="4" fontId="7" fillId="4" borderId="43" xfId="4" applyNumberFormat="1" applyFont="1" applyFill="1" applyBorder="1" applyAlignment="1">
      <alignment horizontal="center" vertical="center"/>
    </xf>
    <xf numFmtId="0" fontId="38" fillId="0" borderId="40" xfId="8" applyFont="1" applyBorder="1" applyAlignment="1">
      <alignment horizontal="center" vertical="center"/>
    </xf>
    <xf numFmtId="0" fontId="39" fillId="4" borderId="40" xfId="8" applyFont="1" applyFill="1" applyBorder="1" applyAlignment="1">
      <alignment horizontal="center" vertical="center"/>
    </xf>
    <xf numFmtId="0" fontId="39" fillId="0" borderId="40" xfId="8" applyFont="1" applyBorder="1" applyAlignment="1">
      <alignment horizontal="center" vertical="center" wrapText="1"/>
    </xf>
    <xf numFmtId="0" fontId="40" fillId="0" borderId="43" xfId="10" applyFont="1" applyBorder="1" applyAlignment="1">
      <alignment horizontal="center" vertical="center" wrapText="1"/>
    </xf>
    <xf numFmtId="0" fontId="41" fillId="0" borderId="0" xfId="1" applyFont="1" applyAlignment="1">
      <alignment vertical="top"/>
    </xf>
    <xf numFmtId="0" fontId="40" fillId="0" borderId="0" xfId="10" applyFont="1" applyAlignment="1">
      <alignment horizontal="left" vertical="center" wrapText="1"/>
    </xf>
    <xf numFmtId="4" fontId="40" fillId="0" borderId="0" xfId="10" applyNumberFormat="1" applyFont="1" applyAlignment="1">
      <alignment horizontal="center" vertical="center" wrapText="1"/>
    </xf>
    <xf numFmtId="4" fontId="41" fillId="0" borderId="0" xfId="1" applyNumberFormat="1" applyFont="1" applyAlignment="1">
      <alignment vertical="top"/>
    </xf>
    <xf numFmtId="4" fontId="40" fillId="0" borderId="0" xfId="10" applyNumberFormat="1" applyFont="1" applyAlignment="1">
      <alignment horizontal="center" wrapText="1"/>
    </xf>
    <xf numFmtId="4" fontId="38" fillId="0" borderId="0" xfId="0" applyNumberFormat="1" applyFont="1"/>
    <xf numFmtId="0" fontId="8" fillId="5" borderId="5" xfId="7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horizontal="center" vertical="center" wrapText="1"/>
    </xf>
    <xf numFmtId="49" fontId="6" fillId="6" borderId="1" xfId="7" applyNumberFormat="1" applyFont="1" applyFill="1" applyBorder="1" applyAlignment="1">
      <alignment horizontal="center" vertical="center"/>
    </xf>
    <xf numFmtId="0" fontId="6" fillId="7" borderId="7" xfId="7" applyFont="1" applyFill="1" applyBorder="1" applyAlignment="1">
      <alignment horizontal="center" vertical="center"/>
    </xf>
    <xf numFmtId="4" fontId="6" fillId="6" borderId="8" xfId="7" applyNumberFormat="1" applyFont="1" applyFill="1" applyBorder="1" applyAlignment="1">
      <alignment horizontal="center" vertical="center"/>
    </xf>
    <xf numFmtId="4" fontId="6" fillId="6" borderId="9" xfId="7" applyNumberFormat="1" applyFont="1" applyFill="1" applyBorder="1" applyAlignment="1">
      <alignment horizontal="center" vertical="center" wrapText="1"/>
    </xf>
    <xf numFmtId="1" fontId="6" fillId="8" borderId="10" xfId="7" applyNumberFormat="1" applyFont="1" applyFill="1" applyBorder="1" applyAlignment="1">
      <alignment horizontal="center" vertical="center" wrapText="1"/>
    </xf>
    <xf numFmtId="1" fontId="6" fillId="8" borderId="11" xfId="7" applyNumberFormat="1" applyFont="1" applyFill="1" applyBorder="1" applyAlignment="1">
      <alignment horizontal="center" vertical="center" wrapText="1"/>
    </xf>
    <xf numFmtId="4" fontId="6" fillId="8" borderId="12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vertical="center" wrapText="1"/>
    </xf>
    <xf numFmtId="4" fontId="6" fillId="8" borderId="13" xfId="7" applyNumberFormat="1" applyFont="1" applyFill="1" applyBorder="1" applyAlignment="1">
      <alignment horizontal="right" vertical="center" wrapText="1"/>
    </xf>
    <xf numFmtId="0" fontId="42" fillId="0" borderId="15" xfId="7" applyFont="1" applyBorder="1" applyAlignment="1">
      <alignment horizontal="center" vertical="center"/>
    </xf>
    <xf numFmtId="49" fontId="7" fillId="0" borderId="14" xfId="7" applyNumberFormat="1" applyFont="1" applyBorder="1" applyAlignment="1">
      <alignment vertical="center"/>
    </xf>
    <xf numFmtId="4" fontId="42" fillId="0" borderId="15" xfId="7" applyNumberFormat="1" applyFont="1" applyBorder="1" applyAlignment="1">
      <alignment horizontal="center" vertical="center"/>
    </xf>
    <xf numFmtId="4" fontId="7" fillId="0" borderId="16" xfId="7" applyNumberFormat="1" applyFont="1" applyBorder="1" applyAlignment="1">
      <alignment horizontal="center" vertical="center"/>
    </xf>
    <xf numFmtId="4" fontId="7" fillId="17" borderId="17" xfId="7" applyNumberFormat="1" applyFont="1" applyFill="1" applyBorder="1" applyAlignment="1">
      <alignment horizontal="center" vertical="center"/>
    </xf>
    <xf numFmtId="4" fontId="7" fillId="0" borderId="17" xfId="7" applyNumberFormat="1" applyFont="1" applyBorder="1" applyAlignment="1">
      <alignment horizontal="center" vertical="center"/>
    </xf>
    <xf numFmtId="4" fontId="7" fillId="0" borderId="4" xfId="7" applyNumberFormat="1" applyFont="1" applyBorder="1" applyAlignment="1">
      <alignment horizontal="center" vertical="center"/>
    </xf>
    <xf numFmtId="1" fontId="6" fillId="9" borderId="18" xfId="7" applyNumberFormat="1" applyFont="1" applyFill="1" applyBorder="1"/>
    <xf numFmtId="1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left"/>
    </xf>
    <xf numFmtId="4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center" vertical="center"/>
    </xf>
    <xf numFmtId="0" fontId="41" fillId="0" borderId="0" xfId="1" applyFont="1" applyAlignment="1">
      <alignment horizontal="center" vertical="top"/>
    </xf>
    <xf numFmtId="4" fontId="9" fillId="18" borderId="0" xfId="0" applyNumberFormat="1" applyFont="1" applyFill="1"/>
    <xf numFmtId="0" fontId="43" fillId="4" borderId="43" xfId="10" applyFont="1" applyFill="1" applyBorder="1" applyAlignment="1">
      <alignment horizontal="left" vertical="center" wrapText="1"/>
    </xf>
    <xf numFmtId="0" fontId="43" fillId="0" borderId="47" xfId="10" applyFont="1" applyBorder="1" applyAlignment="1">
      <alignment horizontal="left" vertical="center" wrapText="1"/>
    </xf>
    <xf numFmtId="0" fontId="43" fillId="4" borderId="48" xfId="10" applyFont="1" applyFill="1" applyBorder="1" applyAlignment="1">
      <alignment horizontal="center" vertical="center" wrapText="1"/>
    </xf>
    <xf numFmtId="0" fontId="43" fillId="4" borderId="43" xfId="10" applyFont="1" applyFill="1" applyBorder="1" applyAlignment="1">
      <alignment horizontal="center" vertical="center" wrapText="1"/>
    </xf>
    <xf numFmtId="4" fontId="44" fillId="0" borderId="43" xfId="10" applyNumberFormat="1" applyFont="1" applyBorder="1" applyAlignment="1">
      <alignment horizontal="center" vertical="center" wrapText="1"/>
    </xf>
    <xf numFmtId="0" fontId="45" fillId="4" borderId="43" xfId="10" applyFont="1" applyFill="1" applyBorder="1" applyAlignment="1">
      <alignment horizontal="center" vertical="center" wrapText="1"/>
    </xf>
    <xf numFmtId="4" fontId="46" fillId="0" borderId="4" xfId="10" applyNumberFormat="1" applyFont="1" applyBorder="1" applyAlignment="1">
      <alignment horizontal="center" wrapText="1"/>
    </xf>
    <xf numFmtId="4" fontId="46" fillId="0" borderId="43" xfId="10" applyNumberFormat="1" applyFont="1" applyBorder="1" applyAlignment="1">
      <alignment horizontal="center" wrapText="1"/>
    </xf>
    <xf numFmtId="0" fontId="43" fillId="18" borderId="43" xfId="10" applyFont="1" applyFill="1" applyBorder="1" applyAlignment="1">
      <alignment horizontal="center" vertical="center" wrapText="1"/>
    </xf>
    <xf numFmtId="0" fontId="43" fillId="20" borderId="43" xfId="10" applyFont="1" applyFill="1" applyBorder="1" applyAlignment="1">
      <alignment horizontal="center" vertical="center" wrapText="1"/>
    </xf>
    <xf numFmtId="0" fontId="43" fillId="0" borderId="43" xfId="10" applyFont="1" applyBorder="1" applyAlignment="1">
      <alignment horizontal="center" vertical="center" wrapText="1"/>
    </xf>
    <xf numFmtId="4" fontId="0" fillId="0" borderId="43" xfId="0" applyNumberFormat="1" applyBorder="1" applyAlignment="1">
      <alignment horizontal="center" vertical="center" wrapText="1"/>
    </xf>
    <xf numFmtId="0" fontId="47" fillId="0" borderId="43" xfId="0" applyFont="1" applyBorder="1" applyAlignment="1">
      <alignment horizontal="center"/>
    </xf>
    <xf numFmtId="0" fontId="47" fillId="0" borderId="43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wrapText="1"/>
    </xf>
    <xf numFmtId="0" fontId="2" fillId="0" borderId="4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4" fillId="0" borderId="43" xfId="10" applyFont="1" applyBorder="1" applyAlignment="1">
      <alignment horizontal="center" vertical="center" wrapText="1"/>
    </xf>
    <xf numFmtId="0" fontId="47" fillId="21" borderId="43" xfId="0" applyFont="1" applyFill="1" applyBorder="1" applyAlignment="1">
      <alignment horizontal="center" vertical="center"/>
    </xf>
    <xf numFmtId="4" fontId="48" fillId="0" borderId="43" xfId="10" applyNumberFormat="1" applyFont="1" applyBorder="1" applyAlignment="1">
      <alignment horizontal="center" vertical="center" wrapText="1"/>
    </xf>
    <xf numFmtId="0" fontId="48" fillId="0" borderId="43" xfId="10" applyFont="1" applyBorder="1" applyAlignment="1">
      <alignment horizontal="center" vertical="center" wrapText="1"/>
    </xf>
    <xf numFmtId="0" fontId="0" fillId="0" borderId="43" xfId="0" applyBorder="1" applyAlignment="1">
      <alignment wrapText="1"/>
    </xf>
    <xf numFmtId="0" fontId="0" fillId="0" borderId="43" xfId="0" applyBorder="1"/>
    <xf numFmtId="0" fontId="40" fillId="12" borderId="43" xfId="10" applyFont="1" applyFill="1" applyBorder="1" applyAlignment="1">
      <alignment horizontal="left" vertical="center" wrapText="1"/>
    </xf>
    <xf numFmtId="4" fontId="6" fillId="17" borderId="43" xfId="1" applyNumberFormat="1" applyFont="1" applyFill="1" applyBorder="1" applyAlignment="1">
      <alignment horizontal="center" vertical="center" wrapText="1"/>
    </xf>
    <xf numFmtId="9" fontId="0" fillId="0" borderId="43" xfId="0" applyNumberFormat="1" applyBorder="1"/>
    <xf numFmtId="0" fontId="40" fillId="12" borderId="43" xfId="10" applyFont="1" applyFill="1" applyBorder="1" applyAlignment="1">
      <alignment horizontal="right" vertical="center" wrapText="1"/>
    </xf>
    <xf numFmtId="4" fontId="6" fillId="0" borderId="43" xfId="1" applyNumberFormat="1" applyFont="1" applyBorder="1" applyAlignment="1">
      <alignment horizontal="right" vertical="center" wrapText="1"/>
    </xf>
    <xf numFmtId="4" fontId="7" fillId="17" borderId="43" xfId="1" applyNumberFormat="1" applyFont="1" applyFill="1" applyBorder="1" applyAlignment="1">
      <alignment horizontal="right" vertical="center" wrapText="1"/>
    </xf>
    <xf numFmtId="0" fontId="0" fillId="0" borderId="43" xfId="0" applyBorder="1" applyAlignment="1">
      <alignment horizontal="right"/>
    </xf>
    <xf numFmtId="4" fontId="0" fillId="0" borderId="43" xfId="0" applyNumberFormat="1" applyBorder="1" applyAlignment="1">
      <alignment horizontal="right"/>
    </xf>
    <xf numFmtId="4" fontId="0" fillId="0" borderId="43" xfId="0" applyNumberFormat="1" applyBorder="1"/>
    <xf numFmtId="0" fontId="0" fillId="0" borderId="43" xfId="0" applyBorder="1" applyAlignment="1">
      <alignment horizontal="right"/>
    </xf>
  </cellXfs>
  <cellStyles count="12"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3" xfId="10" xr:uid="{B67E1512-502F-464B-AC67-7538F30F2EF1}"/>
    <cellStyle name="Обычный 2 4" xfId="7" xr:uid="{3944335D-CAC8-450F-9C52-71AECC0453E1}"/>
    <cellStyle name="Обычный 3" xfId="6" xr:uid="{AE2101D6-F48F-40BB-8EA0-68A2806A1B82}"/>
    <cellStyle name="Обычный_МД ООН_2025" xfId="9" xr:uid="{65501396-BBF2-4F99-B076-F468CCFFFBE5}"/>
    <cellStyle name="Процентный" xfId="11" builtinId="5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твій Бутенко" refreshedDate="46178.612578472224" createdVersion="6" refreshedVersion="8" minRefreshableVersion="3" recordCount="371" xr:uid="{DFE2D331-AC59-4692-AA80-AC524D52DCBE}">
  <cacheSource type="worksheet">
    <worksheetSource ref="A1:O1048576" sheet="Проект СС"/>
  </cacheSource>
  <cacheFields count="15">
    <cacheField name="№_x000a_" numFmtId="0">
      <sharedItems containsBlank="1"/>
    </cacheField>
    <cacheField name="Стаття в ДДС" numFmtId="0">
      <sharedItems containsBlank="1"/>
    </cacheField>
    <cacheField name="Робота/матеріал/додаткові" numFmtId="0">
      <sharedItems containsBlank="1" count="3">
        <m/>
        <s v="Робота"/>
        <s v="Матеріал"/>
      </sharedItems>
    </cacheField>
    <cacheField name="Виробництво/Будівництво" numFmtId="0">
      <sharedItems containsBlank="1"/>
    </cacheField>
    <cacheField name="Тип робіт" numFmtId="0">
      <sharedItems containsBlank="1" count="10">
        <m/>
        <s v="Каркас"/>
        <s v="Отделка"/>
        <s v="Фасад"/>
        <s v="Окна/двери"/>
        <s v="Электрика/Подогрев"/>
        <s v="Сантехника"/>
        <s v="Дополнительная Комплектация"/>
        <s v="Монтаж будинку"/>
        <s v="Загальновиробничі витрати"/>
      </sharedItems>
    </cacheField>
    <cacheField name="№_x000a_з/п" numFmtId="0">
      <sharedItems containsBlank="1"/>
    </cacheField>
    <cacheField name="Найменування робіт/витрат/матеріалів" numFmtId="0">
      <sharedItems containsBlank="1" containsMixedTypes="1" containsNumber="1" containsInteger="1" minValue="1" maxValue="1"/>
    </cacheField>
    <cacheField name="Найменування робіт/витрат/матеріалів узагальнена " numFmtId="0">
      <sharedItems containsBlank="1" containsMixedTypes="1" containsNumber="1" containsInteger="1" minValue="2" maxValue="2"/>
    </cacheField>
    <cacheField name="Од. вим." numFmtId="4">
      <sharedItems containsBlank="1" containsMixedTypes="1" containsNumber="1" minValue="5.0000000000000001E-3" maxValue="3"/>
    </cacheField>
    <cacheField name="Кіль-_x000a_кість" numFmtId="4">
      <sharedItems containsBlank="1" containsMixedTypes="1" containsNumber="1" minValue="0" maxValue="6500"/>
    </cacheField>
    <cacheField name="Вартість робіт за од.виміру, грн. з ПДВ" numFmtId="4">
      <sharedItems containsBlank="1" containsMixedTypes="1" containsNumber="1" containsInteger="1" minValue="5" maxValue="54000"/>
    </cacheField>
    <cacheField name="Вартість матеріалів за од.виміру, грн. з ПДВ" numFmtId="4">
      <sharedItems containsBlank="1" containsMixedTypes="1" containsNumber="1" minValue="0" maxValue="96000"/>
    </cacheField>
    <cacheField name="Вартість робіт за повний обсяг, грн. з ПДВ" numFmtId="4">
      <sharedItems containsBlank="1" containsMixedTypes="1" containsNumber="1" containsInteger="1" minValue="0" maxValue="7"/>
    </cacheField>
    <cacheField name="Вартість матеріалів  за повний обсяг, грн. з ПДВ" numFmtId="4">
      <sharedItems containsBlank="1" containsMixedTypes="1" containsNumber="1" minValue="0" maxValue="277200"/>
    </cacheField>
    <cacheField name="Всього,   грн. з ПДВ" numFmtId="4">
      <sharedItems containsString="0" containsBlank="1" containsNumber="1" minValue="0" maxValue="27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s v="І"/>
    <m/>
    <x v="0"/>
    <m/>
    <x v="0"/>
    <s v="І"/>
    <s v="Каркас"/>
    <m/>
    <m/>
    <n v="0"/>
    <m/>
    <m/>
    <m/>
    <m/>
    <m/>
  </r>
  <r>
    <s v="1.1"/>
    <m/>
    <x v="0"/>
    <m/>
    <x v="0"/>
    <s v="1.1"/>
    <s v="РОБОТА"/>
    <m/>
    <m/>
    <m/>
    <m/>
    <n v="0"/>
    <m/>
    <m/>
    <m/>
  </r>
  <r>
    <s v="1.1.1"/>
    <s v="Зарплата производственного персонала"/>
    <x v="1"/>
    <s v="Виробництво/Будівництво"/>
    <x v="1"/>
    <s v="1.1.1"/>
    <s v="Приймання матеріалу"/>
    <m/>
    <s v="чол/год"/>
    <m/>
    <n v="200"/>
    <m/>
    <n v="0"/>
    <n v="0"/>
    <n v="0"/>
  </r>
  <r>
    <s v="1.1.2"/>
    <s v="Зарплата производственного персонала"/>
    <x v="1"/>
    <s v="Виробництво/Будівництво"/>
    <x v="1"/>
    <s v="1.1.2"/>
    <s v="Обробка матеріалу (дерево)"/>
    <m/>
    <s v="чол/год"/>
    <m/>
    <n v="200"/>
    <m/>
    <n v="0"/>
    <n v="0"/>
    <n v="0"/>
  </r>
  <r>
    <s v="1.1.3"/>
    <s v="Зарплата производственного персонала"/>
    <x v="1"/>
    <s v="Виробництво/Будівництво"/>
    <x v="1"/>
    <s v="1.1.3"/>
    <s v="Нарізання деталей зігдно креслень"/>
    <m/>
    <s v="чол/год"/>
    <m/>
    <n v="200"/>
    <m/>
    <n v="0"/>
    <n v="0"/>
    <n v="0"/>
  </r>
  <r>
    <s v="1.1.4"/>
    <s v="Зарплата производственного персонала"/>
    <x v="1"/>
    <s v="Виробництво/Будівництво"/>
    <x v="1"/>
    <s v="1.1.4"/>
    <s v="Збирання деталей"/>
    <m/>
    <s v="чол/год"/>
    <m/>
    <n v="200"/>
    <m/>
    <n v="0"/>
    <n v="0"/>
    <n v="0"/>
  </r>
  <r>
    <s v="1.1.5"/>
    <s v="Зарплата производственного персонала"/>
    <x v="1"/>
    <s v="Виробництво/Будівництво"/>
    <x v="1"/>
    <s v="1.1.5"/>
    <s v="зварювання (дерево  зєдання)"/>
    <m/>
    <s v="чол/год"/>
    <m/>
    <n v="200"/>
    <m/>
    <n v="0"/>
    <n v="0"/>
    <n v="0"/>
  </r>
  <r>
    <s v="1.1.6"/>
    <s v="Зарплата производственного персонала"/>
    <x v="1"/>
    <s v="Виробництво/Будівництво"/>
    <x v="1"/>
    <s v="1.1.6"/>
    <s v="Влаштування підшиви модуля"/>
    <m/>
    <s v="чол/год"/>
    <m/>
    <n v="200"/>
    <m/>
    <n v="0"/>
    <n v="0"/>
    <n v="0"/>
  </r>
  <r>
    <s v="1.1.7"/>
    <s v="Зарплата производственного персонала"/>
    <x v="1"/>
    <s v="Виробництво/Будівництво"/>
    <x v="1"/>
    <s v="1.1.7"/>
    <s v="Грунтування металокаркасу"/>
    <m/>
    <s v="чол/год"/>
    <m/>
    <n v="200"/>
    <m/>
    <n v="0"/>
    <n v="0"/>
    <n v="0"/>
  </r>
  <r>
    <s v="1.1.8"/>
    <s v="Зарплата производственного персонала"/>
    <x v="1"/>
    <s v="Виробництво/Будівництво"/>
    <x v="1"/>
    <s v="1.1.8"/>
    <s v="Фарубування металокаркасу"/>
    <m/>
    <s v="чол/год"/>
    <m/>
    <n v="200"/>
    <m/>
    <n v="0"/>
    <n v="0"/>
    <n v="0"/>
  </r>
  <r>
    <s v="1.2"/>
    <m/>
    <x v="0"/>
    <m/>
    <x v="0"/>
    <s v="1.2"/>
    <s v="МАТЕРІАЛИ"/>
    <m/>
    <m/>
    <m/>
    <m/>
    <m/>
    <m/>
    <m/>
    <m/>
  </r>
  <r>
    <s v="1.2.1"/>
    <s v="Строительные материалы"/>
    <x v="2"/>
    <s v="Виробництво/Будівництво"/>
    <x v="1"/>
    <s v="1.2.1"/>
    <s v="Труба металева Ст3  100*100*3"/>
    <s v="Профільна труба"/>
    <s v="м.п"/>
    <n v="359"/>
    <m/>
    <n v="441"/>
    <n v="0"/>
    <n v="158319"/>
    <n v="158319"/>
  </r>
  <r>
    <s v="1.2.2"/>
    <s v="Строительные материалы"/>
    <x v="2"/>
    <s v="Виробництво/Будівництво"/>
    <x v="1"/>
    <s v="1.2.2"/>
    <s v="Труба металева Ст3  50*50*2"/>
    <s v="Профільна труба"/>
    <s v="м.п."/>
    <n v="684"/>
    <m/>
    <n v="156"/>
    <n v="0"/>
    <n v="106704"/>
    <n v="106704"/>
  </r>
  <r>
    <s v="1.2.3"/>
    <s v="Строительные материалы"/>
    <x v="2"/>
    <s v="Виробництво/Будівництво"/>
    <x v="1"/>
    <s v="1.2.3"/>
    <s v="Труба металева Ст3  50*25*2"/>
    <s v="Профільна труба"/>
    <s v="м.п"/>
    <n v="384"/>
    <m/>
    <n v="98"/>
    <n v="0"/>
    <n v="37632"/>
    <n v="37632"/>
  </r>
  <r>
    <s v="1.2.4"/>
    <s v="Строительные материалы"/>
    <x v="2"/>
    <s v="Виробництво/Будівництво"/>
    <x v="1"/>
    <s v="1.2.4"/>
    <s v="Лист 4мм"/>
    <s v="лист ГК"/>
    <s v="м2"/>
    <n v="4.5"/>
    <m/>
    <n v="1698"/>
    <n v="0"/>
    <n v="7641"/>
    <n v="7641"/>
  </r>
  <r>
    <s v="1.2.5"/>
    <s v="Строительные материалы"/>
    <x v="2"/>
    <s v="Виробництво/Будівництво"/>
    <x v="1"/>
    <s v="1.2.5"/>
    <s v="Лист 8мм"/>
    <s v="лист ГК"/>
    <s v="м2"/>
    <n v="4.5"/>
    <m/>
    <n v="3356"/>
    <n v="0"/>
    <n v="15102"/>
    <n v="15102"/>
  </r>
  <r>
    <s v="1.2.6"/>
    <s v="Строительные материалы"/>
    <x v="2"/>
    <s v="Виробництво/Будівництво"/>
    <x v="1"/>
    <s v="1.2.6"/>
    <s v="Лист 14мм"/>
    <s v="лист ГК"/>
    <s v="м.кв."/>
    <n v="0.16000000000000003"/>
    <m/>
    <n v="6811"/>
    <n v="0"/>
    <n v="1089.7600000000002"/>
    <n v="1089.7600000000002"/>
  </r>
  <r>
    <s v="1.2.7"/>
    <s v="Строительные материалы"/>
    <x v="2"/>
    <s v="Виробництво/Будівництво"/>
    <x v="1"/>
    <s v="1.2.7"/>
    <s v="Шпилька М48"/>
    <s v="Шпилька"/>
    <s v="м.п."/>
    <n v="18"/>
    <m/>
    <n v="1984"/>
    <n v="0"/>
    <n v="35712"/>
    <n v="35712"/>
  </r>
  <r>
    <s v="1.2.8"/>
    <s v="Строительные материалы"/>
    <x v="2"/>
    <s v="Виробництво/Будівництво"/>
    <x v="1"/>
    <s v="1.2.8"/>
    <s v="Гайка м 48"/>
    <s v="Гайка"/>
    <s v="шт"/>
    <n v="36"/>
    <m/>
    <n v="274"/>
    <n v="0"/>
    <n v="9864"/>
    <n v="9864"/>
  </r>
  <r>
    <s v="1.2.9"/>
    <s v="Строительные материалы"/>
    <x v="2"/>
    <s v="Виробництво/Будівництво"/>
    <x v="1"/>
    <s v="1.2.9"/>
    <s v="Болт м24*200"/>
    <s v="Болт"/>
    <s v="шт"/>
    <n v="32"/>
    <m/>
    <n v="145"/>
    <n v="0"/>
    <n v="4640"/>
    <n v="4640"/>
  </r>
  <r>
    <s v="1.2.10"/>
    <s v="Строительные материалы"/>
    <x v="2"/>
    <s v="Виробництво/Будівництво"/>
    <x v="1"/>
    <s v="1.2.10"/>
    <s v="Гайка м 24"/>
    <s v="Гайка"/>
    <s v="шт"/>
    <n v="32"/>
    <m/>
    <n v="154"/>
    <n v="0"/>
    <n v="4928"/>
    <n v="4928"/>
  </r>
  <r>
    <s v="1.2.11"/>
    <s v="Строительные материалы"/>
    <x v="2"/>
    <s v="Виробництво/Будівництво"/>
    <x v="1"/>
    <s v="1.2.11"/>
    <s v="Болт М16*90"/>
    <s v="Болт"/>
    <s v="шт"/>
    <n v="52"/>
    <m/>
    <n v="98"/>
    <n v="0"/>
    <n v="5096"/>
    <n v="5096"/>
  </r>
  <r>
    <s v="1.2.12"/>
    <s v="Строительные материалы"/>
    <x v="2"/>
    <s v="Виробництво/Будівництво"/>
    <x v="1"/>
    <s v="1.2.12"/>
    <s v="Гайка м 16"/>
    <s v="Гайка"/>
    <s v="шт"/>
    <n v="52"/>
    <m/>
    <n v="4.92"/>
    <n v="0"/>
    <n v="255.84"/>
    <n v="255.84"/>
  </r>
  <r>
    <s v="1.2.13"/>
    <s v="Строительные материалы"/>
    <x v="2"/>
    <s v="Виробництво/Будівництво"/>
    <x v="1"/>
    <s v="1.2.13"/>
    <s v="Шайба М16"/>
    <s v="Шайба"/>
    <s v="шт"/>
    <n v="52"/>
    <m/>
    <n v="3.26"/>
    <n v="0"/>
    <n v="169.51999999999998"/>
    <n v="169.51999999999998"/>
  </r>
  <r>
    <s v="1.2.14"/>
    <s v="Строительные материалы"/>
    <x v="2"/>
    <s v="Виробництво/Будівництво"/>
    <x v="1"/>
    <s v="1.2.14"/>
    <s v="Гровер М16"/>
    <s v="Гровер"/>
    <s v="шт"/>
    <n v="52"/>
    <m/>
    <n v="3.71"/>
    <n v="0"/>
    <n v="192.92"/>
    <n v="192.92"/>
  </r>
  <r>
    <s v="1.2.15"/>
    <s v="Строительные материалы"/>
    <x v="2"/>
    <s v="Виробництво/Будівництво"/>
    <x v="1"/>
    <s v="1.2.15"/>
    <s v="Труба 40*40*3"/>
    <s v="Профільна труба"/>
    <s v="м.п."/>
    <n v="40"/>
    <m/>
    <n v="174"/>
    <n v="0"/>
    <n v="6960"/>
    <n v="6960"/>
  </r>
  <r>
    <s v="1.2.16"/>
    <s v="Строительные материалы"/>
    <x v="2"/>
    <s v="Виробництво/Будівництво"/>
    <x v="1"/>
    <s v="1.2.16"/>
    <s v="Труба 50*25*3"/>
    <s v="Профільна труба"/>
    <s v="м.п."/>
    <n v="9"/>
    <m/>
    <n v="155"/>
    <n v="0"/>
    <n v="1395"/>
    <n v="1395"/>
  </r>
  <r>
    <s v="1.2.17"/>
    <s v="Строительные материалы"/>
    <x v="2"/>
    <s v="Виробництво/Будівництво"/>
    <x v="1"/>
    <s v="1.2.17"/>
    <s v="кутик 32*32 *3"/>
    <s v="Кутики сталеві"/>
    <s v="м.п."/>
    <n v="16"/>
    <m/>
    <n v="49.8"/>
    <n v="0"/>
    <n v="796.8"/>
    <n v="796.8"/>
  </r>
  <r>
    <s v="1.2.18"/>
    <s v="МШП"/>
    <x v="2"/>
    <s v="Виробництво/Будівництво"/>
    <x v="1"/>
    <s v="1.2.18"/>
    <s v="пвл 406 1,25*2,5"/>
    <s v="МШП"/>
    <s v="лист"/>
    <n v="2"/>
    <m/>
    <n v="1697"/>
    <n v="0"/>
    <n v="3394"/>
    <n v="3394"/>
  </r>
  <r>
    <s v="1.2.19"/>
    <s v="МШП"/>
    <x v="2"/>
    <s v="Виробництво/Будівництво"/>
    <x v="1"/>
    <s v="1.2.19"/>
    <s v="Труба 50*50*4"/>
    <s v="Профільна труба"/>
    <s v="м.п."/>
    <n v="3.5"/>
    <m/>
    <n v="281"/>
    <n v="0"/>
    <n v="983.5"/>
    <n v="983.5"/>
  </r>
  <r>
    <s v="1.2.20"/>
    <s v="МШП"/>
    <x v="2"/>
    <s v="Виробництво/Будівництво"/>
    <x v="1"/>
    <s v="1.2.20"/>
    <s v="Болт м12 (60мм)"/>
    <s v="Болт"/>
    <s v="шт"/>
    <n v="30"/>
    <m/>
    <n v="17.920000000000002"/>
    <n v="0"/>
    <n v="537.6"/>
    <n v="537.6"/>
  </r>
  <r>
    <s v="1.2.21"/>
    <s v="МШП"/>
    <x v="2"/>
    <s v="Виробництво/Будівництво"/>
    <x v="1"/>
    <s v="1.2.21"/>
    <s v="Болт м12 (90мм)"/>
    <s v="Болт"/>
    <s v="шт"/>
    <n v="8"/>
    <m/>
    <n v="20.27"/>
    <n v="0"/>
    <n v="162.16"/>
    <n v="162.16"/>
  </r>
  <r>
    <s v="1.2.22"/>
    <s v="МШП"/>
    <x v="2"/>
    <s v="Виробництво/Будівництво"/>
    <x v="1"/>
    <s v="1.2.22"/>
    <s v="Гайки м12 "/>
    <s v="Гайка"/>
    <s v="шт"/>
    <n v="38"/>
    <m/>
    <n v="13.27"/>
    <n v="0"/>
    <n v="504.26"/>
    <n v="504.26"/>
  </r>
  <r>
    <m/>
    <m/>
    <x v="0"/>
    <m/>
    <x v="0"/>
    <s v="1.2.23"/>
    <s v="шайба м12"/>
    <s v="Шайба"/>
    <s v="шт"/>
    <n v="38"/>
    <m/>
    <n v="9.2149999999999999"/>
    <n v="0"/>
    <n v="350.17"/>
    <n v="350.17"/>
  </r>
  <r>
    <m/>
    <m/>
    <x v="0"/>
    <m/>
    <x v="0"/>
    <s v="1.2.24"/>
    <s v="гровер м12"/>
    <s v="Гровер"/>
    <s v="шт"/>
    <n v="40"/>
    <m/>
    <n v="8.36"/>
    <n v="0"/>
    <n v="334.4"/>
    <n v="334.4"/>
  </r>
  <r>
    <m/>
    <m/>
    <x v="0"/>
    <m/>
    <x v="0"/>
    <s v="1.2.25"/>
    <s v="Завіса 16мм"/>
    <s v="Завіса"/>
    <s v="шт"/>
    <n v="8"/>
    <m/>
    <n v="136"/>
    <n v="0"/>
    <n v="1088"/>
    <n v="1088"/>
  </r>
  <r>
    <m/>
    <m/>
    <x v="0"/>
    <m/>
    <x v="0"/>
    <s v="1.2.26"/>
    <s v="Завіса 20мм"/>
    <s v="Завіса"/>
    <s v="шт"/>
    <n v="4"/>
    <m/>
    <n v="154"/>
    <n v="0"/>
    <n v="616"/>
    <n v="616"/>
  </r>
  <r>
    <m/>
    <m/>
    <x v="0"/>
    <m/>
    <x v="0"/>
    <s v="1.2.27"/>
    <s v="Лист 5 мм"/>
    <s v="лист ГК"/>
    <s v="м.кв."/>
    <n v="0.5"/>
    <m/>
    <n v="1959.6"/>
    <n v="0"/>
    <n v="979.8"/>
    <n v="979.8"/>
  </r>
  <r>
    <m/>
    <m/>
    <x v="0"/>
    <m/>
    <x v="0"/>
    <s v="1.2.28"/>
    <s v="Фарба 3 в 1 сіра"/>
    <s v="Фарба"/>
    <s v="кг"/>
    <n v="5"/>
    <m/>
    <n v="216"/>
    <n v="0"/>
    <n v="1080"/>
    <n v="1080"/>
  </r>
  <r>
    <m/>
    <m/>
    <x v="0"/>
    <m/>
    <x v="0"/>
    <s v="1.2.29"/>
    <s v="Розчинник "/>
    <s v="Розчинник"/>
    <s v="л"/>
    <n v="1"/>
    <m/>
    <n v="96"/>
    <n v="0"/>
    <n v="96"/>
    <n v="96"/>
  </r>
  <r>
    <m/>
    <m/>
    <x v="0"/>
    <m/>
    <x v="0"/>
    <s v="1.2.30"/>
    <s v="Труба 40*40*3"/>
    <s v="Профільна труба"/>
    <s v="м.п"/>
    <n v="27.2"/>
    <m/>
    <n v="132"/>
    <n v="0"/>
    <n v="3590.4"/>
    <n v="3590.4"/>
  </r>
  <r>
    <m/>
    <m/>
    <x v="0"/>
    <m/>
    <x v="0"/>
    <s v="1.2.31"/>
    <s v="Труба 20*40*3"/>
    <s v="Профільна труба"/>
    <s v="м.п."/>
    <n v="53"/>
    <m/>
    <n v="97"/>
    <n v="0"/>
    <n v="5141"/>
    <n v="5141"/>
  </r>
  <r>
    <m/>
    <m/>
    <x v="0"/>
    <m/>
    <x v="0"/>
    <s v="1.2.32"/>
    <s v="Лист 4мм"/>
    <s v="лист ГК"/>
    <s v="т"/>
    <n v="1.2999999999999999E-2"/>
    <m/>
    <n v="1698"/>
    <n v="0"/>
    <n v="22.073999999999998"/>
    <n v="22.073999999999998"/>
  </r>
  <r>
    <m/>
    <m/>
    <x v="0"/>
    <m/>
    <x v="0"/>
    <s v="1.2.33"/>
    <s v="Лист 6мм"/>
    <s v="лист ГК"/>
    <s v="т"/>
    <n v="3.1E-2"/>
    <m/>
    <n v="2077"/>
    <n v="0"/>
    <n v="64.387"/>
    <n v="64.387"/>
  </r>
  <r>
    <m/>
    <m/>
    <x v="0"/>
    <m/>
    <x v="0"/>
    <s v="1.2.34"/>
    <s v="Завіси 16 мм круглі"/>
    <s v="Завіса"/>
    <s v="шт"/>
    <n v="4"/>
    <m/>
    <n v="136"/>
    <n v="0"/>
    <n v="544"/>
    <n v="544"/>
  </r>
  <r>
    <m/>
    <m/>
    <x v="0"/>
    <m/>
    <x v="0"/>
    <s v="1.2.35"/>
    <s v="Фарба 3 в 1 "/>
    <s v="Фарба"/>
    <s v="кг"/>
    <n v="2.5"/>
    <m/>
    <n v="216"/>
    <n v="0"/>
    <n v="540"/>
    <n v="540"/>
  </r>
  <r>
    <m/>
    <m/>
    <x v="0"/>
    <m/>
    <x v="0"/>
    <s v="1.2.36"/>
    <s v="Розчинник"/>
    <e v="#N/A"/>
    <s v="л"/>
    <n v="1"/>
    <m/>
    <n v="96"/>
    <n v="0"/>
    <n v="96"/>
    <n v="96"/>
  </r>
  <r>
    <m/>
    <m/>
    <x v="0"/>
    <m/>
    <x v="0"/>
    <s v="1.2.37"/>
    <s v="Пінопласт 100мм"/>
    <s v="Пінопласт"/>
    <s v="м.кв."/>
    <n v="9.6"/>
    <m/>
    <n v="220"/>
    <n v="0"/>
    <n v="2112"/>
    <n v="2112"/>
  </r>
  <r>
    <m/>
    <m/>
    <x v="0"/>
    <m/>
    <x v="0"/>
    <s v="1.2.38"/>
    <s v="Паробарьер"/>
    <s v="Паробар'єр"/>
    <s v="м.кв."/>
    <n v="15"/>
    <m/>
    <n v="13"/>
    <n v="0"/>
    <n v="195"/>
    <n v="195"/>
  </r>
  <r>
    <m/>
    <m/>
    <x v="0"/>
    <m/>
    <x v="0"/>
    <s v="1.2.39"/>
    <s v="Профнастил  ПК 10"/>
    <s v="Профнастил"/>
    <s v="м.кв."/>
    <n v="15"/>
    <m/>
    <n v="267"/>
    <n v="0"/>
    <n v="4005"/>
    <n v="4005"/>
  </r>
  <r>
    <m/>
    <m/>
    <x v="0"/>
    <m/>
    <x v="0"/>
    <s v="1.2.40"/>
    <s v="Гладкий лист  "/>
    <s v="Гладкий лист метал"/>
    <s v="м.кв."/>
    <n v="2.2000000000000002"/>
    <m/>
    <n v="211"/>
    <n v="0"/>
    <n v="464.20000000000005"/>
    <n v="464.20000000000005"/>
  </r>
  <r>
    <m/>
    <m/>
    <x v="0"/>
    <m/>
    <x v="0"/>
    <s v="1.2.41"/>
    <s v="Труба 40*40*3"/>
    <s v="Профільна труба"/>
    <s v="м.п"/>
    <n v="25.6"/>
    <m/>
    <n v="174"/>
    <n v="0"/>
    <n v="4454.4000000000005"/>
    <n v="4454.4000000000005"/>
  </r>
  <r>
    <m/>
    <m/>
    <x v="0"/>
    <m/>
    <x v="0"/>
    <s v="1.2.42"/>
    <s v="Труба 20*40*3"/>
    <s v="Профільна труба"/>
    <s v="м.п."/>
    <n v="30"/>
    <m/>
    <n v="132"/>
    <n v="0"/>
    <n v="3960"/>
    <n v="3960"/>
  </r>
  <r>
    <m/>
    <m/>
    <x v="0"/>
    <m/>
    <x v="0"/>
    <s v="1.2.43"/>
    <s v="Профнастил  ПК 10"/>
    <s v="Профнастил"/>
    <s v="м.кв."/>
    <n v="7.2"/>
    <m/>
    <n v="267"/>
    <n v="0"/>
    <n v="1922.4"/>
    <n v="1922.4"/>
  </r>
  <r>
    <m/>
    <m/>
    <x v="0"/>
    <m/>
    <x v="0"/>
    <s v="1.2.44"/>
    <s v="лист 3 мм"/>
    <s v="лист ГК"/>
    <s v="м.кв."/>
    <n v="0.7"/>
    <m/>
    <n v="1221"/>
    <n v="0"/>
    <n v="854.69999999999993"/>
    <n v="854.69999999999993"/>
  </r>
  <r>
    <m/>
    <m/>
    <x v="0"/>
    <m/>
    <x v="0"/>
    <s v="1.2.45"/>
    <s v="Інформаційний банер зовнішній - 2130х500мм "/>
    <s v="Інформаційний банер"/>
    <s v="шт"/>
    <n v="2"/>
    <m/>
    <n v="5400"/>
    <n v="0"/>
    <n v="10800"/>
    <n v="10800"/>
  </r>
  <r>
    <s v="ІІ"/>
    <m/>
    <x v="0"/>
    <m/>
    <x v="0"/>
    <s v="ІІ"/>
    <s v="Отделка"/>
    <m/>
    <m/>
    <m/>
    <m/>
    <m/>
    <n v="0"/>
    <n v="0"/>
    <n v="0"/>
  </r>
  <r>
    <s v="2.1"/>
    <m/>
    <x v="0"/>
    <m/>
    <x v="0"/>
    <s v="2.1"/>
    <s v="РОБОТА"/>
    <m/>
    <m/>
    <m/>
    <m/>
    <m/>
    <n v="0"/>
    <n v="0"/>
    <n v="0"/>
  </r>
  <r>
    <s v="2.1.1"/>
    <s v="Зарплата производственного персонала"/>
    <x v="1"/>
    <s v="Виробництво/Будівництво"/>
    <x v="2"/>
    <s v="2.1.1"/>
    <s v="Утеплення та гідроізоляція підлоги"/>
    <m/>
    <s v="чол/год"/>
    <m/>
    <n v="200"/>
    <m/>
    <n v="0"/>
    <n v="0"/>
    <n v="0"/>
  </r>
  <r>
    <s v="2.1.2"/>
    <s v="Зарплата производственного персонала"/>
    <x v="1"/>
    <s v="Виробництво/Будівництво"/>
    <x v="2"/>
    <s v="2.1.2"/>
    <s v="Монтаж брусу по каркасу"/>
    <m/>
    <s v="чол/год"/>
    <m/>
    <n v="200"/>
    <m/>
    <n v="0"/>
    <n v="0"/>
    <n v="0"/>
  </r>
  <r>
    <s v="2.1.3"/>
    <s v="Зарплата производственного персонала"/>
    <x v="1"/>
    <s v="Виробництво/Будівництво"/>
    <x v="2"/>
    <s v="2.1.3"/>
    <s v="Пароізоляційна мембрана; "/>
    <m/>
    <s v="чол/год"/>
    <m/>
    <n v="200"/>
    <m/>
    <n v="0"/>
    <n v="0"/>
    <n v="0"/>
  </r>
  <r>
    <s v="2.1.4"/>
    <s v="Зарплата производственного персонала"/>
    <x v="1"/>
    <s v="Виробництво/Будівництво"/>
    <x v="2"/>
    <s v="2.1.4"/>
    <s v="Укладання Настил підлоги "/>
    <m/>
    <s v="чол/год"/>
    <m/>
    <n v="200"/>
    <m/>
    <n v="0"/>
    <n v="0"/>
    <n v="0"/>
  </r>
  <r>
    <s v="2.1.5"/>
    <s v="Зарплата производственного персонала"/>
    <x v="1"/>
    <s v="Виробництво/Будівництво"/>
    <x v="2"/>
    <s v="2.1.5"/>
    <s v="Гідроізоляційна та пароізоляція стін та стелі"/>
    <m/>
    <s v="чол/год"/>
    <m/>
    <n v="200"/>
    <m/>
    <n v="0"/>
    <n v="0"/>
    <n v="0"/>
  </r>
  <r>
    <s v="2.1.6"/>
    <s v="Зарплата производственного персонала"/>
    <x v="1"/>
    <s v="Виробництво/Будівництво"/>
    <x v="2"/>
    <s v="2.1.6"/>
    <s v="Утеплення стеля та стіни"/>
    <m/>
    <s v="чол/год"/>
    <m/>
    <n v="200"/>
    <m/>
    <n v="0"/>
    <n v="0"/>
    <n v="0"/>
  </r>
  <r>
    <s v="2.1.7"/>
    <s v="Зарплата производственного персонала"/>
    <x v="1"/>
    <s v="Виробництво/Будівництво"/>
    <x v="2"/>
    <s v="2.1.7"/>
    <s v="Монтаж фінішного оздоблення"/>
    <m/>
    <s v="чол/год"/>
    <m/>
    <n v="200"/>
    <m/>
    <n v="0"/>
    <n v="0"/>
    <n v="0"/>
  </r>
  <r>
    <s v="2.2"/>
    <m/>
    <x v="0"/>
    <m/>
    <x v="2"/>
    <s v="2.2"/>
    <s v="МАТЕРІАЛИ"/>
    <m/>
    <m/>
    <m/>
    <m/>
    <m/>
    <n v="0"/>
    <n v="0"/>
    <n v="0"/>
  </r>
  <r>
    <s v="2.2.1"/>
    <s v="Строительные материалы"/>
    <x v="2"/>
    <s v="Виробництво/Будівництво"/>
    <x v="2"/>
    <s v="2.2.1"/>
    <s v="Вітробарєр"/>
    <s v="Мембрана"/>
    <s v="м2"/>
    <n v="400"/>
    <m/>
    <n v="13"/>
    <n v="0"/>
    <n v="5200"/>
    <n v="5200"/>
  </r>
  <r>
    <s v="2.2.2"/>
    <s v="Строительные материалы"/>
    <x v="2"/>
    <s v="Виробництво/Будівництво"/>
    <x v="2"/>
    <s v="2.2.2"/>
    <s v="Шуруп універсальний цинк жовтий ПОВНА РІЗЬБА DIN 7997 4,5*45"/>
    <s v="Саморіз"/>
    <s v="шт"/>
    <n v="5000"/>
    <m/>
    <n v="0.47"/>
    <n v="0"/>
    <n v="2350"/>
    <n v="2350"/>
  </r>
  <r>
    <s v="2.2.3"/>
    <s v="Строительные материалы"/>
    <x v="2"/>
    <s v="Виробництво/Будівництво"/>
    <x v="2"/>
    <s v="2.2.3"/>
    <s v="Паро-гідро бар'єр "/>
    <s v="Мембрана"/>
    <s v="м2"/>
    <n v="580"/>
    <m/>
    <n v="13"/>
    <n v="0"/>
    <n v="7540"/>
    <n v="7540"/>
  </r>
  <r>
    <s v="2.2.4"/>
    <s v="Строительные материалы"/>
    <x v="2"/>
    <s v="Виробництво/Будівництво"/>
    <x v="2"/>
    <s v="2.2.4"/>
    <s v="Пінопласт 15 кг/м3 товщина 100 мм "/>
    <s v="Пінопласт"/>
    <s v="м2"/>
    <n v="120"/>
    <m/>
    <n v="220"/>
    <n v="0"/>
    <n v="26400"/>
    <n v="26400"/>
  </r>
  <r>
    <s v="2.2.5"/>
    <s v="Строительные материалы"/>
    <x v="2"/>
    <s v="Виробництво/Будівництво"/>
    <x v="2"/>
    <s v="2.2.5"/>
    <s v="Пінопласт 15 кг/м3 товщина 50 мм "/>
    <s v="Пінопласт"/>
    <s v="м2"/>
    <n v="120"/>
    <m/>
    <n v="118"/>
    <n v="0"/>
    <n v="14160"/>
    <n v="14160"/>
  </r>
  <r>
    <s v="2.2.6"/>
    <s v="Строительные материалы"/>
    <x v="2"/>
    <s v="Виробництво/Будівництво"/>
    <x v="2"/>
    <s v="2.2.6"/>
    <s v="Мінеральна вата щільність 35 кг/м3  (100 мм) "/>
    <s v="мінеральна вата"/>
    <s v="м2"/>
    <n v="230"/>
    <m/>
    <n v="181"/>
    <n v="0"/>
    <n v="41630"/>
    <n v="41630"/>
  </r>
  <r>
    <s v="2.2.7"/>
    <s v="Строительные материалы"/>
    <x v="2"/>
    <s v="Виробництво/Будівництво"/>
    <x v="2"/>
    <s v="2.2.7"/>
    <s v="Мінеральна вата щільність 35 кг/м3  (50 мм) "/>
    <s v="мінеральна вата"/>
    <s v="м2"/>
    <n v="560"/>
    <m/>
    <n v="90.5"/>
    <n v="0"/>
    <n v="50680"/>
    <n v="50680"/>
  </r>
  <r>
    <s v="2.2.8"/>
    <s v="Строительные материалы"/>
    <x v="2"/>
    <s v="Виробництво/Будівництво"/>
    <x v="2"/>
    <s v="2.2.8"/>
    <s v="ЦСП панель 20 мм 3,2*1,2"/>
    <s v="Плита ЦСП"/>
    <s v="шт"/>
    <n v="36"/>
    <m/>
    <n v="7700"/>
    <n v="0"/>
    <n v="277200"/>
    <n v="277200"/>
  </r>
  <r>
    <s v="2.2.9"/>
    <s v="Строительные материалы"/>
    <x v="2"/>
    <s v="Виробництво/Будівництво"/>
    <x v="2"/>
    <s v="2.2.9"/>
    <s v="Лінолеум сірий комерційний"/>
    <s v="Лінолеум"/>
    <s v="м2"/>
    <n v="160"/>
    <m/>
    <n v="478"/>
    <n v="0"/>
    <n v="76480"/>
    <n v="76480"/>
  </r>
  <r>
    <s v="2.2.10"/>
    <s v="Строительные материалы"/>
    <x v="2"/>
    <s v="Виробництво/Будівництво"/>
    <x v="2"/>
    <s v="2.2.10"/>
    <s v="Клей для лінолеума "/>
    <s v="Клей для лінолеума"/>
    <s v="кг"/>
    <n v="25"/>
    <m/>
    <n v="393"/>
    <n v="0"/>
    <n v="9825"/>
    <n v="9825"/>
  </r>
  <r>
    <s v="2.2.11"/>
    <s v="Строительные материалы"/>
    <x v="2"/>
    <s v="Виробництво/Будівництво"/>
    <x v="2"/>
    <s v="2.2.11"/>
    <s v="Фарба 3 в 1 сіра"/>
    <s v="Фарба"/>
    <s v="кг"/>
    <n v="70"/>
    <m/>
    <n v="216"/>
    <n v="0"/>
    <n v="15120"/>
    <n v="15120"/>
  </r>
  <r>
    <s v="2.2.12"/>
    <s v="Строительные материалы"/>
    <x v="2"/>
    <s v="Виробництво/Будівництво"/>
    <x v="2"/>
    <s v="2.2.12"/>
    <s v="Оцинкована решітка 1000х1000"/>
    <s v="Оцинкована решітка"/>
    <s v="шт"/>
    <n v="1"/>
    <m/>
    <n v="6340"/>
    <n v="0"/>
    <n v="6340"/>
    <n v="6340"/>
  </r>
  <r>
    <s v="2.2.13"/>
    <s v="Строительные материалы"/>
    <x v="2"/>
    <s v="Виробництво/Будівництво"/>
    <x v="2"/>
    <s v="2.2.13"/>
    <s v="Порожек алюміній (оконтовка навколо решітки)"/>
    <s v="Порожек алюмінієвий"/>
    <s v="м.п"/>
    <n v="4"/>
    <m/>
    <n v="786"/>
    <n v="0"/>
    <n v="3144"/>
    <n v="3144"/>
  </r>
  <r>
    <s v="2.2.14"/>
    <s v="Строительные материалы"/>
    <x v="2"/>
    <s v="Виробництво/Будівництво"/>
    <x v="2"/>
    <s v="2.2.14"/>
    <s v="Шуруп універсальний цинк жов т0ий ЧАСТКОВА РІЗЬБА DIN 7997 5*70"/>
    <s v="Саморіз"/>
    <s v="шт"/>
    <n v="6000"/>
    <m/>
    <n v="0.57999999999999996"/>
    <n v="0"/>
    <n v="3479.9999999999995"/>
    <n v="3479.9999999999995"/>
  </r>
  <r>
    <s v="2.2.15"/>
    <s v="Строительные материалы"/>
    <x v="2"/>
    <s v="Виробництво/Будівництво"/>
    <x v="2"/>
    <s v="2.2.15"/>
    <s v="Саморіз по металу з посиленим сверлом до 12 мм 5,5*70"/>
    <s v="Саморіз"/>
    <s v="шт"/>
    <n v="6000"/>
    <m/>
    <n v="0.73"/>
    <n v="0"/>
    <n v="4380"/>
    <n v="4380"/>
  </r>
  <r>
    <s v="2.2.16"/>
    <s v="Строительные материалы"/>
    <x v="2"/>
    <s v="Виробництво/Будівництво"/>
    <x v="2"/>
    <s v="2.2.16"/>
    <s v="Саморіз  чорний 25 мм для дерева"/>
    <s v="Саморіз"/>
    <s v="шт"/>
    <n v="6500"/>
    <m/>
    <n v="0.26"/>
    <n v="0"/>
    <n v="1690"/>
    <n v="1690"/>
  </r>
  <r>
    <s v="2.2.17"/>
    <s v="Строительные материалы"/>
    <x v="2"/>
    <s v="Виробництво/Будівництво"/>
    <x v="2"/>
    <s v="2.2.17"/>
    <s v="Саморіз покрівельний з шайбою EPDM зі сверлом по дереву ФАРБОВАНИЙ RAL 9003 4,8*50"/>
    <s v="Саморіз"/>
    <s v="шт"/>
    <n v="5000"/>
    <m/>
    <n v="1.86"/>
    <n v="0"/>
    <n v="9300"/>
    <n v="9300"/>
  </r>
  <r>
    <s v="2.2.18"/>
    <s v="Строительные материалы"/>
    <x v="2"/>
    <s v="Виробництво/Будівництво"/>
    <x v="2"/>
    <s v="2.2.18"/>
    <s v="Гвинт самонарізний з прес-шайбою по металу гострий 4,2*19"/>
    <s v="Гвинт"/>
    <s v="шт"/>
    <n v="1200"/>
    <m/>
    <n v="1.23"/>
    <n v="0"/>
    <n v="1476"/>
    <n v="1476"/>
  </r>
  <r>
    <s v="2.2.19"/>
    <s v="Строительные материалы"/>
    <x v="2"/>
    <s v="Виробництво/Будівництво"/>
    <x v="2"/>
    <s v="2.2.19"/>
    <s v="Гвинт самонарізний з прес-шайбою по металу зі свердлом  ФАРБОВАНИЙ RAL 9003 4,2*16"/>
    <s v="Гвинт"/>
    <s v="шт"/>
    <n v="180"/>
    <m/>
    <n v="0.33"/>
    <n v="0"/>
    <n v="59.400000000000006"/>
    <n v="59.400000000000006"/>
  </r>
  <r>
    <s v="2.2.20"/>
    <s v="Строительные материалы"/>
    <x v="2"/>
    <s v="Виробництво/Будівництво"/>
    <x v="2"/>
    <s v="2.2.20"/>
    <s v="Шуруп універсальний  з пером по металу  ЧАСТКОВА РІЗЬБА  5,5*90"/>
    <s v="Саморіз"/>
    <s v="шт"/>
    <n v="300"/>
    <m/>
    <n v="0.93"/>
    <n v="0"/>
    <n v="279"/>
    <n v="279"/>
  </r>
  <r>
    <s v="2.2.21"/>
    <s v="Строительные материалы"/>
    <x v="2"/>
    <s v="Виробництво/Будівництво"/>
    <x v="2"/>
    <s v="2.2.21"/>
    <s v="Брус 50*50 сосна стругана "/>
    <s v="Брус"/>
    <s v="м.п"/>
    <n v="1900"/>
    <m/>
    <n v="57"/>
    <n v="0"/>
    <n v="108300"/>
    <n v="108300"/>
  </r>
  <r>
    <m/>
    <m/>
    <x v="0"/>
    <m/>
    <x v="0"/>
    <s v="2.2.22"/>
    <s v="Дошка 20*100 "/>
    <s v="Дошка"/>
    <s v="м.п"/>
    <n v="302"/>
    <m/>
    <n v="33"/>
    <n v="0"/>
    <n v="9966"/>
    <n v="9966"/>
  </r>
  <r>
    <m/>
    <m/>
    <x v="0"/>
    <m/>
    <x v="0"/>
    <s v="2.2.23"/>
    <s v="Страж (оброблення деревини)"/>
    <s v="Вогнезахист"/>
    <s v="кг"/>
    <n v="15"/>
    <m/>
    <n v="167"/>
    <n v="0"/>
    <n v="2505"/>
    <n v="2505"/>
  </r>
  <r>
    <m/>
    <m/>
    <x v="0"/>
    <m/>
    <x v="0"/>
    <s v="2.2.24"/>
    <s v="ОСБ плита 10 мм 1250*2500"/>
    <s v="Плита ОСБ"/>
    <s v="шт"/>
    <n v="202"/>
    <m/>
    <n v="690"/>
    <n v="0"/>
    <n v="139380"/>
    <n v="139380"/>
  </r>
  <r>
    <m/>
    <m/>
    <x v="0"/>
    <m/>
    <x v="0"/>
    <s v="2.2.25"/>
    <s v="Дверцята ревізійні пластикові DOMOVENT Л 100x100 "/>
    <s v="Дверцята ревізійні"/>
    <s v="шт"/>
    <n v="46"/>
    <m/>
    <n v="51"/>
    <n v="0"/>
    <n v="2346"/>
    <n v="2346"/>
  </r>
  <r>
    <m/>
    <m/>
    <x v="0"/>
    <m/>
    <x v="0"/>
    <s v="2.2.26"/>
    <s v="Герметик акриловий латексний білий"/>
    <s v="Герметик"/>
    <s v="шт"/>
    <n v="16"/>
    <m/>
    <n v="146"/>
    <n v="0"/>
    <n v="2336"/>
    <n v="2336"/>
  </r>
  <r>
    <m/>
    <m/>
    <x v="0"/>
    <m/>
    <x v="0"/>
    <s v="2.2.27"/>
    <s v="Клей монтажнй білий"/>
    <s v="Клей"/>
    <s v="шт"/>
    <n v="12"/>
    <m/>
    <n v="204"/>
    <n v="0"/>
    <n v="2448"/>
    <n v="2448"/>
  </r>
  <r>
    <m/>
    <m/>
    <x v="0"/>
    <m/>
    <x v="0"/>
    <s v="2.2.28"/>
    <s v="Теплий відкос"/>
    <s v="Теплий відкос"/>
    <s v="лист"/>
    <n v="5"/>
    <m/>
    <n v="1670"/>
    <n v="0"/>
    <n v="8350"/>
    <n v="8350"/>
  </r>
  <r>
    <m/>
    <m/>
    <x v="0"/>
    <m/>
    <x v="0"/>
    <s v="2.2.29"/>
    <s v="Лінолеум стіновий білий "/>
    <s v="Лінолеум"/>
    <s v="м2"/>
    <n v="316"/>
    <m/>
    <n v="456"/>
    <n v="0"/>
    <n v="144096"/>
    <n v="144096"/>
  </r>
  <r>
    <m/>
    <m/>
    <x v="0"/>
    <m/>
    <x v="0"/>
    <s v="2.2.30"/>
    <s v="Кутики білі 30*30 мм 2,7м"/>
    <s v="Кутики пластикові"/>
    <s v="шт"/>
    <n v="36"/>
    <m/>
    <n v="46"/>
    <n v="0"/>
    <n v="1656"/>
    <n v="1656"/>
  </r>
  <r>
    <m/>
    <m/>
    <x v="0"/>
    <m/>
    <x v="0"/>
    <s v="2.2.31"/>
    <s v="Кутики білі 50*50 мм 2,7м"/>
    <s v="Кутики пластикові"/>
    <s v="шт"/>
    <n v="42"/>
    <m/>
    <n v="57"/>
    <n v="0"/>
    <n v="2394"/>
    <n v="2394"/>
  </r>
  <r>
    <m/>
    <m/>
    <x v="0"/>
    <m/>
    <x v="0"/>
    <s v="2.2.32"/>
    <s v="Піна клей"/>
    <s v="Піна клей"/>
    <s v="шт"/>
    <n v="10"/>
    <m/>
    <n v="250"/>
    <n v="0"/>
    <n v="2500"/>
    <n v="2500"/>
  </r>
  <r>
    <m/>
    <m/>
    <x v="0"/>
    <m/>
    <x v="0"/>
    <s v="2.2.33"/>
    <s v="ПВХ вагонка 8мм товщина 250 мм ширина без шовна біла"/>
    <s v="ПВХ вагонка"/>
    <s v="м2"/>
    <n v="150"/>
    <m/>
    <n v="246"/>
    <n v="0"/>
    <n v="36900"/>
    <n v="36900"/>
  </r>
  <r>
    <m/>
    <m/>
    <x v="0"/>
    <m/>
    <x v="0"/>
    <s v="2.2.34"/>
    <s v="Лента К2 ширина 150 мм"/>
    <s v="Лента"/>
    <s v="м.п."/>
    <n v="80"/>
    <m/>
    <n v="43"/>
    <n v="0"/>
    <n v="3440"/>
    <n v="3440"/>
  </r>
  <r>
    <m/>
    <m/>
    <x v="0"/>
    <m/>
    <x v="0"/>
    <s v="2.2.35"/>
    <s v="Плінтус на підлогу висота 100 мм"/>
    <s v="Плінтус"/>
    <s v="м.п"/>
    <n v="180"/>
    <m/>
    <n v="72"/>
    <n v="0"/>
    <n v="12960"/>
    <n v="12960"/>
  </r>
  <r>
    <s v="ІІІ"/>
    <m/>
    <x v="0"/>
    <m/>
    <x v="0"/>
    <s v="ІІІ"/>
    <s v="Фасад"/>
    <s v="Фасад"/>
    <m/>
    <m/>
    <m/>
    <m/>
    <n v="0"/>
    <n v="0"/>
    <n v="0"/>
  </r>
  <r>
    <s v="3.1"/>
    <m/>
    <x v="0"/>
    <m/>
    <x v="0"/>
    <s v="3.1"/>
    <s v="РОБОТА"/>
    <m/>
    <m/>
    <m/>
    <m/>
    <m/>
    <n v="0"/>
    <n v="0"/>
    <n v="0"/>
  </r>
  <r>
    <s v="3.1.1"/>
    <s v="Зарплата производственного персонала"/>
    <x v="1"/>
    <s v="Виробництво/Будівництво"/>
    <x v="3"/>
    <s v="3.1.1"/>
    <s v="монтаж обрешітки по  каркасу"/>
    <m/>
    <s v="чол/год"/>
    <m/>
    <n v="200"/>
    <m/>
    <n v="0"/>
    <n v="0"/>
    <n v="0"/>
  </r>
  <r>
    <s v="3.1.2"/>
    <s v="Зарплата производственного персонала"/>
    <x v="1"/>
    <s v="Виробництво/Будівництво"/>
    <x v="3"/>
    <s v="3.1.2"/>
    <s v="Гідроізоляційна плівка "/>
    <m/>
    <s v="чол/год"/>
    <m/>
    <n v="200"/>
    <m/>
    <n v="0"/>
    <n v="0"/>
    <n v="0"/>
  </r>
  <r>
    <s v="3.1.3"/>
    <s v="Зарплата производственного персонала"/>
    <x v="1"/>
    <s v="Виробництво/Будівництво"/>
    <x v="3"/>
    <s v="3.1.3"/>
    <s v="монтаж фасаду та покрівлі"/>
    <m/>
    <s v="чол/год"/>
    <m/>
    <n v="200"/>
    <m/>
    <n v="0"/>
    <n v="0"/>
    <n v="0"/>
  </r>
  <r>
    <s v="3.1"/>
    <m/>
    <x v="0"/>
    <m/>
    <x v="3"/>
    <s v="3.1"/>
    <s v="МАТЕРІАЛИ"/>
    <m/>
    <m/>
    <m/>
    <m/>
    <m/>
    <n v="0"/>
    <n v="0"/>
    <n v="0"/>
  </r>
  <r>
    <s v="3.1.1"/>
    <s v="Строительные материалы"/>
    <x v="2"/>
    <s v="Виробництво/Будівництво"/>
    <x v="3"/>
    <s v="3.1.1"/>
    <s v="Порфлист ПК 20  довжина 6070 мм Покрівля РАЛ 9003"/>
    <s v="Профнастил"/>
    <s v="м.кв."/>
    <n v="145.68"/>
    <m/>
    <n v="263"/>
    <n v="0"/>
    <n v="38313.840000000004"/>
    <n v="38313.840000000004"/>
  </r>
  <r>
    <s v="3.1.2"/>
    <s v="Строительные материалы"/>
    <x v="2"/>
    <s v="Виробництво/Будівництво"/>
    <x v="3"/>
    <s v="3.1.2"/>
    <s v="Порфлист ПК 10  довжина 2450 Стіни РАЛ 9003"/>
    <s v="Профнастил"/>
    <s v="м.кв."/>
    <n v="75"/>
    <m/>
    <n v="261"/>
    <n v="0"/>
    <n v="19575"/>
    <n v="19575"/>
  </r>
  <r>
    <s v="3.1.3"/>
    <s v="Строительные материалы"/>
    <x v="2"/>
    <s v="Виробництво/Будівництво"/>
    <x v="3"/>
    <s v="3.1.3"/>
    <s v="Порфлист ПК 10   Довжина  3100 мм Стіни   РАЛ 9003"/>
    <s v="Профнастил"/>
    <s v="м.кв."/>
    <n v="59.519999999999996"/>
    <m/>
    <n v="261"/>
    <n v="0"/>
    <n v="15534.72"/>
    <n v="15534.72"/>
  </r>
  <r>
    <m/>
    <m/>
    <x v="0"/>
    <m/>
    <x v="0"/>
    <s v="3.1.4"/>
    <s v="Гладкий былий РАЛ 9003 довжина 2800 "/>
    <s v="Гладкий лист метал"/>
    <s v="м.кв."/>
    <n v="73.5"/>
    <m/>
    <n v="249"/>
    <n v="0"/>
    <n v="18301.5"/>
    <n v="18301.5"/>
  </r>
  <r>
    <s v="3.1.4"/>
    <s v="Строительные материалы"/>
    <x v="2"/>
    <s v="Виробництво/Будівництво"/>
    <x v="3"/>
    <s v="3.1.5"/>
    <s v="Порфлист ПК 8 довжина 2450мм (підшивка дна модуля)"/>
    <s v="Профнастил"/>
    <s v="м.кв."/>
    <n v="132"/>
    <m/>
    <n v="260"/>
    <n v="0"/>
    <n v="34320"/>
    <n v="34320"/>
  </r>
  <r>
    <s v="3.1.7"/>
    <s v="МШП"/>
    <x v="2"/>
    <s v="Виробництво/Будівництво"/>
    <x v="3"/>
    <s v="3.1.6"/>
    <m/>
    <m/>
    <m/>
    <m/>
    <m/>
    <m/>
    <m/>
    <m/>
    <m/>
  </r>
  <r>
    <s v="IV"/>
    <m/>
    <x v="0"/>
    <m/>
    <x v="0"/>
    <s v="IV"/>
    <s v="Вікна/двері"/>
    <s v="Вікна"/>
    <m/>
    <m/>
    <m/>
    <m/>
    <n v="0"/>
    <n v="0"/>
    <n v="0"/>
  </r>
  <r>
    <s v="4.1"/>
    <m/>
    <x v="0"/>
    <m/>
    <x v="0"/>
    <s v="4.1"/>
    <s v="РОБОТА"/>
    <m/>
    <m/>
    <m/>
    <m/>
    <m/>
    <n v="0"/>
    <n v="0"/>
    <n v="0"/>
  </r>
  <r>
    <s v="4.1.1"/>
    <s v="Зарплата производственного персонала"/>
    <x v="1"/>
    <s v="Виробництво/Будівництво"/>
    <x v="4"/>
    <s v="4.1.1"/>
    <s v="монтаж  вікон "/>
    <m/>
    <s v="чол/год"/>
    <m/>
    <n v="200"/>
    <m/>
    <n v="0"/>
    <n v="0"/>
    <n v="0"/>
  </r>
  <r>
    <s v="4.1.2"/>
    <s v="Зарплата производственного персонала"/>
    <x v="1"/>
    <s v="Виробництво/Будівництво"/>
    <x v="4"/>
    <s v="4.1.2"/>
    <s v="монтаж вхідних  дверей"/>
    <m/>
    <s v="чол/год"/>
    <m/>
    <n v="200"/>
    <m/>
    <n v="0"/>
    <n v="0"/>
    <n v="0"/>
  </r>
  <r>
    <s v="4.1.3"/>
    <s v="Зарплата производственного персонала"/>
    <x v="1"/>
    <s v="Виробництво/Будівництво"/>
    <x v="4"/>
    <s v="4.1.3"/>
    <s v="монтаж  мдф дверей"/>
    <m/>
    <s v="чол/год"/>
    <m/>
    <n v="200"/>
    <m/>
    <n v="0"/>
    <n v="0"/>
    <n v="0"/>
  </r>
  <r>
    <s v="4.1.4"/>
    <s v="Зарплата производственного персонала"/>
    <x v="1"/>
    <s v="Виробництво/Будівництво"/>
    <x v="4"/>
    <s v="4.1.4"/>
    <s v="монтаж  металопластикових  дврей"/>
    <m/>
    <s v="чол/год"/>
    <m/>
    <n v="200"/>
    <m/>
    <n v="0"/>
    <n v="0"/>
    <n v="0"/>
  </r>
  <r>
    <s v="4.2"/>
    <m/>
    <x v="0"/>
    <m/>
    <x v="0"/>
    <s v="4.2"/>
    <s v="МАТЕРІАЛИ"/>
    <m/>
    <m/>
    <m/>
    <m/>
    <m/>
    <n v="0"/>
    <n v="0"/>
    <n v="0"/>
  </r>
  <r>
    <s v="4.2.1"/>
    <s v="Строительные материалы"/>
    <x v="2"/>
    <s v="Виробництво/Будівництво"/>
    <x v="4"/>
    <s v="4.2.1"/>
    <s v="Вікно 1200х500 мм ( розмір готового виробу)"/>
    <s v="Вікно металопластикове"/>
    <s v="шт"/>
    <n v="6"/>
    <m/>
    <n v="3907.85"/>
    <n v="0"/>
    <n v="23447.1"/>
    <n v="23447.1"/>
  </r>
  <r>
    <s v="4.2.2"/>
    <s v="Строительные материалы"/>
    <x v="2"/>
    <s v="Виробництво/Будівництво"/>
    <x v="4"/>
    <s v="4.2.2"/>
    <s v="Вікно 1200х1200 мм ( розмір готового виробу)"/>
    <s v="Вікно металопластикове"/>
    <s v="шт"/>
    <n v="3"/>
    <m/>
    <n v="7899.57"/>
    <n v="0"/>
    <n v="23698.71"/>
    <n v="23698.71"/>
  </r>
  <r>
    <s v="4.2.3"/>
    <s v="Строительные материалы"/>
    <x v="2"/>
    <s v="Виробництво/Будівництво"/>
    <x v="4"/>
    <s v="4.2.3"/>
    <s v="Двері вхідні металеві 900х2000 мм (3 шт праві/ 1 шт ліві) Розмір проєму"/>
    <s v="Вхідні двері металеві"/>
    <s v="шт"/>
    <n v="4"/>
    <m/>
    <n v="11788.2"/>
    <n v="0"/>
    <n v="47152.800000000003"/>
    <n v="47152.800000000003"/>
  </r>
  <r>
    <s v="4.2.4"/>
    <s v="Строительные материалы"/>
    <x v="2"/>
    <s v="Виробництво/Будівництво"/>
    <x v="4"/>
    <s v="4.2.4"/>
    <s v="Двері міжкімнатні М/П 800х2000 мм (праві) ( розмір готового виробу)"/>
    <s v="Внутрішні двері металопластикові"/>
    <s v="шт"/>
    <n v="4"/>
    <m/>
    <n v="8459.9599999999991"/>
    <n v="0"/>
    <n v="33839.839999999997"/>
    <n v="33839.839999999997"/>
  </r>
  <r>
    <s v="4.2.5"/>
    <s v="Строительные материалы"/>
    <x v="2"/>
    <s v="Виробництво/Будівництво"/>
    <x v="4"/>
    <s v="4.2.5"/>
    <s v="Вікно металопластик ліве відкривання 870*1140 з плівка на скло "/>
    <s v="Вікно металопластикове"/>
    <s v="шт"/>
    <n v="3"/>
    <m/>
    <n v="5604.86"/>
    <n v="0"/>
    <n v="16814.579999999998"/>
    <n v="16814.579999999998"/>
  </r>
  <r>
    <m/>
    <m/>
    <x v="0"/>
    <m/>
    <x v="0"/>
    <s v="4.2.6"/>
    <s v="Вікно металопластик праве відкрив  870*1140 з плівка на скло "/>
    <s v="Вікно металопластикове"/>
    <s v="шт"/>
    <n v="4"/>
    <m/>
    <n v="5604.86"/>
    <n v="0"/>
    <n v="22419.439999999999"/>
    <n v="22419.439999999999"/>
  </r>
  <r>
    <m/>
    <m/>
    <x v="0"/>
    <m/>
    <x v="0"/>
    <s v="4.2.7"/>
    <s v="Вікно металопластик ліве відкрив 570*570 з плівка на скло "/>
    <s v="Вікно металопластикове"/>
    <s v="шт"/>
    <n v="1"/>
    <m/>
    <n v="3940.13"/>
    <n v="0"/>
    <n v="3940.13"/>
    <n v="3940.13"/>
  </r>
  <r>
    <m/>
    <m/>
    <x v="0"/>
    <m/>
    <x v="0"/>
    <s v="4.2.8"/>
    <s v="Вікно металопластик праве відкрив 570*570 з плівка на скло "/>
    <s v="Вікно металопластикове"/>
    <s v="шт"/>
    <n v="2"/>
    <m/>
    <n v="3940.13"/>
    <n v="0"/>
    <n v="7880.26"/>
    <n v="7880.26"/>
  </r>
  <r>
    <m/>
    <m/>
    <x v="0"/>
    <m/>
    <x v="0"/>
    <s v="4.2.9"/>
    <s v="Вхідні двері металеві 1120*2070 ліві з квадратним віконцем"/>
    <s v="Вхідні двері металеві"/>
    <s v="шт"/>
    <n v="1"/>
    <m/>
    <n v="19600"/>
    <n v="0"/>
    <n v="19600"/>
    <n v="19600"/>
  </r>
  <r>
    <m/>
    <m/>
    <x v="0"/>
    <m/>
    <x v="0"/>
    <s v="4.2.10"/>
    <s v="Вхідні двері металопластткові  870*2070 праві "/>
    <s v="Вхідні двері металопластикові"/>
    <s v="шт"/>
    <n v="1"/>
    <m/>
    <n v="12557"/>
    <n v="0"/>
    <n v="12557"/>
    <n v="12557"/>
  </r>
  <r>
    <m/>
    <m/>
    <x v="0"/>
    <m/>
    <x v="0"/>
    <s v="4.2.11"/>
    <s v="Двері металопластткові засклені  1120*2070 праві"/>
    <s v="Внутрішні двері металопластикові"/>
    <s v="шт"/>
    <n v="3"/>
    <m/>
    <n v="15143.33"/>
    <n v="0"/>
    <n v="45429.99"/>
    <n v="45429.99"/>
  </r>
  <r>
    <m/>
    <m/>
    <x v="0"/>
    <m/>
    <x v="0"/>
    <s v="4.2.12"/>
    <s v="Двері металопластткові глухі з вент прорізами  920*2070 ліві"/>
    <s v="Внутрішні двері металопластикові"/>
    <s v="шт"/>
    <n v="3"/>
    <m/>
    <n v="13095.36"/>
    <n v="0"/>
    <n v="39286.080000000002"/>
    <n v="39286.080000000002"/>
  </r>
  <r>
    <m/>
    <m/>
    <x v="0"/>
    <m/>
    <x v="0"/>
    <s v="4.2.13"/>
    <s v="Двері металопластткові 1020*2070 ліві"/>
    <s v="Внутрішні двері металопластикові"/>
    <s v="шт"/>
    <n v="3"/>
    <m/>
    <n v="13275.92"/>
    <n v="0"/>
    <n v="39827.760000000002"/>
    <n v="39827.760000000002"/>
  </r>
  <r>
    <m/>
    <m/>
    <x v="0"/>
    <m/>
    <x v="0"/>
    <s v="4.2.14"/>
    <s v="Двері металопластткові 1020*2070 праві"/>
    <s v="Внутрішні двері металопластикові"/>
    <s v="шт"/>
    <n v="1"/>
    <m/>
    <n v="13275.92"/>
    <n v="0"/>
    <n v="13275.92"/>
    <n v="13275.92"/>
  </r>
  <r>
    <m/>
    <m/>
    <x v="0"/>
    <m/>
    <x v="0"/>
    <s v="4.2.15"/>
    <s v="Двері металопластткові 920*2070 праве "/>
    <s v="Внутрішні двері металопластикові"/>
    <s v="шт"/>
    <n v="1"/>
    <m/>
    <n v="12797.15"/>
    <n v="0"/>
    <n v="12797.15"/>
    <n v="12797.15"/>
  </r>
  <r>
    <m/>
    <m/>
    <x v="0"/>
    <m/>
    <x v="0"/>
    <s v="4.2.16"/>
    <s v="Двері металопластткові 920*2070 ліві"/>
    <s v="Внутрішні двері металопластикові"/>
    <s v="шт"/>
    <n v="2"/>
    <m/>
    <n v="12796.98"/>
    <n v="0"/>
    <n v="25593.96"/>
    <n v="25593.96"/>
  </r>
  <r>
    <s v="V"/>
    <m/>
    <x v="0"/>
    <m/>
    <x v="0"/>
    <s v="V"/>
    <s v="Электрика/Подогрев"/>
    <s v="Электрика"/>
    <m/>
    <m/>
    <m/>
    <m/>
    <n v="0"/>
    <n v="0"/>
    <n v="0"/>
  </r>
  <r>
    <s v="5.1"/>
    <m/>
    <x v="0"/>
    <m/>
    <x v="0"/>
    <s v="5.1"/>
    <s v="РОБОТА"/>
    <m/>
    <m/>
    <m/>
    <m/>
    <m/>
    <n v="0"/>
    <n v="0"/>
    <n v="0"/>
  </r>
  <r>
    <s v="5.1.1"/>
    <s v="Зарплата производственного персонала"/>
    <x v="1"/>
    <s v="Виробництво/Будівництво"/>
    <x v="5"/>
    <s v="5.1.1"/>
    <s v="монтаж електрокабеля"/>
    <m/>
    <s v="чол/год"/>
    <m/>
    <n v="15000"/>
    <m/>
    <n v="0"/>
    <n v="0"/>
    <n v="0"/>
  </r>
  <r>
    <s v="5.1.2"/>
    <s v="Зарплата производственного персонала"/>
    <x v="1"/>
    <s v="Виробництво/Будівництво"/>
    <x v="5"/>
    <s v="5.1.2"/>
    <s v="монтаж електрофурнітури"/>
    <m/>
    <s v="чол/год"/>
    <m/>
    <n v="15000"/>
    <m/>
    <n v="0"/>
    <n v="0"/>
    <n v="0"/>
  </r>
  <r>
    <s v="5.1.3"/>
    <s v="Зарплата производственного персонала"/>
    <x v="1"/>
    <s v="Виробництво/Будівництво"/>
    <x v="5"/>
    <s v="5.1.3"/>
    <s v="монтаж електроприборів"/>
    <m/>
    <s v="чол/год"/>
    <m/>
    <n v="15000"/>
    <m/>
    <n v="0"/>
    <n v="0"/>
    <n v="0"/>
  </r>
  <r>
    <s v="5.2"/>
    <m/>
    <x v="0"/>
    <m/>
    <x v="5"/>
    <s v="5.2"/>
    <s v="МАТЕРІАЛИ"/>
    <m/>
    <m/>
    <m/>
    <m/>
    <m/>
    <n v="0"/>
    <n v="0"/>
    <n v="0"/>
  </r>
  <r>
    <s v="5.2.1"/>
    <s v="Строительные материалы"/>
    <x v="2"/>
    <s v="Виробництво/Будівництво"/>
    <x v="5"/>
    <s v="5.2.1"/>
    <s v="Щиток пластиковий зовнішній  320*420 на три дін рейки"/>
    <s v="Розподільчий щит"/>
    <s v="шт"/>
    <n v="1"/>
    <m/>
    <n v="457"/>
    <n v="0"/>
    <n v="457"/>
    <n v="457"/>
  </r>
  <r>
    <s v="5.2.2"/>
    <s v="Строительные материалы"/>
    <x v="2"/>
    <s v="Виробництво/Будівництво"/>
    <x v="5"/>
    <s v="5.2.2"/>
    <s v="Щиток пластиковий зовнішній на 9 модулі"/>
    <s v="Розподільчий щит"/>
    <s v="шт"/>
    <n v="8"/>
    <m/>
    <n v="264"/>
    <n v="0"/>
    <n v="2112"/>
    <n v="2112"/>
  </r>
  <r>
    <s v="5.2.3"/>
    <s v="Строительные материалы"/>
    <x v="2"/>
    <s v="Виробництво/Будівництво"/>
    <x v="5"/>
    <s v="5.2.3"/>
    <s v="ВВГнгд 3х4 кабель"/>
    <s v="Кабель"/>
    <s v="м.п"/>
    <n v="192"/>
    <m/>
    <n v="74"/>
    <n v="0"/>
    <n v="14208"/>
    <n v="14208"/>
  </r>
  <r>
    <s v="5.2.4"/>
    <s v="Строительные материалы"/>
    <x v="2"/>
    <s v="Виробництво/Будівництво"/>
    <x v="5"/>
    <s v="5.2.4"/>
    <s v="ВВГнгд 3х2,5 кабель"/>
    <s v="Кабель"/>
    <s v="м.п"/>
    <n v="560"/>
    <m/>
    <n v="69"/>
    <n v="0"/>
    <n v="38640"/>
    <n v="38640"/>
  </r>
  <r>
    <s v="5.2.5"/>
    <s v="Строительные материалы"/>
    <x v="2"/>
    <s v="Виробництво/Будівництво"/>
    <x v="5"/>
    <s v="5.2.5"/>
    <s v="ВВГнгд 3х1,5 кабель"/>
    <s v="Кабель"/>
    <s v="м.п"/>
    <n v="320"/>
    <m/>
    <n v="57"/>
    <n v="0"/>
    <n v="18240"/>
    <n v="18240"/>
  </r>
  <r>
    <s v="5.2.6"/>
    <s v="Строительные материалы"/>
    <x v="2"/>
    <s v="Виробництво/Будівництво"/>
    <x v="5"/>
    <s v="5.2.6"/>
    <s v="Труба ПВХ гнучка гофр. д.18 мм, з протяжкою, сірий колір"/>
    <s v="Труба гофра"/>
    <s v="м"/>
    <n v="857.6"/>
    <m/>
    <n v="17"/>
    <n v="0"/>
    <n v="14579.2"/>
    <n v="14579.2"/>
  </r>
  <r>
    <s v="5.2.7"/>
    <s v="Строительные материалы"/>
    <x v="2"/>
    <s v="Виробництво/Будівництво"/>
    <x v="5"/>
    <s v="5.2.7"/>
    <s v="Автоматичний вимикач Schneider Electric RESI9 50 А, 2P, крива С, 6кА (R9F12250)"/>
    <s v="Вимикач"/>
    <s v="шт"/>
    <n v="1"/>
    <m/>
    <n v="134"/>
    <n v="0"/>
    <n v="134"/>
    <n v="134"/>
  </r>
  <r>
    <s v="5.2.8"/>
    <s v="Строительные материалы"/>
    <x v="2"/>
    <s v="Виробництво/Будівництво"/>
    <x v="5"/>
    <s v="5.2.8"/>
    <s v="Автомат введення резерву 2P 230V 63A 1-но фазний"/>
    <s v="Вимикач"/>
    <s v="шт"/>
    <n v="1"/>
    <m/>
    <n v="1540"/>
    <n v="0"/>
    <n v="1540"/>
    <n v="1540"/>
  </r>
  <r>
    <s v="5.2.9"/>
    <s v="Строительные материалы"/>
    <x v="2"/>
    <s v="Виробництво/Будівництво"/>
    <x v="5"/>
    <s v="5.2.9"/>
    <s v="РЕЛЕ НАПРУГИ ZUBR D63 НА DIN-РЕЙКУ"/>
    <s v="Реле напруги"/>
    <s v="шт"/>
    <n v="1"/>
    <m/>
    <n v="670"/>
    <n v="0"/>
    <n v="670"/>
    <n v="670"/>
  </r>
  <r>
    <s v="5.2.10"/>
    <s v="Строительные материалы"/>
    <x v="2"/>
    <s v="Виробництво/Будівництво"/>
    <x v="5"/>
    <s v="5.2.10"/>
    <s v="Модульний автоматичний вимикач YCB6H-63 1Р 4,5кА тип С 10А"/>
    <s v="Вимикач"/>
    <s v="шт"/>
    <n v="8"/>
    <m/>
    <n v="8.23"/>
    <n v="0"/>
    <n v="65.84"/>
    <n v="65.84"/>
  </r>
  <r>
    <s v="5.2.11"/>
    <s v="Строительные материалы"/>
    <x v="2"/>
    <s v="Виробництво/Будівництво"/>
    <x v="5"/>
    <s v="5.2.11"/>
    <s v="Диференційний автомат 1п+N 16А С тип А 10мА, E.NEXT"/>
    <s v="Диференційний автомат"/>
    <s v="шт"/>
    <n v="2"/>
    <m/>
    <n v="740"/>
    <n v="0"/>
    <n v="1480"/>
    <n v="1480"/>
  </r>
  <r>
    <s v="5.2.12"/>
    <s v="Строительные материалы"/>
    <x v="2"/>
    <s v="Виробництво/Будівництво"/>
    <x v="5"/>
    <s v="5.2.12"/>
    <s v="Модульний автоматичний вимикач YCB6H-63 1Р 4,5кА тип С 16А"/>
    <s v="Вимикач"/>
    <s v="шт"/>
    <n v="8"/>
    <m/>
    <n v="240"/>
    <n v="0"/>
    <n v="1920"/>
    <n v="1920"/>
  </r>
  <r>
    <s v="5.2.13"/>
    <s v="Строительные материалы"/>
    <x v="2"/>
    <s v="Виробництво/Будівництво"/>
    <x v="5"/>
    <s v="5.2.13"/>
    <s v="Модульний автоматичний вимикач YCB6H-63 1Р 4,5кА тип С 25А"/>
    <s v="Вимикач"/>
    <s v="шт"/>
    <n v="9"/>
    <m/>
    <n v="247"/>
    <n v="0"/>
    <n v="2223"/>
    <n v="2223"/>
  </r>
  <r>
    <s v="5.2.14"/>
    <s v="Строительные материалы"/>
    <x v="2"/>
    <s v="Виробництво/Будівництво"/>
    <x v="5"/>
    <s v="5.2.14"/>
    <s v="Шина нульова на ізоляторі на Din-рейку CD 6х9/10, блакитний"/>
    <s v="Шина"/>
    <s v="шт"/>
    <n v="10"/>
    <m/>
    <n v="125"/>
    <n v="0"/>
    <n v="1250"/>
    <n v="1250"/>
  </r>
  <r>
    <s v="5.2.15"/>
    <s v="Строительные материалы"/>
    <x v="2"/>
    <s v="Виробництво/Будівництво"/>
    <x v="5"/>
    <s v="5.2.15"/>
    <s v="Розподільча коробка 100*100*45 (гіпсокартон)"/>
    <s v="Розподільча коробка"/>
    <s v="шт"/>
    <n v="26"/>
    <m/>
    <n v="96"/>
    <n v="0"/>
    <n v="2496"/>
    <n v="2496"/>
  </r>
  <r>
    <s v="5.2.16"/>
    <s v="Строительные материалы"/>
    <x v="2"/>
    <s v="Виробництво/Будівництво"/>
    <x v="5"/>
    <s v="5.2.16"/>
    <s v="Клема з'єднувальна WGn-2"/>
    <s v="Клема"/>
    <s v="шт"/>
    <n v="50"/>
    <m/>
    <n v="8.6"/>
    <n v="0"/>
    <n v="430"/>
    <n v="430"/>
  </r>
  <r>
    <s v="5.2.17"/>
    <s v="Строительные материалы"/>
    <x v="2"/>
    <s v="Виробництво/Будівництво"/>
    <x v="5"/>
    <s v="5.2.17"/>
    <s v="Клема з'єднувальна WGn-3"/>
    <s v="Клема"/>
    <s v="шт"/>
    <n v="75"/>
    <m/>
    <n v="11"/>
    <n v="0"/>
    <n v="825"/>
    <n v="825"/>
  </r>
  <r>
    <s v="5.2.18"/>
    <s v="Строительные материалы"/>
    <x v="2"/>
    <s v="Виробництво/Будівництво"/>
    <x v="5"/>
    <s v="5.2.18"/>
    <s v="Клема з'єднувальна WGn-5"/>
    <s v="Клема"/>
    <s v="шт"/>
    <n v="30"/>
    <m/>
    <n v="15.6"/>
    <n v="0"/>
    <n v="468"/>
    <n v="468"/>
  </r>
  <r>
    <s v="5.2.19"/>
    <s v="Строительные материалы"/>
    <x v="2"/>
    <s v="Виробництво/Будівництво"/>
    <x v="5"/>
    <s v="5.2.19"/>
    <s v="MB002 Коробка монтажна типу MB PLANK Electrotechnic для порожніх  стін 65х45 (200 шт. уп)"/>
    <s v="Розподільча коробка"/>
    <s v="шт"/>
    <n v="20"/>
    <m/>
    <n v="27"/>
    <n v="0"/>
    <n v="540"/>
    <n v="540"/>
  </r>
  <r>
    <s v="5.2.20"/>
    <s v="Строительные материалы"/>
    <x v="2"/>
    <s v="Виробництво/Будівництво"/>
    <x v="5"/>
    <s v="5.2.20"/>
    <s v="Розетка стаціонарна наружна 7123 32А 220В 2Р+Е IP44"/>
    <s v="Розетка стаціонарна"/>
    <s v="шт"/>
    <n v="11"/>
    <m/>
    <n v="137"/>
    <n v="0"/>
    <n v="1507"/>
    <n v="1507"/>
  </r>
  <r>
    <s v="5.2.21"/>
    <s v="Строительные материалы"/>
    <x v="2"/>
    <s v="Виробництво/Будівництво"/>
    <x v="5"/>
    <s v="5.2.21"/>
    <s v="Вилка переносна 7023 32А 220В 2Р+Е IP44"/>
    <s v="Вилка"/>
    <s v="шт"/>
    <n v="11"/>
    <m/>
    <n v="214"/>
    <n v="0"/>
    <n v="2354"/>
    <n v="2354"/>
  </r>
  <r>
    <s v="5.2.22"/>
    <s v="Строительные материалы"/>
    <x v="2"/>
    <s v="Виробництво/Будівництво"/>
    <x v="5"/>
    <s v="5.2.22"/>
    <s v="LED світильник LEBRON L-PRS-1265, 12W, накладний, 6500K, з блоком живлення"/>
    <s v="Світильник"/>
    <s v="шт"/>
    <n v="13"/>
    <m/>
    <n v="204"/>
    <n v="0"/>
    <n v="2652"/>
    <n v="2652"/>
  </r>
  <r>
    <s v="5.2.23"/>
    <s v="Строительные материалы"/>
    <x v="2"/>
    <s v="Виробництво/Будівництво"/>
    <x v="5"/>
    <s v="5.2.23"/>
    <s v="Лед.св.офісний_DELUX_LED PANEL 43 36W 6500K бел_(595*595) opal"/>
    <s v="Світильник"/>
    <s v="шт"/>
    <n v="20"/>
    <m/>
    <n v="677"/>
    <n v="0"/>
    <n v="13540"/>
    <n v="13540"/>
  </r>
  <r>
    <s v="5.2.24"/>
    <s v="Строительные материалы"/>
    <x v="2"/>
    <s v="Виробництво/Будівництво"/>
    <x v="5"/>
    <s v="5.2.24"/>
    <s v="Світлодіод.акс. _DELUX_Рамка накладного монтажу_до LED Panel 43 біла"/>
    <s v="рамка"/>
    <s v="шт"/>
    <n v="20"/>
    <m/>
    <n v="593"/>
    <n v="0"/>
    <n v="11860"/>
    <n v="11860"/>
  </r>
  <r>
    <s v="5.2.25"/>
    <s v="Строительные материалы"/>
    <x v="2"/>
    <s v="Виробництво/Будівництво"/>
    <x v="5"/>
    <s v="5.2.25"/>
    <s v="084-020-0002 Світильник аварійний"/>
    <s v="Світильник"/>
    <s v="шт"/>
    <n v="2"/>
    <m/>
    <n v="372"/>
    <n v="0"/>
    <n v="744"/>
    <n v="744"/>
  </r>
  <r>
    <s v="5.2.26"/>
    <s v="Строительные материалы"/>
    <x v="2"/>
    <s v="Виробництво/Будівництво"/>
    <x v="5"/>
    <s v="5.2.26"/>
    <s v="Світ-к стінний_MAGNUM_MIF 022 NEW 60W E27_чорний  з вимикачем "/>
    <s v="Світильник"/>
    <s v="шт"/>
    <n v="4"/>
    <m/>
    <n v="423"/>
    <n v="0"/>
    <n v="1692"/>
    <n v="1692"/>
  </r>
  <r>
    <m/>
    <m/>
    <x v="0"/>
    <m/>
    <x v="0"/>
    <s v="5.2.27"/>
    <s v="Світлодіод.лампа_DELUX_BL 60 15 Вт_6500K 220В E27"/>
    <s v="Лампа"/>
    <s v="шт"/>
    <n v="4"/>
    <m/>
    <n v="204"/>
    <n v="0"/>
    <n v="816"/>
    <n v="816"/>
  </r>
  <r>
    <m/>
    <m/>
    <x v="0"/>
    <m/>
    <x v="0"/>
    <s v="5.2.28"/>
    <s v="EPH0370121  Вимикач двоклавішний, білий, Asfora, без рамки"/>
    <s v="Вимикач"/>
    <s v="шт"/>
    <n v="6"/>
    <m/>
    <n v="136"/>
    <n v="0"/>
    <n v="816"/>
    <n v="816"/>
  </r>
  <r>
    <m/>
    <m/>
    <x v="0"/>
    <m/>
    <x v="0"/>
    <s v="5.2.29"/>
    <s v="EPH5800121 Рамка 1-постова, білий, Asfora"/>
    <s v="рамка"/>
    <s v="шт"/>
    <n v="6"/>
    <m/>
    <n v="24"/>
    <n v="0"/>
    <n v="144"/>
    <n v="144"/>
  </r>
  <r>
    <m/>
    <m/>
    <x v="0"/>
    <m/>
    <x v="0"/>
    <s v="5.2.30"/>
    <s v="Вимикач 1-кл. Schneider Electric Asfora 10A Білий (EPH0100121)"/>
    <s v="Вимикач"/>
    <s v="шт"/>
    <n v="5"/>
    <m/>
    <n v="137"/>
    <n v="0"/>
    <n v="685"/>
    <n v="685"/>
  </r>
  <r>
    <m/>
    <m/>
    <x v="0"/>
    <m/>
    <x v="0"/>
    <s v="5.2.31"/>
    <s v="Розетка Schneider Electric Asfora із заземленням Біла (EPH2900121)"/>
    <s v="Розетка"/>
    <s v="шт"/>
    <n v="24"/>
    <m/>
    <n v="167"/>
    <n v="0"/>
    <n v="4008"/>
    <n v="4008"/>
  </r>
  <r>
    <m/>
    <m/>
    <x v="0"/>
    <m/>
    <x v="0"/>
    <s v="5.2.32"/>
    <s v="Розетка з з/к з зах штр біла ASFORA IP44 кришка"/>
    <s v="Розетка"/>
    <s v="шт"/>
    <n v="4"/>
    <m/>
    <n v="25"/>
    <n v="0"/>
    <n v="100"/>
    <n v="100"/>
  </r>
  <r>
    <m/>
    <m/>
    <x v="0"/>
    <m/>
    <x v="0"/>
    <s v="5.2.33"/>
    <s v="РОЗЕТКА  ПОДВІЙНА З З/К БІЛА ASFORA"/>
    <s v="Розетка"/>
    <s v="шт"/>
    <n v="18"/>
    <m/>
    <n v="139"/>
    <n v="0"/>
    <n v="2502"/>
    <n v="2502"/>
  </r>
  <r>
    <m/>
    <m/>
    <x v="0"/>
    <m/>
    <x v="0"/>
    <s v="5.2.34"/>
    <s v="РОЗЕТКА  ПОДВІЙНА З З/К БІЛА P44 кришка"/>
    <s v="Розетка"/>
    <s v="шт"/>
    <n v="2"/>
    <m/>
    <n v="189"/>
    <n v="0"/>
    <n v="378"/>
    <n v="378"/>
  </r>
  <r>
    <m/>
    <m/>
    <x v="0"/>
    <m/>
    <x v="0"/>
    <s v="5.2.35"/>
    <s v="Комплект теплої підлоги 48 Вт / 4 м"/>
    <s v="Тепла підлога"/>
    <s v="шт"/>
    <n v="1"/>
    <m/>
    <n v="2740"/>
    <n v="0"/>
    <n v="2740"/>
    <n v="2740"/>
  </r>
  <r>
    <m/>
    <m/>
    <x v="0"/>
    <m/>
    <x v="0"/>
    <s v="5.2.36"/>
    <s v="Вентилятор Домовент 100 СВ з вимикачем"/>
    <s v="Вентилятор"/>
    <s v="шт"/>
    <n v="8"/>
    <m/>
    <n v="436"/>
    <n v="0"/>
    <n v="3488"/>
    <n v="3488"/>
  </r>
  <r>
    <m/>
    <m/>
    <x v="0"/>
    <m/>
    <x v="0"/>
    <s v="5.2.37"/>
    <s v="KO100-1 Канал d100/1"/>
    <s v="Канал вентиляційний"/>
    <s v="шт"/>
    <n v="3"/>
    <m/>
    <n v="255"/>
    <n v="0"/>
    <n v="765"/>
    <n v="765"/>
  </r>
  <r>
    <m/>
    <m/>
    <x v="0"/>
    <m/>
    <x v="0"/>
    <s v="5.2.38"/>
    <s v="МВ 102 ВК АБС  гратка вентиляційна пластикова"/>
    <s v="Гратка вентиляційна"/>
    <s v="шт"/>
    <n v="8"/>
    <m/>
    <n v="196"/>
    <n v="0"/>
    <n v="1568"/>
    <n v="1568"/>
  </r>
  <r>
    <m/>
    <m/>
    <x v="0"/>
    <m/>
    <x v="0"/>
    <s v="5.2.39"/>
    <s v="Ізоляційна стрічка 0,13мм  х 15мм х 20м, білий"/>
    <s v="Ізоляційна стрічка"/>
    <s v="шт"/>
    <n v="10"/>
    <m/>
    <n v="26"/>
    <n v="0"/>
    <n v="260"/>
    <n v="260"/>
  </r>
  <r>
    <m/>
    <m/>
    <x v="0"/>
    <m/>
    <x v="0"/>
    <s v="5.2.40"/>
    <s v="Виделка силова  220V біла для бойлера"/>
    <s v="Вилка"/>
    <s v="шт"/>
    <n v="2"/>
    <m/>
    <n v="51"/>
    <n v="0"/>
    <n v="102"/>
    <n v="102"/>
  </r>
  <r>
    <m/>
    <m/>
    <x v="0"/>
    <m/>
    <x v="0"/>
    <s v="5.2.41"/>
    <s v="Кабель заземлення одинаргий ПВ3 діаметр 8 мм"/>
    <s v="Кабель"/>
    <s v="метри"/>
    <n v="10"/>
    <m/>
    <n v="96"/>
    <n v="0"/>
    <n v="960"/>
    <n v="960"/>
  </r>
  <r>
    <m/>
    <m/>
    <x v="0"/>
    <m/>
    <x v="0"/>
    <s v="5.2.42"/>
    <s v="Обігрівач керамічний TeploCeramik TC395  600х600х14 мм"/>
    <s v="Обігрівач"/>
    <s v="шт"/>
    <n v="9"/>
    <m/>
    <n v="1640"/>
    <n v="0"/>
    <n v="14760"/>
    <n v="14760"/>
  </r>
  <r>
    <m/>
    <m/>
    <x v="0"/>
    <m/>
    <x v="0"/>
    <s v="5.2.43"/>
    <s v="Регулятор температури  для обігрівача 395 Вт"/>
    <s v="Регулятор температури"/>
    <s v="шт"/>
    <n v="9"/>
    <m/>
    <n v="720"/>
    <n v="0"/>
    <n v="6480"/>
    <n v="6480"/>
  </r>
  <r>
    <m/>
    <m/>
    <x v="0"/>
    <m/>
    <x v="0"/>
    <s v="5.2.44"/>
    <s v="Кондиционер інверторний площа до 18 м2"/>
    <s v="Кондиционер"/>
    <s v="шт"/>
    <n v="5"/>
    <m/>
    <n v="21000"/>
    <n v="0"/>
    <n v="105000"/>
    <n v="105000"/>
  </r>
  <r>
    <s v="VI"/>
    <m/>
    <x v="0"/>
    <m/>
    <x v="0"/>
    <s v="VI"/>
    <s v="Сантехника"/>
    <m/>
    <m/>
    <m/>
    <m/>
    <m/>
    <n v="0"/>
    <n v="0"/>
    <n v="0"/>
  </r>
  <r>
    <s v="6.1"/>
    <m/>
    <x v="0"/>
    <m/>
    <x v="0"/>
    <s v="6.1"/>
    <s v="РОБОТА"/>
    <m/>
    <m/>
    <m/>
    <m/>
    <m/>
    <n v="0"/>
    <n v="0"/>
    <n v="0"/>
  </r>
  <r>
    <s v="6.1.1"/>
    <s v="Зарплата производственного персонала"/>
    <x v="1"/>
    <s v="Виробництво/Будівництво"/>
    <x v="6"/>
    <s v="6.1.1"/>
    <s v="монтаж  трубопроводів"/>
    <m/>
    <s v="чол/год"/>
    <m/>
    <n v="200"/>
    <m/>
    <n v="0"/>
    <n v="0"/>
    <n v="0"/>
  </r>
  <r>
    <s v="6.1.2"/>
    <s v="Зарплата производственного персонала"/>
    <x v="1"/>
    <s v="Виробництво/Будівництво"/>
    <x v="6"/>
    <s v="6.1.2"/>
    <s v="монтаж  каналізаційних  труб"/>
    <m/>
    <s v="чол/год"/>
    <m/>
    <n v="200"/>
    <m/>
    <n v="0"/>
    <n v="0"/>
    <n v="0"/>
  </r>
  <r>
    <s v="6.1.3"/>
    <s v="Зарплата производственного персонала"/>
    <x v="1"/>
    <s v="Виробництво/Будівництво"/>
    <x v="6"/>
    <s v="6.1.3"/>
    <s v="монтаж  сантехнічних  приборів"/>
    <m/>
    <s v="чол/год"/>
    <m/>
    <n v="200"/>
    <m/>
    <n v="0"/>
    <n v="0"/>
    <n v="0"/>
  </r>
  <r>
    <s v="6.1.4"/>
    <s v="Зарплата производственного персонала"/>
    <x v="1"/>
    <s v="Виробництво/Будівництво"/>
    <x v="6"/>
    <s v="6.1.4"/>
    <s v="підключення та перевірка сантехнічного  обладнання"/>
    <m/>
    <s v="чол/год"/>
    <m/>
    <n v="200"/>
    <m/>
    <n v="0"/>
    <n v="0"/>
    <n v="0"/>
  </r>
  <r>
    <s v="6.2"/>
    <m/>
    <x v="0"/>
    <m/>
    <x v="0"/>
    <s v="6.2"/>
    <s v="МАТЕРІАЛИ"/>
    <m/>
    <m/>
    <m/>
    <m/>
    <m/>
    <n v="0"/>
    <n v="0"/>
    <n v="0"/>
  </r>
  <r>
    <s v="6.2.1"/>
    <s v="Строительные материалы"/>
    <x v="2"/>
    <s v="Виробництво/Будівництво"/>
    <x v="6"/>
    <s v="6.2.1"/>
    <s v="Гнучка труба 1 1/2х40/50"/>
    <s v="Гнучка труба"/>
    <s v="шт"/>
    <n v="1"/>
    <m/>
    <n v="104"/>
    <n v="0"/>
    <n v="104"/>
    <n v="104"/>
  </r>
  <r>
    <s v="6.2.2"/>
    <s v="Строительные материалы"/>
    <x v="2"/>
    <s v="Виробництво/Будівництво"/>
    <x v="6"/>
    <s v="6.2.2"/>
    <s v="Гнучкий шланг 1\2 ВВ довжина 60 см"/>
    <s v="Шланг"/>
    <s v="шт"/>
    <n v="9"/>
    <m/>
    <n v="127"/>
    <n v="0"/>
    <n v="1143"/>
    <n v="1143"/>
  </r>
  <r>
    <s v="6.2.3"/>
    <s v="Строительные материалы"/>
    <x v="2"/>
    <s v="Виробництво/Будівництво"/>
    <x v="6"/>
    <s v="6.2.3"/>
    <s v="Гнучкий шланг, 1 / 2&quot; ВВ, довжина 30 см"/>
    <s v="Шланг"/>
    <s v="шт"/>
    <n v="6"/>
    <m/>
    <n v="97"/>
    <n v="0"/>
    <n v="582"/>
    <n v="582"/>
  </r>
  <r>
    <s v="6.2.4"/>
    <s v="Строительные материалы"/>
    <x v="2"/>
    <s v="Виробництво/Будівництво"/>
    <x v="6"/>
    <s v="6.2.4"/>
    <s v="Душовий бокс 90х90х215"/>
    <s v="Душовий бокс"/>
    <s v="шт"/>
    <n v="2"/>
    <m/>
    <n v="16400"/>
    <n v="0"/>
    <n v="32800"/>
    <n v="32800"/>
  </r>
  <r>
    <s v="6.2.5"/>
    <s v="Строительные материалы"/>
    <x v="2"/>
    <s v="Виробництво/Будівництво"/>
    <x v="6"/>
    <s v="6.2.5"/>
    <s v="Ексцентрик для унітазу гумовий"/>
    <s v="Ексцентрик"/>
    <s v="шт"/>
    <n v="2"/>
    <m/>
    <n v="96"/>
    <n v="0"/>
    <n v="192"/>
    <n v="192"/>
  </r>
  <r>
    <s v="6.2.6"/>
    <s v="Строительные материалы"/>
    <x v="2"/>
    <s v="Виробництво/Будівництво"/>
    <x v="6"/>
    <s v="6.2.6"/>
    <s v="Електричний болер O &quot;Profi VM 080 D400-1-M, 80 л,"/>
    <s v="Бойлер"/>
    <s v="шт"/>
    <n v="2"/>
    <m/>
    <n v="8740"/>
    <n v="0"/>
    <n v="17480"/>
    <n v="17480"/>
  </r>
  <r>
    <s v="6.2.7"/>
    <s v="Строительные материалы"/>
    <x v="2"/>
    <s v="Виробництво/Будівництво"/>
    <x v="6"/>
    <s v="6.2.7"/>
    <s v="Ємність 1500л харчова"/>
    <s v="Ємність"/>
    <s v="шт"/>
    <n v="1"/>
    <m/>
    <n v="7700"/>
    <n v="0"/>
    <n v="7700"/>
    <n v="7700"/>
  </r>
  <r>
    <s v="6.2.8"/>
    <s v="Строительные материалы"/>
    <x v="2"/>
    <s v="Виробництво/Будівництво"/>
    <x v="6"/>
    <s v="6.2.8"/>
    <s v="З'єднувач PP-R D=20 mm. х1\2 Н сірий"/>
    <s v="З'єднувач з американкою"/>
    <s v="шт"/>
    <n v="10"/>
    <m/>
    <n v="66"/>
    <n v="0"/>
    <n v="660"/>
    <n v="660"/>
  </r>
  <r>
    <s v="6.2.9"/>
    <s v="Строительные материалы"/>
    <x v="2"/>
    <s v="Виробництво/Будівництво"/>
    <x v="6"/>
    <s v="6.2.9"/>
    <s v="З’єднання з амереканкою РР-R D=20 ммх1/2 Н"/>
    <s v="З'єднувач з американкою"/>
    <s v="шт"/>
    <n v="2"/>
    <m/>
    <n v="129"/>
    <n v="0"/>
    <n v="258"/>
    <n v="258"/>
  </r>
  <r>
    <s v="6.2.10"/>
    <s v="Строительные материалы"/>
    <x v="2"/>
    <s v="Виробництво/Будівництво"/>
    <x v="6"/>
    <s v="6.2.10"/>
    <s v="Змішувач  для умивальника, хром"/>
    <s v="Змішувач"/>
    <s v="шт"/>
    <n v="3"/>
    <m/>
    <n v="1740"/>
    <n v="0"/>
    <n v="5220"/>
    <n v="5220"/>
  </r>
  <r>
    <s v="6.2.11"/>
    <s v="Строительные материалы"/>
    <x v="2"/>
    <s v="Виробництво/Будівництво"/>
    <x v="6"/>
    <s v="6.2.11"/>
    <s v="Клапан зворотній 1/2*"/>
    <s v="Клапан зворотній"/>
    <s v="шт"/>
    <n v="1"/>
    <m/>
    <n v="172"/>
    <n v="0"/>
    <n v="172"/>
    <n v="172"/>
  </r>
  <r>
    <s v="6.2.12"/>
    <s v="Строительные материалы"/>
    <x v="2"/>
    <s v="Виробництво/Будівництво"/>
    <x v="6"/>
    <s v="6.2.12"/>
    <s v="Коліно каналізаційне зовнішнє  110х87 Valrom"/>
    <s v="Коліно"/>
    <s v="шт"/>
    <n v="2"/>
    <m/>
    <n v="126"/>
    <n v="0"/>
    <n v="252"/>
    <n v="252"/>
  </r>
  <r>
    <s v="6.2.13"/>
    <s v="Строительные материалы"/>
    <x v="2"/>
    <s v="Виробництво/Будівництво"/>
    <x v="6"/>
    <s v="6.2.13"/>
    <s v="Комплект для підключення змішувача PP-R D=20 мм х1\2 сірий"/>
    <s v="Підключення змішувача"/>
    <s v="шт"/>
    <n v="2"/>
    <m/>
    <n v="56"/>
    <n v="0"/>
    <n v="112"/>
    <n v="112"/>
  </r>
  <r>
    <s v="6.2.14"/>
    <s v="Строительные материалы"/>
    <x v="2"/>
    <s v="Виробництво/Будівництво"/>
    <x v="6"/>
    <s v="6.2.14"/>
    <s v="Комплект кріплення труб 104-112 мм"/>
    <s v="Кріплення"/>
    <s v="шт"/>
    <n v="4"/>
    <m/>
    <n v="86"/>
    <n v="0"/>
    <n v="344"/>
    <n v="344"/>
  </r>
  <r>
    <s v="6.2.15"/>
    <s v="Строительные материалы"/>
    <x v="2"/>
    <s v="Виробництво/Будівництво"/>
    <x v="6"/>
    <s v="6.2.15"/>
    <s v="Комплект кріплення труб 31-37мм 1&quot;"/>
    <s v="Кріплення"/>
    <s v="шт"/>
    <n v="10"/>
    <m/>
    <n v="102"/>
    <n v="0"/>
    <n v="1020"/>
    <n v="1020"/>
  </r>
  <r>
    <s v="6.2.16"/>
    <s v="Строительные материалы"/>
    <x v="2"/>
    <s v="Виробництво/Будівництво"/>
    <x v="6"/>
    <s v="6.2.16"/>
    <s v="Комплект кріплення труб 47-52мм 1 1/2&quot;"/>
    <s v="Кріплення"/>
    <s v="шт"/>
    <n v="4"/>
    <m/>
    <n v="127"/>
    <n v="0"/>
    <n v="508"/>
    <n v="508"/>
  </r>
  <r>
    <s v="6.2.17"/>
    <s v="Строительные материалы"/>
    <x v="2"/>
    <s v="Виробництво/Будівництво"/>
    <x v="6"/>
    <s v="6.2.17"/>
    <s v="Кран вентильний для сантехприладів 1/2 х3/4 ALBERTONI"/>
    <s v="Кран"/>
    <s v="шт"/>
    <n v="2"/>
    <m/>
    <n v="274"/>
    <n v="0"/>
    <n v="548"/>
    <n v="548"/>
  </r>
  <r>
    <s v="6.2.18"/>
    <s v="Строительные материалы"/>
    <x v="2"/>
    <s v="Виробництво/Будівництво"/>
    <x v="6"/>
    <s v="6.2.18"/>
    <s v="Кран кульовий 3В 1/2&quot;, &quot;метелик&quot; 8481808100"/>
    <s v="Кран"/>
    <s v="шт"/>
    <n v="10"/>
    <m/>
    <n v="233"/>
    <n v="0"/>
    <n v="2330"/>
    <n v="2330"/>
  </r>
  <r>
    <s v="6.2.19"/>
    <s v="Строительные материалы"/>
    <x v="2"/>
    <s v="Виробництво/Будівництво"/>
    <x v="6"/>
    <s v="6.2.19"/>
    <s v="Кріплення для труб 25 мм"/>
    <s v="Кріплення"/>
    <s v="шт"/>
    <n v="100"/>
    <m/>
    <n v="36"/>
    <n v="0"/>
    <n v="3600"/>
    <n v="3600"/>
  </r>
  <r>
    <s v="6.2.20"/>
    <s v="Строительные материалы"/>
    <x v="2"/>
    <s v="Виробництво/Будівництво"/>
    <x v="6"/>
    <s v="6.2.20"/>
    <s v="Кріплення умивальника до стіни (з ексцентриками і болт.8х120мм )"/>
    <s v="Кріплення"/>
    <s v="шт"/>
    <n v="2"/>
    <m/>
    <n v="59"/>
    <n v="0"/>
    <n v="118"/>
    <n v="118"/>
  </r>
  <r>
    <s v="6.2.21"/>
    <s v="Строительные материалы"/>
    <x v="2"/>
    <s v="Виробництво/Будівництво"/>
    <x v="6"/>
    <s v="6.2.21"/>
    <s v="Куточок 90 PP-R D=20 mm сірий"/>
    <s v="Кут"/>
    <s v="шт"/>
    <n v="8"/>
    <m/>
    <n v="38"/>
    <n v="0"/>
    <n v="304"/>
    <n v="304"/>
  </r>
  <r>
    <s v="6.2.22"/>
    <s v="Строительные материалы"/>
    <x v="2"/>
    <s v="Виробництво/Будівництво"/>
    <x v="6"/>
    <s v="6.2.22"/>
    <s v="Муфта редукційна коротка D 40*25 мм"/>
    <s v="Муфта"/>
    <s v="шт"/>
    <n v="1"/>
    <m/>
    <n v="89"/>
    <n v="0"/>
    <n v="89"/>
    <n v="89"/>
  </r>
  <r>
    <s v="6.2.23"/>
    <s v="Строительные материалы"/>
    <x v="2"/>
    <s v="Виробництво/Будівництво"/>
    <x v="6"/>
    <s v="6.2.23"/>
    <s v="Муфта, PP-R, D=20 мм, сіра 3917400090"/>
    <s v="Муфта"/>
    <s v="шт"/>
    <n v="8"/>
    <m/>
    <n v="104"/>
    <n v="0"/>
    <n v="832"/>
    <n v="832"/>
  </r>
  <r>
    <s v="6.2.24"/>
    <s v="Строительные материалы"/>
    <x v="2"/>
    <s v="Виробництво/Будівництво"/>
    <x v="6"/>
    <s v="6.2.24"/>
    <s v="Насосна станція"/>
    <s v="Насосна станція"/>
    <s v="шт"/>
    <n v="1"/>
    <m/>
    <n v="6400"/>
    <n v="0"/>
    <n v="6400"/>
    <n v="6400"/>
  </r>
  <r>
    <s v="6.2.25"/>
    <s v="Строительные материалы"/>
    <x v="2"/>
    <s v="Виробництво/Будівництво"/>
    <x v="6"/>
    <s v="6.2.25"/>
    <s v="Ніпель латунний, 1\2&quot;"/>
    <s v="Ніпель"/>
    <s v="шт"/>
    <n v="2"/>
    <m/>
    <n v="139"/>
    <n v="0"/>
    <n v="278"/>
    <n v="278"/>
  </r>
  <r>
    <s v="6.2.26"/>
    <s v="Строительные материалы"/>
    <x v="2"/>
    <s v="Виробництво/Будівництво"/>
    <x v="6"/>
    <s v="6.2.26"/>
    <s v="Обвідне коліно PP-R D=20 mm сірий"/>
    <s v="Обвідне коліно"/>
    <s v="шт"/>
    <n v="6"/>
    <m/>
    <n v="69"/>
    <n v="0"/>
    <n v="414"/>
    <n v="414"/>
  </r>
  <r>
    <s v="6.2.27"/>
    <s v="Строительные материалы"/>
    <x v="2"/>
    <s v="Виробництво/Будівництво"/>
    <x v="6"/>
    <s v="6.2.27"/>
    <s v="Перехід ексцентричний D=110/50 мм"/>
    <s v="Перехід"/>
    <s v="шт"/>
    <n v="2"/>
    <m/>
    <n v="125"/>
    <n v="0"/>
    <n v="250"/>
    <n v="250"/>
  </r>
  <r>
    <s v="6.2.28"/>
    <s v="Строительные материалы"/>
    <x v="2"/>
    <s v="Виробництво/Будівництво"/>
    <x v="6"/>
    <s v="6.2.28"/>
    <s v="Перехідник  3/4В*1/2Н ВЛМЗ"/>
    <s v="Перехід"/>
    <s v="шт"/>
    <n v="1"/>
    <m/>
    <n v="87"/>
    <n v="0"/>
    <n v="87"/>
    <n v="87"/>
  </r>
  <r>
    <s v="6.2.29"/>
    <s v="Строительные материалы"/>
    <x v="2"/>
    <s v="Виробництво/Будівництво"/>
    <x v="6"/>
    <s v="6.2.29"/>
    <s v="Перехідник  D=25мм*1/2 B"/>
    <s v="Перехід"/>
    <s v="шт"/>
    <n v="2"/>
    <m/>
    <n v="61"/>
    <n v="0"/>
    <n v="122"/>
    <n v="122"/>
  </r>
  <r>
    <s v="6.2.30"/>
    <s v="Строительные материалы"/>
    <x v="2"/>
    <s v="Виробництво/Будівництво"/>
    <x v="6"/>
    <s v="6.2.30"/>
    <s v="Сифон для мийки бутилоч Д=1 1/2&quot;х32мм"/>
    <s v="Сифон"/>
    <s v="шт"/>
    <n v="3"/>
    <m/>
    <n v="540"/>
    <n v="0"/>
    <n v="1620"/>
    <n v="1620"/>
  </r>
  <r>
    <s v="6.2.31"/>
    <s v="Строительные материалы"/>
    <x v="2"/>
    <s v="Виробництво/Будівництво"/>
    <x v="6"/>
    <s v="6.2.31"/>
    <s v="Сифон для низького піддону Н-6,5см Scand SPA"/>
    <s v="Сифон"/>
    <s v="шт"/>
    <n v="2"/>
    <m/>
    <n v="243"/>
    <n v="0"/>
    <n v="486"/>
    <n v="486"/>
  </r>
  <r>
    <s v="6.2.43"/>
    <s v="Строительные материалы"/>
    <x v="2"/>
    <s v="Виробництво/Будівництво"/>
    <x v="6"/>
    <s v="6.2.43"/>
    <s v="Сповіщувач пожежний димовий СПД-3,4"/>
    <s v="Сигналізація виявлення диму"/>
    <s v="шт"/>
    <n v="8"/>
    <m/>
    <n v="324"/>
    <n v="0"/>
    <n v="2592"/>
    <n v="2592"/>
  </r>
  <r>
    <s v="6.2.44"/>
    <s v="Строительные материалы"/>
    <x v="2"/>
    <s v="Виробництво/Будівництво"/>
    <x v="6"/>
    <s v="6.2.44"/>
    <s v="Трійник PP-R D=20 mm. х1\2 Н сірий"/>
    <s v="Трійник"/>
    <s v="шт"/>
    <n v="8"/>
    <m/>
    <n v="39"/>
    <n v="0"/>
    <n v="312"/>
    <n v="312"/>
  </r>
  <r>
    <s v="6.2.45"/>
    <s v="Строительные материалы"/>
    <x v="2"/>
    <s v="Виробництво/Будівництво"/>
    <x v="6"/>
    <s v="6.2.45"/>
    <s v="Трійник редукц 32х3/20х2/32х3 фітинг"/>
    <s v="Трійник"/>
    <s v="шт"/>
    <n v="1"/>
    <m/>
    <n v="43"/>
    <n v="0"/>
    <n v="43"/>
    <n v="43"/>
  </r>
  <r>
    <s v="6.2.46"/>
    <s v="Строительные материалы"/>
    <x v="2"/>
    <s v="Виробництво/Будівництво"/>
    <x v="6"/>
    <s v="6.2.46"/>
    <s v="Труба каналізаційна 110х3,2х1000мм зовн"/>
    <s v="Труба"/>
    <s v="шт"/>
    <n v="2"/>
    <m/>
    <n v="587"/>
    <n v="0"/>
    <n v="1174"/>
    <n v="1174"/>
  </r>
  <r>
    <s v="6.2.47"/>
    <s v="Строительные материалы"/>
    <x v="2"/>
    <s v="Виробництво/Будівництво"/>
    <x v="6"/>
    <s v="6.2.47"/>
    <s v="Труба каналізаційна ПВХ 110х3,2х3000"/>
    <s v="Труба"/>
    <s v="шт"/>
    <n v="4"/>
    <m/>
    <n v="970"/>
    <n v="0"/>
    <n v="3880"/>
    <n v="3880"/>
  </r>
  <r>
    <s v="6.2.48"/>
    <s v="Строительные материалы"/>
    <x v="2"/>
    <s v="Виробництво/Будівництво"/>
    <x v="6"/>
    <s v="6.2.48"/>
    <s v="Труба ПЕ ф25"/>
    <s v="Труба"/>
    <s v="пог.м"/>
    <n v="50"/>
    <m/>
    <n v="56"/>
    <n v="0"/>
    <n v="2800"/>
    <n v="2800"/>
  </r>
  <r>
    <s v="6.2.49"/>
    <s v="Строительные материалы"/>
    <x v="2"/>
    <s v="Виробництво/Будівництво"/>
    <x v="6"/>
    <s v="6.2.49"/>
    <s v="Труба поліпропіленова каналізаційна d=32  мм І=1000 мм"/>
    <s v="Труба"/>
    <s v="шт"/>
    <n v="4"/>
    <m/>
    <n v="109"/>
    <n v="0"/>
    <n v="436"/>
    <n v="436"/>
  </r>
  <r>
    <s v="6.2.50"/>
    <s v="Строительные материалы"/>
    <x v="2"/>
    <s v="Виробництво/Будівництво"/>
    <x v="6"/>
    <s v="6.2.50"/>
    <s v="Труба поліпропіленова каналізаційна d=32  мм І=2000 мм"/>
    <s v="Труба"/>
    <s v="шт"/>
    <n v="3"/>
    <m/>
    <n v="204"/>
    <n v="0"/>
    <n v="612"/>
    <n v="612"/>
  </r>
  <r>
    <m/>
    <m/>
    <x v="0"/>
    <m/>
    <x v="0"/>
    <s v="6.2.51"/>
    <s v="Труба поліпропіленова, PP-R/F, RN 20бар, 20 мм сіра"/>
    <s v="Труба"/>
    <s v="м"/>
    <n v="50"/>
    <m/>
    <n v="54"/>
    <n v="0"/>
    <n v="2700"/>
    <n v="2700"/>
  </r>
  <r>
    <m/>
    <m/>
    <x v="0"/>
    <m/>
    <x v="0"/>
    <s v="6.2.52"/>
    <s v="Умивальник"/>
    <s v="Умивальник"/>
    <s v="шт"/>
    <n v="2"/>
    <m/>
    <n v="1040"/>
    <n v="0"/>
    <n v="2080"/>
    <n v="2080"/>
  </r>
  <r>
    <m/>
    <m/>
    <x v="0"/>
    <m/>
    <x v="0"/>
    <s v="6.2.53"/>
    <s v="Унітаз-Компакт підлоговий"/>
    <s v="Унітаз-Компакт"/>
    <s v="шт"/>
    <n v="2"/>
    <m/>
    <n v="3960"/>
    <n v="0"/>
    <n v="7920"/>
    <n v="7920"/>
  </r>
  <r>
    <m/>
    <m/>
    <x v="0"/>
    <m/>
    <x v="0"/>
    <s v="6.2.54"/>
    <s v="Хомут для труб  PP-R одинарний D=20 mm"/>
    <s v="Хомут"/>
    <s v="шт"/>
    <n v="30"/>
    <m/>
    <n v="56"/>
    <n v="0"/>
    <n v="1680"/>
    <n v="1680"/>
  </r>
  <r>
    <m/>
    <m/>
    <x v="0"/>
    <m/>
    <x v="0"/>
    <s v="6.2.55"/>
    <s v="Хрестовина двохплощинна 110 х110х50, 87° права фітинг"/>
    <s v="Хрестовина"/>
    <s v="шт"/>
    <n v="2"/>
    <m/>
    <n v="187"/>
    <n v="0"/>
    <n v="374"/>
    <n v="374"/>
  </r>
  <r>
    <m/>
    <m/>
    <x v="0"/>
    <m/>
    <x v="0"/>
    <s v="6.2.56"/>
    <s v="Витяжка купольна"/>
    <s v="Витяжка"/>
    <s v="шт"/>
    <n v="1"/>
    <m/>
    <n v="4900"/>
    <n v="0"/>
    <n v="4900"/>
    <n v="4900"/>
  </r>
  <r>
    <m/>
    <m/>
    <x v="0"/>
    <m/>
    <x v="0"/>
    <s v="6.2.57"/>
    <s v="Підключення змішувача ППР д20"/>
    <s v="Підключення змішувача"/>
    <s v="шт"/>
    <n v="2"/>
    <m/>
    <n v="129"/>
    <n v="0"/>
    <n v="258"/>
    <n v="258"/>
  </r>
  <r>
    <m/>
    <m/>
    <x v="0"/>
    <m/>
    <x v="0"/>
    <s v="6.2.58"/>
    <s v="Ніпель 1,2&quot;"/>
    <s v="Ніпель"/>
    <s v="шт"/>
    <n v="12"/>
    <m/>
    <n v="163"/>
    <n v="0"/>
    <n v="1956"/>
    <n v="1956"/>
  </r>
  <r>
    <m/>
    <m/>
    <x v="0"/>
    <m/>
    <x v="0"/>
    <s v="6.2.59"/>
    <s v="Перехід латунний 1,2&quot;х3,4&quot;"/>
    <s v="Перехід"/>
    <s v="шт"/>
    <n v="2"/>
    <m/>
    <n v="99"/>
    <n v="0"/>
    <n v="198"/>
    <n v="198"/>
  </r>
  <r>
    <m/>
    <m/>
    <x v="0"/>
    <m/>
    <x v="0"/>
    <s v="6.2.60"/>
    <s v="З'єднувач з американкою PP-R 20 мм x 1/2&quot; З"/>
    <s v="З'єднувач з американкою"/>
    <s v="шт"/>
    <n v="3"/>
    <m/>
    <n v="89"/>
    <n v="0"/>
    <n v="267"/>
    <n v="267"/>
  </r>
  <r>
    <m/>
    <m/>
    <x v="0"/>
    <m/>
    <x v="0"/>
    <s v="6.2.61"/>
    <s v="З'єднувач з американкою PP-R 20 мм x 1/2&quot; В"/>
    <s v="З'єднувач з американкою"/>
    <s v="шт"/>
    <n v="3"/>
    <m/>
    <n v="104"/>
    <n v="0"/>
    <n v="312"/>
    <n v="312"/>
  </r>
  <r>
    <m/>
    <m/>
    <x v="0"/>
    <m/>
    <x v="0"/>
    <s v="6.2.62"/>
    <s v="Зворотній клапан 1,2&quot; ВВ"/>
    <s v="Клапан зворотній"/>
    <s v="шт"/>
    <n v="1"/>
    <m/>
    <n v="127"/>
    <n v="0"/>
    <n v="127"/>
    <n v="127"/>
  </r>
  <r>
    <m/>
    <m/>
    <x v="0"/>
    <m/>
    <x v="0"/>
    <s v="6.2.63"/>
    <s v="З'єднувач компресійний 25 мм x 1/2&quot; В"/>
    <s v="З'єднувач компресійний"/>
    <s v="шт"/>
    <n v="2"/>
    <m/>
    <n v="135"/>
    <n v="0"/>
    <n v="270"/>
    <n v="270"/>
  </r>
  <r>
    <m/>
    <m/>
    <x v="0"/>
    <m/>
    <x v="0"/>
    <s v="6.2.64"/>
    <s v="Хомут для труб PP-R д20"/>
    <s v="Хомут"/>
    <s v="шт"/>
    <n v="67"/>
    <m/>
    <n v="98"/>
    <n v="0"/>
    <n v="6566"/>
    <n v="6566"/>
  </r>
  <r>
    <m/>
    <m/>
    <x v="0"/>
    <m/>
    <x v="0"/>
    <s v="6.2.65"/>
    <s v="Підключення емкості до труби ПЕ д25"/>
    <s v="Підключення"/>
    <s v="шт"/>
    <n v="1"/>
    <m/>
    <n v="104"/>
    <n v="0"/>
    <n v="104"/>
    <n v="104"/>
  </r>
  <r>
    <m/>
    <m/>
    <x v="0"/>
    <m/>
    <x v="0"/>
    <s v="6.2.66"/>
    <s v="Перехідник Taizhou латунний 1&quot; З-1/2&quot; В"/>
    <s v="Перехід"/>
    <s v="шт"/>
    <n v="2"/>
    <m/>
    <n v="111"/>
    <n v="0"/>
    <n v="222"/>
    <n v="222"/>
  </r>
  <r>
    <m/>
    <m/>
    <x v="0"/>
    <m/>
    <x v="0"/>
    <s v="6.2.67"/>
    <s v="Раковина без пятистала"/>
    <s v="Умивальник"/>
    <s v="шт"/>
    <n v="2"/>
    <m/>
    <n v="1174"/>
    <n v="0"/>
    <n v="2348"/>
    <n v="2348"/>
  </r>
  <r>
    <m/>
    <m/>
    <x v="0"/>
    <m/>
    <x v="0"/>
    <s v="6.2.68"/>
    <s v="Кріплення умивальника "/>
    <s v="Кріплення"/>
    <s v="шт"/>
    <n v="2"/>
    <m/>
    <n v="53"/>
    <n v="0"/>
    <n v="106"/>
    <n v="106"/>
  </r>
  <r>
    <m/>
    <m/>
    <x v="0"/>
    <m/>
    <x v="0"/>
    <s v="6.2.69"/>
    <s v="Ринва"/>
    <s v="Ринва"/>
    <s v="шт"/>
    <n v="6"/>
    <m/>
    <n v="403"/>
    <n v="0"/>
    <n v="2418"/>
    <n v="2418"/>
  </r>
  <r>
    <m/>
    <m/>
    <x v="0"/>
    <m/>
    <x v="0"/>
    <s v="6.2.70"/>
    <s v="труба"/>
    <s v="Труба"/>
    <s v="шт"/>
    <n v="4"/>
    <m/>
    <n v="442"/>
    <n v="0"/>
    <n v="1768"/>
    <n v="1768"/>
  </r>
  <r>
    <m/>
    <m/>
    <x v="0"/>
    <m/>
    <x v="0"/>
    <s v="6.2.71"/>
    <s v="Злив лівий"/>
    <s v="Злив"/>
    <s v="шт"/>
    <n v="2"/>
    <m/>
    <n v="495"/>
    <n v="0"/>
    <n v="990"/>
    <n v="990"/>
  </r>
  <r>
    <m/>
    <m/>
    <x v="0"/>
    <m/>
    <x v="0"/>
    <s v="6.2.72"/>
    <s v="Злив правий"/>
    <s v="Злив"/>
    <s v="шт"/>
    <n v="2"/>
    <m/>
    <n v="495"/>
    <n v="0"/>
    <n v="990"/>
    <n v="990"/>
  </r>
  <r>
    <m/>
    <m/>
    <x v="0"/>
    <m/>
    <x v="0"/>
    <s v="6.2.73"/>
    <s v="Відвід  45 "/>
    <s v="Відвід"/>
    <s v="шт"/>
    <n v="4"/>
    <m/>
    <n v="211"/>
    <n v="0"/>
    <n v="844"/>
    <n v="844"/>
  </r>
  <r>
    <m/>
    <m/>
    <x v="0"/>
    <m/>
    <x v="0"/>
    <s v="6.2.74"/>
    <s v="кріплення ринви "/>
    <s v="Кріплення"/>
    <s v="шт"/>
    <n v="38"/>
    <m/>
    <n v="123"/>
    <n v="0"/>
    <n v="4674"/>
    <n v="4674"/>
  </r>
  <r>
    <m/>
    <m/>
    <x v="0"/>
    <m/>
    <x v="0"/>
    <s v="6.2.75"/>
    <s v="кріплення труби"/>
    <s v="Кріплення"/>
    <s v="шт"/>
    <n v="8"/>
    <m/>
    <n v="97"/>
    <n v="0"/>
    <n v="776"/>
    <n v="776"/>
  </r>
  <r>
    <m/>
    <m/>
    <x v="0"/>
    <m/>
    <x v="0"/>
    <s v="6.2.76"/>
    <s v="зєднувачі"/>
    <s v="З'єднувач"/>
    <s v="шт"/>
    <n v="6"/>
    <m/>
    <n v="193.81"/>
    <n v="0"/>
    <n v="1162.8600000000001"/>
    <n v="1162.8600000000001"/>
  </r>
  <r>
    <m/>
    <m/>
    <x v="0"/>
    <m/>
    <x v="0"/>
    <s v="6.2.77"/>
    <s v="Труба каналізаційна DN110х2000 (зовн.)"/>
    <s v="Труба"/>
    <s v="шт"/>
    <n v="6"/>
    <m/>
    <n v="820"/>
    <n v="0"/>
    <n v="4920"/>
    <n v="4920"/>
  </r>
  <r>
    <m/>
    <m/>
    <x v="0"/>
    <m/>
    <x v="0"/>
    <s v="6.2.78"/>
    <s v="Коліно 110/45 зн Інсталпласт"/>
    <s v="Коліно"/>
    <s v="шт"/>
    <n v="4"/>
    <m/>
    <n v="740"/>
    <n v="0"/>
    <n v="2960"/>
    <n v="2960"/>
  </r>
  <r>
    <s v="VII"/>
    <m/>
    <x v="0"/>
    <m/>
    <x v="0"/>
    <s v="VII"/>
    <s v="Додаткова Комплектація"/>
    <m/>
    <m/>
    <m/>
    <m/>
    <m/>
    <n v="0"/>
    <n v="0"/>
    <n v="0"/>
  </r>
  <r>
    <s v="7.1"/>
    <m/>
    <x v="0"/>
    <m/>
    <x v="0"/>
    <s v="7.1"/>
    <s v="РОБОТА"/>
    <m/>
    <m/>
    <m/>
    <m/>
    <m/>
    <m/>
    <m/>
    <m/>
  </r>
  <r>
    <s v="7.1.1"/>
    <s v="Зарплата производственного персонала"/>
    <x v="1"/>
    <s v="Виробництво/Будівництво"/>
    <x v="7"/>
    <s v="7.1.1"/>
    <s v="збираня меблів"/>
    <m/>
    <s v="чол/год"/>
    <m/>
    <n v="200"/>
    <m/>
    <n v="0"/>
    <n v="0"/>
    <n v="0"/>
  </r>
  <r>
    <s v="7.1.2"/>
    <s v="Зарплата производственного персонала"/>
    <x v="1"/>
    <s v="Виробництво/Будівництво"/>
    <x v="7"/>
    <s v="7.1.2"/>
    <s v="монтаж  меблів"/>
    <m/>
    <s v="чол/год"/>
    <m/>
    <n v="200"/>
    <m/>
    <n v="0"/>
    <n v="0"/>
    <n v="0"/>
  </r>
  <r>
    <s v="7.1.3"/>
    <s v="Зарплата производственного персонала"/>
    <x v="1"/>
    <s v="Виробництво/Будівництво"/>
    <x v="7"/>
    <s v="7.1.3"/>
    <s v="монжа кондиціонеру"/>
    <m/>
    <s v="шт"/>
    <m/>
    <n v="5200"/>
    <m/>
    <n v="0"/>
    <n v="0"/>
    <n v="0"/>
  </r>
  <r>
    <s v="7.1.4"/>
    <s v="Зарплата производственного персонала"/>
    <x v="1"/>
    <s v="Виробництво/Будівництво"/>
    <x v="7"/>
    <s v="7.1.4"/>
    <s v="монтаж  відеонагляду"/>
    <m/>
    <s v="чол/год"/>
    <m/>
    <n v="200"/>
    <m/>
    <n v="0"/>
    <n v="0"/>
    <n v="0"/>
  </r>
  <r>
    <s v="7.1.5"/>
    <s v="Зарплата производственного персонала"/>
    <x v="1"/>
    <s v="Виробництво/Будівництво"/>
    <x v="7"/>
    <s v="7.1.5"/>
    <s v="монтаж  інтернету"/>
    <m/>
    <s v="чол/год"/>
    <m/>
    <n v="200"/>
    <m/>
    <n v="0"/>
    <n v="0"/>
    <n v="0"/>
  </r>
  <r>
    <s v="7.1.6"/>
    <s v="Зарплата производственного персонала"/>
    <x v="1"/>
    <s v="Виробництво/Будівництво"/>
    <x v="7"/>
    <s v="7.1.6"/>
    <s v="монжа пожежної  безпеки"/>
    <m/>
    <s v="чол/год"/>
    <m/>
    <n v="200"/>
    <m/>
    <n v="0"/>
    <n v="0"/>
    <n v="0"/>
  </r>
  <r>
    <s v="7.1.7"/>
    <s v="Зарплата производственного персонала"/>
    <x v="1"/>
    <s v="Виробництво/Будівництво"/>
    <x v="7"/>
    <s v="7.1.7"/>
    <s v="монтаж  заземелення"/>
    <m/>
    <s v="чол/год"/>
    <m/>
    <n v="200"/>
    <m/>
    <n v="0"/>
    <n v="0"/>
    <n v="0"/>
  </r>
  <r>
    <s v="7.2"/>
    <m/>
    <x v="0"/>
    <m/>
    <x v="0"/>
    <s v="7.2"/>
    <s v="МАТЕРІАЛИ"/>
    <m/>
    <m/>
    <m/>
    <m/>
    <m/>
    <n v="0"/>
    <n v="0"/>
    <n v="0"/>
  </r>
  <r>
    <s v="7.2.1"/>
    <s v="Строительные материалы"/>
    <x v="2"/>
    <s v="Виробництво/Будівництво"/>
    <x v="7"/>
    <s v="7.2.1"/>
    <s v="Анемостат Ø 100"/>
    <s v="Анемостат"/>
    <s v="шт"/>
    <n v="5"/>
    <m/>
    <n v="287"/>
    <n v="0"/>
    <n v="1435"/>
    <n v="1435"/>
  </r>
  <r>
    <s v="7.2.2"/>
    <s v="Строительные материалы"/>
    <x v="2"/>
    <s v="Виробництво/Будівництво"/>
    <x v="7"/>
    <s v="7.2.2"/>
    <s v="Кондиціонер C&amp;H CH-S07FTXF2-NG"/>
    <s v="Кондиционер "/>
    <s v="шт"/>
    <n v="1"/>
    <m/>
    <n v="19799"/>
    <n v="0"/>
    <n v="19799"/>
    <n v="19799"/>
  </r>
  <r>
    <s v="7.2.3"/>
    <s v="Строительные материалы"/>
    <x v="2"/>
    <s v="Виробництво/Будівництво"/>
    <x v="7"/>
    <s v="7.2.3"/>
    <s v="Кондиціонер C&amp;H CH-S12FTXF2-NG"/>
    <s v="Кондиционер "/>
    <s v="шт"/>
    <n v="1"/>
    <m/>
    <n v="25299"/>
    <n v="0"/>
    <n v="25299"/>
    <n v="25299"/>
  </r>
  <r>
    <s v="7.2.4"/>
    <s v="Строительные материалы"/>
    <x v="2"/>
    <s v="Виробництво/Будівництво"/>
    <x v="7"/>
    <s v="7.2.4"/>
    <s v="Кондиціонер C&amp;H CH-S18FTXF2-NG"/>
    <s v="Кондиционер "/>
    <s v="шт"/>
    <n v="2"/>
    <m/>
    <n v="32599"/>
    <n v="0"/>
    <n v="65198"/>
    <n v="65198"/>
  </r>
  <r>
    <s v="7.2.5"/>
    <s v="Строительные материалы"/>
    <x v="2"/>
    <s v="Виробництво/Будівництво"/>
    <x v="7"/>
    <s v="7.2.5"/>
    <s v="Шафа металева ШОМ-400/2"/>
    <s v="Шафа"/>
    <s v="шт"/>
    <n v="20"/>
    <m/>
    <n v="6514"/>
    <n v="0"/>
    <n v="130280"/>
    <n v="130280"/>
  </r>
  <r>
    <s v="7.2.6"/>
    <s v="Строительные материалы"/>
    <x v="2"/>
    <s v="Виробництво/Будівництво"/>
    <x v="7"/>
    <s v="7.2.6"/>
    <s v="Дзеркало МТ Еко ЗО 350х500"/>
    <s v="Дзеркало"/>
    <s v="шт"/>
    <n v="2"/>
    <m/>
    <n v="650"/>
    <n v="0"/>
    <n v="1300"/>
    <n v="1300"/>
  </r>
  <r>
    <s v="7.2.7"/>
    <s v="Строительные материалы"/>
    <x v="2"/>
    <s v="Виробництво/Будівництво"/>
    <x v="7"/>
    <s v="7.2.7"/>
    <s v="Вентилятор Вентс ВК 150 П + ковпак"/>
    <s v="Вентилятор"/>
    <s v="шт"/>
    <n v="1"/>
    <m/>
    <n v="4313"/>
    <n v="0"/>
    <n v="4313"/>
    <n v="4313"/>
  </r>
  <r>
    <s v="7.2.8"/>
    <s v="Строительные материалы"/>
    <x v="2"/>
    <s v="Виробництво/Будівництво"/>
    <x v="7"/>
    <s v="7.2.8"/>
    <m/>
    <m/>
    <m/>
    <m/>
    <m/>
    <m/>
    <n v="0"/>
    <n v="0"/>
    <n v="0"/>
  </r>
  <r>
    <s v="7.2.9"/>
    <s v="Строительные материалы"/>
    <x v="2"/>
    <s v="Виробництво/Будівництво"/>
    <x v="7"/>
    <s v="7.2.9"/>
    <m/>
    <m/>
    <m/>
    <m/>
    <m/>
    <m/>
    <n v="0"/>
    <n v="0"/>
    <n v="0"/>
  </r>
  <r>
    <s v="VIII"/>
    <m/>
    <x v="0"/>
    <m/>
    <x v="0"/>
    <s v="VIII"/>
    <s v="Монтаж будинку"/>
    <s v="Монтаж"/>
    <m/>
    <m/>
    <m/>
    <m/>
    <n v="0"/>
    <n v="0"/>
    <n v="0"/>
  </r>
  <r>
    <s v="8.1"/>
    <m/>
    <x v="0"/>
    <m/>
    <x v="0"/>
    <s v="8.1"/>
    <s v="РОБОТА"/>
    <m/>
    <m/>
    <m/>
    <m/>
    <m/>
    <n v="0"/>
    <n v="0"/>
    <n v="0"/>
  </r>
  <r>
    <s v="8.1.1"/>
    <s v="Зарплата производственного персонала"/>
    <x v="1"/>
    <s v="Виробництво/Будівництво"/>
    <x v="8"/>
    <s v="8.1.1"/>
    <s v="Монтаж  фундаменту"/>
    <m/>
    <s v="чол/год"/>
    <m/>
    <n v="350"/>
    <m/>
    <n v="0"/>
    <n v="0"/>
    <n v="0"/>
  </r>
  <r>
    <s v="8.1.2"/>
    <s v="Зарплата производственного персонала"/>
    <x v="1"/>
    <s v="Виробництво/Будівництво"/>
    <x v="8"/>
    <s v="8.1.2"/>
    <s v="Монтаж  модульного  будинку"/>
    <m/>
    <s v="чол/год"/>
    <m/>
    <n v="350"/>
    <m/>
    <n v="0"/>
    <n v="0"/>
    <n v="0"/>
  </r>
  <r>
    <s v="8.1.3"/>
    <s v="Зарплата производственного персонала"/>
    <x v="1"/>
    <s v="Виробництво/Будівництво"/>
    <x v="8"/>
    <s v="8.1.3"/>
    <s v="Фіншнє  заверешення монтажу (ззовні та всередні)"/>
    <m/>
    <s v="чол/год"/>
    <m/>
    <n v="350"/>
    <m/>
    <n v="0"/>
    <n v="0"/>
    <n v="0"/>
  </r>
  <r>
    <s v="8.1.4"/>
    <s v="Зарплата производственного персонала"/>
    <x v="1"/>
    <s v="Виробництво/Будівництво"/>
    <x v="8"/>
    <s v="8.1.4"/>
    <s v="Підключення електрики"/>
    <m/>
    <s v="чол/год"/>
    <m/>
    <n v="350"/>
    <m/>
    <n v="0"/>
    <n v="0"/>
    <n v="0"/>
  </r>
  <r>
    <s v="8.1.5"/>
    <s v="Зарплата производственного персонала"/>
    <x v="1"/>
    <s v="Виробництво/Будівництво"/>
    <x v="8"/>
    <s v="8.1.5"/>
    <s v="Підключення води"/>
    <m/>
    <s v="чол/год"/>
    <m/>
    <n v="350"/>
    <m/>
    <n v="0"/>
    <n v="0"/>
    <n v="0"/>
  </r>
  <r>
    <s v="8.1.6"/>
    <s v="Зарплата производственного персонала"/>
    <x v="1"/>
    <s v="Виробництво/Будівництво"/>
    <x v="8"/>
    <s v="8.1.6"/>
    <s v="Підключення каналізації"/>
    <m/>
    <s v="чол/год"/>
    <m/>
    <n v="350"/>
    <m/>
    <n v="0"/>
    <n v="0"/>
    <n v="0"/>
  </r>
  <r>
    <s v="8.1.7"/>
    <s v="Зарплата производственного персонала"/>
    <x v="1"/>
    <s v="Виробництво/Будівництво"/>
    <x v="8"/>
    <s v="8.1.7"/>
    <s v="Монтаж  септику"/>
    <m/>
    <s v="чол/год"/>
    <m/>
    <n v="350"/>
    <m/>
    <n v="0"/>
    <n v="0"/>
    <n v="0"/>
  </r>
  <r>
    <s v="8.1.8"/>
    <s v="Зарплата производственного персонала"/>
    <x v="1"/>
    <s v="Виробництво/Будівництво"/>
    <x v="8"/>
    <s v="8.1.8"/>
    <s v="інші роботи"/>
    <m/>
    <s v="чол/год"/>
    <m/>
    <n v="350"/>
    <m/>
    <n v="0"/>
    <n v="0"/>
    <n v="0"/>
  </r>
  <r>
    <s v="8.1.9"/>
    <s v="Зарплата производственного персонала"/>
    <x v="1"/>
    <s v="Виробництво/Будівництво"/>
    <x v="8"/>
    <s v="8.1.9"/>
    <m/>
    <m/>
    <m/>
    <m/>
    <m/>
    <m/>
    <n v="0"/>
    <n v="0"/>
    <n v="0"/>
  </r>
  <r>
    <s v="8.2"/>
    <m/>
    <x v="0"/>
    <m/>
    <x v="8"/>
    <s v="8.2"/>
    <s v="МАТЕРІАЛИ"/>
    <m/>
    <m/>
    <m/>
    <m/>
    <m/>
    <n v="0"/>
    <n v="0"/>
    <n v="0"/>
  </r>
  <r>
    <m/>
    <s v="Строительные материалы"/>
    <x v="2"/>
    <s v="Виробництво/Будівництво"/>
    <x v="7"/>
    <s v="8.2.1"/>
    <s v="Вогнегасник (порошок 3 кг) "/>
    <s v="Вогнегасник"/>
    <s v="шт"/>
    <n v="2"/>
    <m/>
    <n v="740"/>
    <n v="0"/>
    <n v="1480"/>
    <n v="1480"/>
  </r>
  <r>
    <m/>
    <s v="Строительные материалы"/>
    <x v="2"/>
    <s v="Виробництво/Будівництво"/>
    <x v="7"/>
    <s v="8.2.2"/>
    <s v="Протипожежна ковдра "/>
    <s v="Протипожежна ковдра"/>
    <s v="шт"/>
    <n v="2"/>
    <m/>
    <n v="512"/>
    <n v="0"/>
    <n v="1024"/>
    <n v="1024"/>
  </r>
  <r>
    <m/>
    <s v="Строительные материалы"/>
    <x v="2"/>
    <s v="Виробництво/Будівництво"/>
    <x v="7"/>
    <s v="8.2.3"/>
    <s v="Пресована оцинкована решітка шириною не менше 1,0  м ззовні"/>
    <s v="Оцинкована решітка"/>
    <s v="шт"/>
    <n v="1"/>
    <m/>
    <n v="6240"/>
    <n v="0"/>
    <n v="6240"/>
    <n v="6240"/>
  </r>
  <r>
    <m/>
    <s v="Строительные материалы"/>
    <x v="2"/>
    <s v="Виробництво/Будівництво"/>
    <x v="7"/>
    <s v="8.2.4"/>
    <s v="Килимок всередині "/>
    <s v="Килимок"/>
    <s v="шт"/>
    <n v="1"/>
    <m/>
    <n v="544"/>
    <n v="0"/>
    <n v="544"/>
    <n v="544"/>
  </r>
  <r>
    <m/>
    <s v="Строительные материалы"/>
    <x v="2"/>
    <s v="Виробництво/Будівництво"/>
    <x v="7"/>
    <s v="8.2.5"/>
    <s v="Знаки шляхів евакуації (освітлені)  "/>
    <s v="Знаки евакуації"/>
    <s v="шт"/>
    <n v="12"/>
    <m/>
    <n v="347"/>
    <n v="0"/>
    <n v="4164"/>
    <n v="4164"/>
  </r>
  <r>
    <m/>
    <s v="Строительные материалы"/>
    <x v="2"/>
    <s v="Виробництво/Будівництво"/>
    <x v="7"/>
    <s v="8.2.6"/>
    <s v="Знаки дверей і визначення шляху "/>
    <s v="Знаки евакуації"/>
    <s v="шт"/>
    <n v="12"/>
    <m/>
    <n v="260"/>
    <n v="0"/>
    <n v="3120"/>
    <n v="3120"/>
  </r>
  <r>
    <m/>
    <s v="Строительные материалы"/>
    <x v="2"/>
    <s v="Виробництво/Будівництво"/>
    <x v="7"/>
    <s v="8.2.7"/>
    <s v="Стільці для відвідувачів в коридор"/>
    <s v="Стілець"/>
    <s v="шт"/>
    <n v="2"/>
    <m/>
    <n v="960"/>
    <n v="0"/>
    <n v="1920"/>
    <n v="1920"/>
  </r>
  <r>
    <m/>
    <s v="Строительные материалы"/>
    <x v="2"/>
    <s v="Виробництво/Будівництво"/>
    <x v="7"/>
    <s v="8.2.8"/>
    <s v="Стільці для відвідувачів і персоналу в кабінетах"/>
    <s v="Стілець"/>
    <s v="шт"/>
    <n v="2"/>
    <m/>
    <n v="2740"/>
    <n v="0"/>
    <n v="5480"/>
    <n v="5480"/>
  </r>
  <r>
    <m/>
    <s v="Строительные материалы"/>
    <x v="2"/>
    <s v="Виробництво/Будівництво"/>
    <x v="7"/>
    <s v="8.2.9"/>
    <s v="Стільці складні"/>
    <s v="Стілець"/>
    <s v="шт"/>
    <n v="4"/>
    <m/>
    <n v="960"/>
    <n v="0"/>
    <n v="3840"/>
    <n v="3840"/>
  </r>
  <r>
    <m/>
    <s v="Строительные материалы"/>
    <x v="2"/>
    <s v="Виробництво/Будівництво"/>
    <x v="7"/>
    <s v="8.2.10"/>
    <s v="Стелаж складський металевий, не менше 50 кг на полицю "/>
    <s v="Стелаж"/>
    <s v="шт"/>
    <n v="3"/>
    <m/>
    <n v="2740"/>
    <n v="0"/>
    <n v="8220"/>
    <n v="8220"/>
  </r>
  <r>
    <m/>
    <s v="Строительные материалы"/>
    <x v="2"/>
    <s v="Виробництво/Будівництво"/>
    <x v="7"/>
    <s v="8.2.11"/>
    <s v="Сигналізація виявлення диму "/>
    <s v="Сигналізація виявлення диму"/>
    <s v="шт"/>
    <n v="4"/>
    <m/>
    <n v="324"/>
    <n v="0"/>
    <n v="1296"/>
    <n v="1296"/>
  </r>
  <r>
    <m/>
    <s v="Строительные материалы"/>
    <x v="2"/>
    <s v="Виробництво/Будівництво"/>
    <x v="7"/>
    <s v="8.2.12"/>
    <s v="дозатор рідкого мила"/>
    <s v="Дозатор"/>
    <s v="шт"/>
    <n v="4"/>
    <m/>
    <n v="496"/>
    <n v="0"/>
    <n v="1984"/>
    <n v="1984"/>
  </r>
  <r>
    <m/>
    <s v="Строительные материалы"/>
    <x v="2"/>
    <s v="Виробництво/Будівництво"/>
    <x v="7"/>
    <s v="8.2.13"/>
    <s v="дозатор рушників "/>
    <s v="Дозатор"/>
    <s v="шт"/>
    <n v="4"/>
    <m/>
    <n v="360"/>
    <n v="0"/>
    <n v="1440"/>
    <n v="1440"/>
  </r>
  <r>
    <m/>
    <s v="Строительные материалы"/>
    <x v="2"/>
    <s v="Виробництво/Будівництво"/>
    <x v="7"/>
    <s v="8.2.14"/>
    <s v="Стіл офісний "/>
    <s v="Стіл"/>
    <s v="шт"/>
    <n v="4"/>
    <m/>
    <n v="2740"/>
    <n v="0"/>
    <n v="10960"/>
    <n v="10960"/>
  </r>
  <r>
    <m/>
    <s v="Строительные материалы"/>
    <x v="2"/>
    <s v="Виробництво/Будівництво"/>
    <x v="7"/>
    <s v="8.2.15"/>
    <s v="Кушетка медична "/>
    <s v="Кушетка"/>
    <s v="шт"/>
    <n v="3"/>
    <m/>
    <n v="6700"/>
    <n v="0"/>
    <n v="20100"/>
    <n v="20100"/>
  </r>
  <r>
    <m/>
    <s v="Строительные материалы"/>
    <x v="2"/>
    <s v="Виробництво/Будівництво"/>
    <x v="7"/>
    <s v="8.2.16"/>
    <s v="Вішалка для одягу стояча "/>
    <s v="Вішалка"/>
    <s v="шт"/>
    <n v="3"/>
    <m/>
    <n v="1256"/>
    <n v="0"/>
    <n v="3768"/>
    <n v="3768"/>
  </r>
  <r>
    <m/>
    <m/>
    <x v="0"/>
    <m/>
    <x v="0"/>
    <s v="8.2.17"/>
    <s v="Столик для огляду/ сповивання новонародженого "/>
    <s v="Столик медичний"/>
    <s v="шт"/>
    <n v="2"/>
    <m/>
    <n v="7980"/>
    <n v="0"/>
    <n v="15960"/>
    <n v="15960"/>
  </r>
  <r>
    <m/>
    <m/>
    <x v="0"/>
    <m/>
    <x v="0"/>
    <s v="8.2.18"/>
    <s v="Тумба офісна"/>
    <s v="Тумбочка"/>
    <s v="шт"/>
    <n v="2"/>
    <m/>
    <n v="2124"/>
    <n v="0"/>
    <n v="4248"/>
    <n v="4248"/>
  </r>
  <r>
    <m/>
    <m/>
    <x v="0"/>
    <m/>
    <x v="0"/>
    <s v="8.2.19"/>
    <s v="Шафа для зберігання ліків "/>
    <s v="Шафа"/>
    <s v="шт"/>
    <n v="3"/>
    <m/>
    <n v="11750"/>
    <n v="0"/>
    <n v="35250"/>
    <n v="35250"/>
  </r>
  <r>
    <m/>
    <m/>
    <x v="0"/>
    <m/>
    <x v="0"/>
    <s v="8.2.20"/>
    <s v="Шафа пересувна "/>
    <s v="Шафа"/>
    <s v="шт"/>
    <n v="2"/>
    <m/>
    <n v="6780"/>
    <n v="0"/>
    <n v="13560"/>
    <n v="13560"/>
  </r>
  <r>
    <m/>
    <m/>
    <x v="0"/>
    <m/>
    <x v="0"/>
    <s v="8.2.21"/>
    <s v="Стіл медичний  пересувний"/>
    <s v="Стіл"/>
    <s v="шт"/>
    <n v="1"/>
    <m/>
    <n v="12846"/>
    <n v="0"/>
    <n v="12846"/>
    <n v="12846"/>
  </r>
  <r>
    <m/>
    <m/>
    <x v="0"/>
    <m/>
    <x v="0"/>
    <s v="8.2.22"/>
    <s v="Крісло персоналу "/>
    <s v="Крісло"/>
    <s v="шт"/>
    <n v="5"/>
    <m/>
    <n v="3200"/>
    <n v="0"/>
    <n v="16000"/>
    <n v="16000"/>
  </r>
  <r>
    <m/>
    <m/>
    <x v="0"/>
    <m/>
    <x v="0"/>
    <s v="8.2.23"/>
    <s v="УФ лампа бактерицидна "/>
    <s v="УФ лампа"/>
    <s v="шт"/>
    <n v="1"/>
    <m/>
    <n v="1640"/>
    <n v="0"/>
    <n v="1640"/>
    <n v="1640"/>
  </r>
  <r>
    <m/>
    <m/>
    <x v="0"/>
    <m/>
    <x v="0"/>
    <s v="8.2.24"/>
    <s v="металеві двохсекційні шафи/шафки для одягу"/>
    <s v="Шафа"/>
    <s v="шт"/>
    <n v="6"/>
    <m/>
    <n v="5670"/>
    <n v="0"/>
    <n v="34020"/>
    <n v="34020"/>
  </r>
  <r>
    <m/>
    <m/>
    <x v="0"/>
    <m/>
    <x v="0"/>
    <s v="8.2.25"/>
    <s v="диспенсер для туалетного паперу"/>
    <s v="Дозатор"/>
    <s v="шт"/>
    <n v="2"/>
    <m/>
    <n v="511"/>
    <n v="0"/>
    <n v="1022"/>
    <n v="1022"/>
  </r>
  <r>
    <m/>
    <m/>
    <x v="0"/>
    <m/>
    <x v="0"/>
    <s v="8.2.26"/>
    <s v="Поручень Laris 500мм"/>
    <s v="Поручень"/>
    <s v="шт"/>
    <n v="1"/>
    <m/>
    <n v="518"/>
    <n v="0"/>
    <n v="518"/>
    <n v="518"/>
  </r>
  <r>
    <m/>
    <m/>
    <x v="0"/>
    <m/>
    <x v="0"/>
    <s v="8.2.27"/>
    <s v="поручні"/>
    <s v="Поручень"/>
    <s v="шт"/>
    <n v="1"/>
    <m/>
    <n v="877"/>
    <n v="0"/>
    <n v="877"/>
    <n v="877"/>
  </r>
  <r>
    <m/>
    <m/>
    <x v="0"/>
    <m/>
    <x v="0"/>
    <s v="8.2.28"/>
    <s v="Генератор 11 квт"/>
    <s v="Генератор"/>
    <s v="шт"/>
    <n v="1"/>
    <m/>
    <n v="96000"/>
    <n v="0"/>
    <n v="96000"/>
    <n v="96000"/>
  </r>
  <r>
    <m/>
    <m/>
    <x v="0"/>
    <m/>
    <x v="0"/>
    <s v="8.2.29"/>
    <s v="Інформаційний банер зовнішній - 2130х500мм "/>
    <s v="Інформаційний банер"/>
    <s v="шт"/>
    <n v="2"/>
    <m/>
    <n v="5100"/>
    <n v="0"/>
    <n v="10200"/>
    <n v="10200"/>
  </r>
  <r>
    <m/>
    <m/>
    <x v="0"/>
    <m/>
    <x v="0"/>
    <s v="8.2.30"/>
    <s v="ЄМНІСТЬ 1500Л ВЕРТИКАЛЬНА ПБ БЛАКИТНА"/>
    <s v="Ємність"/>
    <s v="шт"/>
    <n v="1"/>
    <m/>
    <n v="7700"/>
    <n v="0"/>
    <n v="7700"/>
    <n v="7700"/>
  </r>
  <r>
    <m/>
    <m/>
    <x v="0"/>
    <m/>
    <x v="0"/>
    <s v="8.2.31"/>
    <s v="Залізо бетонне дно Д1500 мм "/>
    <s v="плита"/>
    <s v="шт"/>
    <n v="1"/>
    <m/>
    <n v="4235"/>
    <n v="0"/>
    <n v="4235"/>
    <n v="4235"/>
  </r>
  <r>
    <m/>
    <m/>
    <x v="0"/>
    <m/>
    <x v="0"/>
    <s v="8.2.32"/>
    <s v="Залізо бетонне кільце Д1500 мм "/>
    <s v="кільце"/>
    <s v="шт"/>
    <n v="1"/>
    <m/>
    <n v="2967"/>
    <n v="0"/>
    <n v="2967"/>
    <n v="2967"/>
  </r>
  <r>
    <m/>
    <m/>
    <x v="0"/>
    <m/>
    <x v="0"/>
    <s v="8.2.33"/>
    <s v="Залізо бетонна кришка з отвором Д1500 мм"/>
    <s v="плита"/>
    <s v="шт"/>
    <n v="1"/>
    <m/>
    <n v="1970"/>
    <n v="0"/>
    <n v="1970"/>
    <n v="1970"/>
  </r>
  <r>
    <m/>
    <m/>
    <x v="0"/>
    <m/>
    <x v="0"/>
    <s v="8.2.34"/>
    <s v="Пластиковий люк каналізаційний д 700 мм"/>
    <s v="Пластиковий люк каналізаційний д 700 мм"/>
    <s v="шт"/>
    <n v="1"/>
    <m/>
    <n v="701"/>
    <n v="0"/>
    <n v="701"/>
    <n v="701"/>
  </r>
  <r>
    <m/>
    <m/>
    <x v="0"/>
    <m/>
    <x v="0"/>
    <s v="8.2.35"/>
    <s v="Готовий розчин мішок 25 кг"/>
    <s v="Розчин"/>
    <s v="шт"/>
    <n v="3"/>
    <m/>
    <n v="167"/>
    <n v="0"/>
    <n v="501"/>
    <n v="501"/>
  </r>
  <r>
    <m/>
    <m/>
    <x v="0"/>
    <m/>
    <x v="0"/>
    <s v="8.2.36"/>
    <s v="Труба каналізаційна d=110  мм І=3000 мм"/>
    <s v="Труба каналізаційна"/>
    <s v="шт"/>
    <n v="4"/>
    <m/>
    <n v="411"/>
    <n v="0"/>
    <n v="1644"/>
    <n v="1644"/>
  </r>
  <r>
    <m/>
    <m/>
    <x v="0"/>
    <m/>
    <x v="0"/>
    <s v="8.2.37"/>
    <s v="Труба ПЕ 25"/>
    <s v="Труба"/>
    <s v="м"/>
    <n v="50"/>
    <m/>
    <n v="37"/>
    <n v="0"/>
    <n v="1850"/>
    <n v="1850"/>
  </r>
  <r>
    <m/>
    <m/>
    <x v="0"/>
    <m/>
    <x v="0"/>
    <s v="8.2.38"/>
    <s v="Утеплювач Труби (150х1500)"/>
    <s v="Утеплювач труби"/>
    <s v="шт"/>
    <n v="4"/>
    <m/>
    <n v="109"/>
    <n v="0"/>
    <n v="436"/>
    <n v="436"/>
  </r>
  <r>
    <s v="IX"/>
    <m/>
    <x v="0"/>
    <m/>
    <x v="0"/>
    <s v="IX"/>
    <s v="Загальновиробничі витрати"/>
    <s v="Загальновиробничі"/>
    <m/>
    <m/>
    <m/>
    <m/>
    <n v="0"/>
    <n v="0"/>
    <n v="0"/>
  </r>
  <r>
    <s v="9.1"/>
    <m/>
    <x v="0"/>
    <m/>
    <x v="0"/>
    <s v="9.1"/>
    <m/>
    <m/>
    <m/>
    <m/>
    <m/>
    <m/>
    <m/>
    <m/>
    <m/>
  </r>
  <r>
    <s v="9.1.1"/>
    <s v="Прочие производственные затраты"/>
    <x v="1"/>
    <s v="Виробництво/Будівництво"/>
    <x v="9"/>
    <s v="9.1.1"/>
    <s v="Загальновиробничі витрати"/>
    <m/>
    <n v="0.05"/>
    <m/>
    <m/>
    <m/>
    <m/>
    <m/>
    <n v="0"/>
  </r>
  <r>
    <s v="9.1.2"/>
    <s v="Зарплата производственного персонала"/>
    <x v="1"/>
    <s v="Виробництво/Будівництво"/>
    <x v="9"/>
    <s v="9.1.2"/>
    <s v="Транспортні витрати дільниці"/>
    <m/>
    <s v="міс"/>
    <m/>
    <m/>
    <m/>
    <m/>
    <m/>
    <n v="0"/>
  </r>
  <r>
    <s v="9.1.3"/>
    <s v="Зарплата производственного персонала"/>
    <x v="1"/>
    <s v="Виробництво/Будівництво"/>
    <x v="9"/>
    <s v="9.1.3"/>
    <s v="Заходи з охорони праці"/>
    <m/>
    <n v="5.0000000000000001E-3"/>
    <m/>
    <m/>
    <m/>
    <m/>
    <m/>
    <n v="0"/>
  </r>
  <r>
    <s v="9.1.4"/>
    <s v="ГСМ (топливо)"/>
    <x v="1"/>
    <s v="Виробництво/Будівництво"/>
    <x v="9"/>
    <s v="9.1.4"/>
    <s v="Приїзд робітників"/>
    <m/>
    <s v="посл"/>
    <m/>
    <n v="12240"/>
    <m/>
    <n v="0"/>
    <m/>
    <n v="0"/>
  </r>
  <r>
    <s v="9.1.5"/>
    <m/>
    <x v="1"/>
    <s v="Виробництво/Будівництво"/>
    <x v="9"/>
    <s v="9.1.5"/>
    <s v="Розробка ППРа, технолог карт"/>
    <m/>
    <s v="посл"/>
    <m/>
    <m/>
    <m/>
    <m/>
    <m/>
    <n v="0"/>
  </r>
  <r>
    <s v="9.1.6"/>
    <s v="Зарплата PM"/>
    <x v="1"/>
    <s v="Виробництво/Будівництво"/>
    <x v="9"/>
    <s v="9.1.6"/>
    <s v="Зарплата РМ (ф2)"/>
    <m/>
    <s v="міс"/>
    <m/>
    <m/>
    <m/>
    <m/>
    <m/>
    <n v="0"/>
  </r>
  <r>
    <s v="9.1.7"/>
    <s v="Зарплата PM"/>
    <x v="1"/>
    <s v="Виробництво/Будівництво"/>
    <x v="9"/>
    <s v="9.1.7"/>
    <s v="Зарплата РМ"/>
    <m/>
    <s v="міс"/>
    <m/>
    <m/>
    <m/>
    <m/>
    <m/>
    <n v="0"/>
  </r>
  <r>
    <s v="9.1.8"/>
    <s v="Начисления на зарплату PM"/>
    <x v="1"/>
    <s v="Виробництво/Будівництво"/>
    <x v="9"/>
    <s v="9.1.8"/>
    <s v="Начисления на зарплату PM"/>
    <m/>
    <s v="міс"/>
    <m/>
    <m/>
    <m/>
    <m/>
    <m/>
    <n v="0"/>
  </r>
  <r>
    <s v="9.1.9"/>
    <s v="Удержание с зарплаты РМ"/>
    <x v="1"/>
    <s v="Виробництво/Будівництво"/>
    <x v="9"/>
    <s v="9.1.9"/>
    <s v="Утримання зп РМ"/>
    <m/>
    <s v="міс"/>
    <m/>
    <m/>
    <m/>
    <m/>
    <m/>
    <n v="0"/>
  </r>
  <r>
    <s v="9.1.10"/>
    <s v="Зарплата ИТР"/>
    <x v="1"/>
    <s v="Виробництво/Будівництво"/>
    <x v="9"/>
    <s v="9.1.10"/>
    <s v="Зарплата ІТР ) (ф2)"/>
    <m/>
    <s v="міс"/>
    <m/>
    <m/>
    <m/>
    <m/>
    <m/>
    <n v="0"/>
  </r>
  <r>
    <s v="9.1.11"/>
    <s v="Зарплата ИТР"/>
    <x v="1"/>
    <s v="Виробництво/Будівництво"/>
    <x v="9"/>
    <s v="9.1.11"/>
    <s v="Зарплата ІТР "/>
    <m/>
    <s v="міс"/>
    <m/>
    <m/>
    <m/>
    <m/>
    <m/>
    <n v="0"/>
  </r>
  <r>
    <s v="9.1.12"/>
    <s v="Начисления на зарплату ИТР"/>
    <x v="1"/>
    <s v="Виробництво/Будівництво"/>
    <x v="9"/>
    <s v="9.1.12"/>
    <s v="Начисления на зарплату ИТР"/>
    <m/>
    <s v="міс"/>
    <m/>
    <m/>
    <m/>
    <m/>
    <m/>
    <n v="0"/>
  </r>
  <r>
    <s v="9.1.13"/>
    <s v="Удержание с зарплаты ИТР"/>
    <x v="1"/>
    <s v="Виробництво/Будівництво"/>
    <x v="9"/>
    <s v="9.1.13"/>
    <s v="Утримання зп ІТР "/>
    <m/>
    <s v="міс"/>
    <m/>
    <m/>
    <m/>
    <m/>
    <m/>
    <n v="0"/>
  </r>
  <r>
    <s v="9.1.14"/>
    <s v="Суточные"/>
    <x v="1"/>
    <s v="Виробництво/Будівництво"/>
    <x v="9"/>
    <s v="9.1.14"/>
    <s v="Відрядні ІТР"/>
    <m/>
    <s v="днів"/>
    <m/>
    <m/>
    <m/>
    <m/>
    <m/>
    <n v="0"/>
  </r>
  <r>
    <s v="9.1.15"/>
    <s v="Проживание"/>
    <x v="1"/>
    <s v="Виробництво/Будівництво"/>
    <x v="9"/>
    <s v="9.1.15"/>
    <s v="Оренда житла ІТР"/>
    <m/>
    <s v="міс"/>
    <m/>
    <m/>
    <m/>
    <m/>
    <m/>
    <n v="0"/>
  </r>
  <r>
    <s v="9.1.16"/>
    <s v="Проживание"/>
    <x v="1"/>
    <s v="Виробництво/Будівництво"/>
    <x v="9"/>
    <s v="9.1.16"/>
    <s v="Оренда житла робітників"/>
    <m/>
    <s v="днів"/>
    <m/>
    <n v="800"/>
    <m/>
    <n v="0"/>
    <m/>
    <n v="0"/>
  </r>
  <r>
    <s v="9.1.17"/>
    <s v="Зарплата подсобников"/>
    <x v="1"/>
    <s v="Виробництво/Будівництво"/>
    <x v="9"/>
    <s v="9.1.17"/>
    <s v="Зарплата підсобників"/>
    <m/>
    <s v="днів"/>
    <m/>
    <m/>
    <m/>
    <m/>
    <m/>
    <n v="0"/>
  </r>
  <r>
    <s v="9.1.18"/>
    <s v="Прочие налоги"/>
    <x v="1"/>
    <s v="Виробництво/Будівництво"/>
    <x v="9"/>
    <s v="9.1.18"/>
    <s v="Податки від суми надходжень"/>
    <m/>
    <n v="0.03"/>
    <m/>
    <m/>
    <m/>
    <m/>
    <m/>
    <n v="0"/>
  </r>
  <r>
    <s v="9.1.19"/>
    <s v="Комиссия по Фин агенту"/>
    <x v="1"/>
    <s v="Виробництво/Будівництво"/>
    <x v="9"/>
    <s v="9.1.19"/>
    <s v="Податки від Ф2"/>
    <m/>
    <n v="0.15"/>
    <m/>
    <m/>
    <m/>
    <m/>
    <m/>
    <n v="0"/>
  </r>
  <r>
    <s v="9.1.20"/>
    <s v="Аренда сторонней техники"/>
    <x v="1"/>
    <s v="Виробництво/Будівництво"/>
    <x v="9"/>
    <s v="9.1.20"/>
    <s v="Автокран"/>
    <m/>
    <s v="послуга"/>
    <m/>
    <n v="12000"/>
    <m/>
    <n v="0"/>
    <m/>
    <n v="0"/>
  </r>
  <r>
    <s v="9.1.21"/>
    <s v="Зарплата производственного персонала"/>
    <x v="1"/>
    <s v="Виробництво/Будівництво"/>
    <x v="9"/>
    <s v="9.1.21"/>
    <s v="Непередбачувана робота"/>
    <m/>
    <s v="послуга"/>
    <m/>
    <n v="10000"/>
    <m/>
    <n v="0"/>
    <m/>
    <n v="0"/>
  </r>
  <r>
    <s v="9.1.22"/>
    <s v="Прочие производственные затраты"/>
    <x v="1"/>
    <s v="Виробництво/Будівництво"/>
    <x v="9"/>
    <s v="9.1.22"/>
    <s v="Непередбачувані матеріали"/>
    <m/>
    <s v="послуга"/>
    <m/>
    <n v="10000"/>
    <m/>
    <n v="0"/>
    <m/>
    <n v="0"/>
  </r>
  <r>
    <s v="9.1.23"/>
    <s v="Аренда сторонней техники"/>
    <x v="1"/>
    <s v="Виробництво/Будівництво"/>
    <x v="9"/>
    <s v="9.1.23"/>
    <s v="Оренда Екскаватора"/>
    <m/>
    <s v="послуга"/>
    <m/>
    <n v="15000"/>
    <m/>
    <n v="0"/>
    <m/>
    <n v="0"/>
  </r>
  <r>
    <s v="9.1.24"/>
    <s v="Транспортные расходы"/>
    <x v="1"/>
    <s v="Виробництво/Будівництво"/>
    <x v="9"/>
    <s v="9.1.24"/>
    <s v="Траснпортны витрати"/>
    <m/>
    <s v="послуга"/>
    <m/>
    <n v="54000"/>
    <m/>
    <n v="0"/>
    <m/>
    <n v="0"/>
  </r>
  <r>
    <s v="9.1.25"/>
    <s v="Услуги сторонних организаций"/>
    <x v="1"/>
    <s v="Виробництво/Будівництво"/>
    <x v="9"/>
    <s v="9.1.25"/>
    <s v="Розробка креслень"/>
    <m/>
    <s v="послуга"/>
    <m/>
    <n v="50000"/>
    <m/>
    <n v="0"/>
    <m/>
    <n v="0"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s v="№"/>
    <s v="Ст.затрат Упр отч"/>
    <s v="Найменування роботи "/>
    <s v="Од. виміру"/>
    <s v="Об'єм"/>
    <s v="Одинична розцінка або ціна, грн. з ПДВ_x000a_З КОЕФ "/>
    <s v="Количество"/>
    <s v="Коефіцієнт"/>
    <m/>
  </r>
  <r>
    <m/>
    <m/>
    <x v="0"/>
    <m/>
    <x v="0"/>
    <m/>
    <n v="1"/>
    <n v="2"/>
    <n v="3"/>
    <n v="4"/>
    <n v="5"/>
    <n v="6"/>
    <n v="7"/>
    <n v="8"/>
    <n v="9"/>
  </r>
  <r>
    <m/>
    <s v="МШП"/>
    <x v="0"/>
    <m/>
    <x v="0"/>
    <m/>
    <m/>
    <s v="МШП"/>
    <s v="МШП"/>
    <s v="мес"/>
    <m/>
    <n v="4000"/>
    <n v="1"/>
    <n v="1.1499999999999999"/>
    <n v="0"/>
  </r>
  <r>
    <m/>
    <s v="Канцтовары"/>
    <x v="0"/>
    <m/>
    <x v="0"/>
    <m/>
    <m/>
    <s v="Канцтовары"/>
    <s v="Канцтовары"/>
    <s v="мес"/>
    <m/>
    <n v="1700"/>
    <n v="1"/>
    <n v="1"/>
    <n v="0"/>
  </r>
  <r>
    <m/>
    <s v="Другие хозтовары"/>
    <x v="0"/>
    <m/>
    <x v="0"/>
    <m/>
    <m/>
    <s v="Другие хозтовары"/>
    <s v="Чай, кофе"/>
    <s v="мес"/>
    <m/>
    <n v="1000"/>
    <n v="1"/>
    <n v="1.1499999999999999"/>
    <n v="0"/>
  </r>
  <r>
    <m/>
    <s v="Заправка картриджа"/>
    <x v="0"/>
    <m/>
    <x v="0"/>
    <m/>
    <m/>
    <s v="Заправка картриджа"/>
    <s v="Заправка картриджа"/>
    <s v="мес"/>
    <m/>
    <n v="400"/>
    <n v="1"/>
    <n v="1.1499999999999999"/>
    <n v="0"/>
  </r>
  <r>
    <m/>
    <s v="Питьевая вода"/>
    <x v="0"/>
    <m/>
    <x v="0"/>
    <m/>
    <m/>
    <s v="Питьевая вода"/>
    <s v="Питьевая вода"/>
    <s v="мес"/>
    <m/>
    <n v="1000"/>
    <n v="1"/>
    <n v="1"/>
    <n v="0"/>
  </r>
  <r>
    <m/>
    <s v="Курьерские и почтовые"/>
    <x v="0"/>
    <m/>
    <x v="0"/>
    <m/>
    <m/>
    <s v="Курьерские и почтовые"/>
    <s v="Курьерские и почтовые"/>
    <s v="мес"/>
    <m/>
    <n v="5000"/>
    <n v="1"/>
    <n v="1"/>
    <n v="0"/>
  </r>
  <r>
    <m/>
    <s v="Ремонты"/>
    <x v="0"/>
    <m/>
    <x v="0"/>
    <m/>
    <m/>
    <s v="Ремонты"/>
    <s v="Ремонты инструмента"/>
    <s v="мес"/>
    <m/>
    <n v="3000"/>
    <n v="1"/>
    <n v="1"/>
    <n v="0"/>
  </r>
  <r>
    <m/>
    <m/>
    <x v="0"/>
    <m/>
    <x v="0"/>
    <m/>
    <m/>
    <m/>
    <s v="Разом по розділу"/>
    <m/>
    <m/>
    <m/>
    <m/>
    <m/>
    <n v="0"/>
  </r>
  <r>
    <m/>
    <m/>
    <x v="0"/>
    <m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6B026-E993-486E-A142-22C26A8FC619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D13" firstHeaderRow="1" firstDataRow="2" firstDataCol="1"/>
  <pivotFields count="15">
    <pivotField showAll="0"/>
    <pivotField showAll="0"/>
    <pivotField axis="axisCol" showAll="0">
      <items count="4">
        <item x="2"/>
        <item x="1"/>
        <item h="1" x="0"/>
        <item t="default"/>
      </items>
    </pivotField>
    <pivotField showAll="0"/>
    <pivotField axis="axisRow" showAll="0">
      <items count="11">
        <item x="7"/>
        <item h="1" x="9"/>
        <item x="1"/>
        <item x="8"/>
        <item x="4"/>
        <item x="2"/>
        <item x="6"/>
        <item x="3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полю Всього,   грн. з ПДВ" fld="14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E91C-5D3B-4020-85DD-A91D4E5CE424}">
  <sheetPr>
    <tabColor rgb="FF92D050"/>
    <pageSetUpPr fitToPage="1"/>
  </sheetPr>
  <dimension ref="A1:I160"/>
  <sheetViews>
    <sheetView showZeros="0" zoomScaleNormal="100" workbookViewId="0">
      <pane xSplit="1" ySplit="1" topLeftCell="B125" activePane="bottomRight" state="frozen"/>
      <selection activeCell="C103" sqref="C103"/>
      <selection pane="topRight" activeCell="C103" sqref="C103"/>
      <selection pane="bottomLeft" activeCell="C103" sqref="C103"/>
      <selection pane="bottomRight" activeCell="H17" sqref="H17"/>
    </sheetView>
  </sheetViews>
  <sheetFormatPr defaultColWidth="8.85546875" defaultRowHeight="12.75" x14ac:dyDescent="0.2"/>
  <cols>
    <col min="1" max="1" width="39.7109375" style="9" bestFit="1" customWidth="1"/>
    <col min="2" max="3" width="15.28515625" style="9" customWidth="1"/>
    <col min="4" max="4" width="18.140625" style="9" customWidth="1"/>
    <col min="5" max="5" width="22.140625" style="9" customWidth="1"/>
    <col min="6" max="6" width="10.7109375" style="9" bestFit="1" customWidth="1"/>
    <col min="7" max="7" width="12.42578125" style="9" bestFit="1" customWidth="1"/>
    <col min="8" max="8" width="34.140625" style="9" bestFit="1" customWidth="1"/>
    <col min="9" max="9" width="20.5703125" style="9" bestFit="1" customWidth="1"/>
    <col min="10" max="16384" width="8.85546875" style="9"/>
  </cols>
  <sheetData>
    <row r="1" spans="1:9" ht="26.25" thickBot="1" x14ac:dyDescent="0.25">
      <c r="A1" s="104" t="s">
        <v>63</v>
      </c>
      <c r="B1" s="10" t="s">
        <v>54</v>
      </c>
      <c r="C1" s="11" t="s">
        <v>52</v>
      </c>
      <c r="D1" s="12" t="s">
        <v>64</v>
      </c>
      <c r="E1" s="13" t="s">
        <v>65</v>
      </c>
      <c r="G1" s="131"/>
      <c r="H1" s="132" t="s">
        <v>533</v>
      </c>
      <c r="I1" s="133">
        <f>D101+D98</f>
        <v>3213611.4210000001</v>
      </c>
    </row>
    <row r="2" spans="1:9" ht="16.5" thickBot="1" x14ac:dyDescent="0.25">
      <c r="A2" s="85" t="s">
        <v>66</v>
      </c>
      <c r="B2" s="14">
        <f>B3+B10</f>
        <v>3838766</v>
      </c>
      <c r="C2" s="15">
        <f>C3+C10</f>
        <v>0</v>
      </c>
      <c r="D2" s="16">
        <f t="shared" ref="D2:D65" si="0">B2+C2</f>
        <v>3838766</v>
      </c>
      <c r="E2" s="17"/>
      <c r="G2" s="134"/>
      <c r="H2" s="135" t="s">
        <v>526</v>
      </c>
      <c r="I2" s="136">
        <f>D14-I1</f>
        <v>1333865.5033247285</v>
      </c>
    </row>
    <row r="3" spans="1:9" ht="16.5" thickBot="1" x14ac:dyDescent="0.25">
      <c r="A3" s="89" t="s">
        <v>67</v>
      </c>
      <c r="B3" s="18">
        <f>SUM(B4:B9)</f>
        <v>3838766</v>
      </c>
      <c r="C3" s="19">
        <f>SUM(C4:C9)</f>
        <v>0</v>
      </c>
      <c r="D3" s="20">
        <f t="shared" si="0"/>
        <v>3838766</v>
      </c>
      <c r="E3" s="21"/>
      <c r="G3" s="134"/>
      <c r="H3" s="137" t="s">
        <v>527</v>
      </c>
      <c r="I3" s="136">
        <f>I4*3%</f>
        <v>115162.98</v>
      </c>
    </row>
    <row r="4" spans="1:9" ht="18.75" thickBot="1" x14ac:dyDescent="0.25">
      <c r="A4" s="92" t="s">
        <v>68</v>
      </c>
      <c r="B4" s="22">
        <v>3838766</v>
      </c>
      <c r="C4" s="23"/>
      <c r="D4" s="24">
        <f t="shared" si="0"/>
        <v>3838766</v>
      </c>
      <c r="E4" s="25"/>
      <c r="G4" s="134"/>
      <c r="H4" s="137" t="s">
        <v>528</v>
      </c>
      <c r="I4" s="138">
        <f>B4</f>
        <v>3838766</v>
      </c>
    </row>
    <row r="5" spans="1:9" ht="18.75" thickBot="1" x14ac:dyDescent="0.25">
      <c r="A5" s="92" t="s">
        <v>69</v>
      </c>
      <c r="B5" s="22"/>
      <c r="C5" s="23"/>
      <c r="D5" s="26">
        <f t="shared" si="0"/>
        <v>0</v>
      </c>
      <c r="E5" s="27"/>
      <c r="G5" s="139"/>
      <c r="H5" s="137" t="s">
        <v>529</v>
      </c>
      <c r="I5" s="140">
        <f>I4-I3-I2-I1</f>
        <v>-823873.90432472853</v>
      </c>
    </row>
    <row r="6" spans="1:9" ht="16.5" thickBot="1" x14ac:dyDescent="0.25">
      <c r="A6" s="92" t="s">
        <v>70</v>
      </c>
      <c r="B6" s="22"/>
      <c r="C6" s="23"/>
      <c r="D6" s="26">
        <f t="shared" si="0"/>
        <v>0</v>
      </c>
      <c r="E6" s="27"/>
      <c r="G6" s="139"/>
      <c r="H6" s="137" t="s">
        <v>530</v>
      </c>
      <c r="I6" s="142">
        <f>I5/I4</f>
        <v>-0.21461946477715196</v>
      </c>
    </row>
    <row r="7" spans="1:9" ht="19.5" thickBot="1" x14ac:dyDescent="0.25">
      <c r="A7" s="92" t="s">
        <v>186</v>
      </c>
      <c r="B7" s="22"/>
      <c r="C7" s="23"/>
      <c r="D7" s="26">
        <f t="shared" si="0"/>
        <v>0</v>
      </c>
      <c r="E7" s="27"/>
      <c r="G7" s="139"/>
      <c r="H7" s="137" t="s">
        <v>531</v>
      </c>
      <c r="I7" s="141">
        <v>1</v>
      </c>
    </row>
    <row r="8" spans="1:9" ht="18.75" thickBot="1" x14ac:dyDescent="0.25">
      <c r="A8" s="92" t="s">
        <v>71</v>
      </c>
      <c r="B8" s="22"/>
      <c r="C8" s="23"/>
      <c r="D8" s="26">
        <f t="shared" si="0"/>
        <v>0</v>
      </c>
      <c r="E8" s="27"/>
      <c r="G8" s="139"/>
      <c r="H8" s="137" t="s">
        <v>532</v>
      </c>
      <c r="I8" s="140">
        <f>I7*I5</f>
        <v>-823873.90432472853</v>
      </c>
    </row>
    <row r="9" spans="1:9" x14ac:dyDescent="0.2">
      <c r="A9" s="92" t="s">
        <v>72</v>
      </c>
      <c r="B9" s="22"/>
      <c r="C9" s="23"/>
      <c r="D9" s="26">
        <f t="shared" si="0"/>
        <v>0</v>
      </c>
      <c r="E9" s="27"/>
    </row>
    <row r="10" spans="1:9" x14ac:dyDescent="0.2">
      <c r="A10" s="89" t="s">
        <v>73</v>
      </c>
      <c r="B10" s="18">
        <f>SUM(B11:B13)</f>
        <v>0</v>
      </c>
      <c r="C10" s="19">
        <f>SUM(C11:C13)</f>
        <v>0</v>
      </c>
      <c r="D10" s="20">
        <f t="shared" si="0"/>
        <v>0</v>
      </c>
      <c r="E10" s="21"/>
    </row>
    <row r="11" spans="1:9" x14ac:dyDescent="0.2">
      <c r="A11" s="86" t="s">
        <v>187</v>
      </c>
      <c r="B11" s="22"/>
      <c r="C11" s="23"/>
      <c r="D11" s="26">
        <f t="shared" si="0"/>
        <v>0</v>
      </c>
      <c r="E11" s="27"/>
    </row>
    <row r="12" spans="1:9" x14ac:dyDescent="0.2">
      <c r="A12" s="87" t="s">
        <v>75</v>
      </c>
      <c r="B12" s="22"/>
      <c r="C12" s="23">
        <f>B133</f>
        <v>0</v>
      </c>
      <c r="D12" s="26">
        <f t="shared" si="0"/>
        <v>0</v>
      </c>
      <c r="E12" s="27"/>
      <c r="G12" s="28"/>
      <c r="H12" s="28"/>
    </row>
    <row r="13" spans="1:9" ht="13.5" thickBot="1" x14ac:dyDescent="0.25">
      <c r="A13" s="87" t="s">
        <v>188</v>
      </c>
      <c r="B13" s="29"/>
      <c r="C13" s="30"/>
      <c r="D13" s="31">
        <f t="shared" si="0"/>
        <v>0</v>
      </c>
      <c r="E13" s="32"/>
      <c r="G13" s="28"/>
      <c r="H13" s="28"/>
    </row>
    <row r="14" spans="1:9" ht="15.75" x14ac:dyDescent="0.2">
      <c r="A14" s="88" t="s">
        <v>76</v>
      </c>
      <c r="B14" s="33">
        <f>B15+B128+B141</f>
        <v>3704526.9243247281</v>
      </c>
      <c r="C14" s="34">
        <f>C15+C128+C141</f>
        <v>842950</v>
      </c>
      <c r="D14" s="35">
        <f t="shared" si="0"/>
        <v>4547476.9243247285</v>
      </c>
      <c r="E14" s="36"/>
      <c r="G14" s="28"/>
    </row>
    <row r="15" spans="1:9" x14ac:dyDescent="0.2">
      <c r="A15" s="89" t="s">
        <v>67</v>
      </c>
      <c r="B15" s="18">
        <f>B16+B70+B93+B66</f>
        <v>3578084.4243247281</v>
      </c>
      <c r="C15" s="19">
        <f>C16+C70+C93+C66</f>
        <v>842950</v>
      </c>
      <c r="D15" s="20">
        <f t="shared" si="0"/>
        <v>4421034.4243247285</v>
      </c>
      <c r="E15" s="37"/>
      <c r="G15" s="28"/>
    </row>
    <row r="16" spans="1:9" x14ac:dyDescent="0.2">
      <c r="A16" s="90" t="s">
        <v>77</v>
      </c>
      <c r="B16" s="38">
        <f>B17+B24+B29+B33+B41+B45+B49+B52+B58+B61+B21</f>
        <v>59000</v>
      </c>
      <c r="C16" s="39">
        <f>C17+C24+C29+C33+C41+C45+C49+C52+C58+C61+C21</f>
        <v>0</v>
      </c>
      <c r="D16" s="40">
        <f t="shared" si="0"/>
        <v>59000</v>
      </c>
      <c r="E16" s="41"/>
      <c r="G16" s="28"/>
    </row>
    <row r="17" spans="1:8" x14ac:dyDescent="0.2">
      <c r="A17" s="91" t="s">
        <v>78</v>
      </c>
      <c r="B17" s="42">
        <f>SUM(B18:B20)</f>
        <v>0</v>
      </c>
      <c r="C17" s="43">
        <f>SUM(C18:C20)</f>
        <v>0</v>
      </c>
      <c r="D17" s="44">
        <f t="shared" si="0"/>
        <v>0</v>
      </c>
      <c r="E17" s="45"/>
      <c r="G17" s="28"/>
    </row>
    <row r="18" spans="1:8" x14ac:dyDescent="0.2">
      <c r="A18" s="92" t="s">
        <v>78</v>
      </c>
      <c r="B18" s="22">
        <f>SUMIF('Проект СС'!$B:$B,$A18,'Проект СС'!$O:$O)</f>
        <v>0</v>
      </c>
      <c r="C18" s="23"/>
      <c r="D18" s="26">
        <f t="shared" si="0"/>
        <v>0</v>
      </c>
      <c r="E18" s="27"/>
    </row>
    <row r="19" spans="1:8" x14ac:dyDescent="0.2">
      <c r="A19" s="92" t="s">
        <v>79</v>
      </c>
      <c r="B19" s="22">
        <f>SUMIF('Проект СС'!$B:$B,$A19,'Проект СС'!$O:$O)</f>
        <v>0</v>
      </c>
      <c r="C19" s="23"/>
      <c r="D19" s="26">
        <f t="shared" si="0"/>
        <v>0</v>
      </c>
      <c r="E19" s="27"/>
    </row>
    <row r="20" spans="1:8" x14ac:dyDescent="0.2">
      <c r="A20" s="92" t="s">
        <v>80</v>
      </c>
      <c r="B20" s="22">
        <f>SUMIF('Проект СС'!$B:$B,$A20,'Проект СС'!$O:$O)</f>
        <v>0</v>
      </c>
      <c r="C20" s="23"/>
      <c r="D20" s="26">
        <f t="shared" si="0"/>
        <v>0</v>
      </c>
      <c r="E20" s="27"/>
    </row>
    <row r="21" spans="1:8" x14ac:dyDescent="0.2">
      <c r="A21" s="91" t="s">
        <v>81</v>
      </c>
      <c r="B21" s="42">
        <f>SUM(B22:B23)</f>
        <v>0</v>
      </c>
      <c r="C21" s="43">
        <f>SUM(C22:C23)</f>
        <v>0</v>
      </c>
      <c r="D21" s="44">
        <f t="shared" si="0"/>
        <v>0</v>
      </c>
      <c r="E21" s="45"/>
      <c r="G21" s="28"/>
      <c r="H21" s="28"/>
    </row>
    <row r="22" spans="1:8" x14ac:dyDescent="0.2">
      <c r="A22" s="92" t="s">
        <v>81</v>
      </c>
      <c r="B22" s="22">
        <f>SUMIF('Проект СС'!$B:$B,$A22,'Проект СС'!$O:$O)</f>
        <v>0</v>
      </c>
      <c r="C22" s="23"/>
      <c r="D22" s="26">
        <f t="shared" si="0"/>
        <v>0</v>
      </c>
      <c r="E22" s="27"/>
      <c r="F22" s="28"/>
      <c r="G22" s="28"/>
    </row>
    <row r="23" spans="1:8" x14ac:dyDescent="0.2">
      <c r="A23" s="92" t="s">
        <v>82</v>
      </c>
      <c r="B23" s="22">
        <f>SUMIF('Проект СС'!$B:$B,$A23,'Проект СС'!$O:$O)</f>
        <v>0</v>
      </c>
      <c r="C23" s="23"/>
      <c r="D23" s="26">
        <f t="shared" si="0"/>
        <v>0</v>
      </c>
      <c r="E23" s="46"/>
      <c r="G23" s="28"/>
    </row>
    <row r="24" spans="1:8" x14ac:dyDescent="0.2">
      <c r="A24" s="91" t="s">
        <v>83</v>
      </c>
      <c r="B24" s="42">
        <f>SUM(B25:B28)</f>
        <v>0</v>
      </c>
      <c r="C24" s="43">
        <f>SUM(C25:C28)</f>
        <v>0</v>
      </c>
      <c r="D24" s="44">
        <f t="shared" si="0"/>
        <v>0</v>
      </c>
      <c r="E24" s="45"/>
    </row>
    <row r="25" spans="1:8" x14ac:dyDescent="0.2">
      <c r="A25" s="92" t="s">
        <v>84</v>
      </c>
      <c r="B25" s="22">
        <f>SUMIF('Проект СС'!$B:$B,$A25,'Проект СС'!$O:$O)</f>
        <v>0</v>
      </c>
      <c r="C25" s="23"/>
      <c r="D25" s="26">
        <f t="shared" si="0"/>
        <v>0</v>
      </c>
      <c r="E25" s="27"/>
    </row>
    <row r="26" spans="1:8" x14ac:dyDescent="0.2">
      <c r="A26" s="92" t="s">
        <v>85</v>
      </c>
      <c r="B26" s="22">
        <f>SUMIF('Проект СС'!$B:$B,$A26,'Проект СС'!$O:$O)</f>
        <v>0</v>
      </c>
      <c r="C26" s="23"/>
      <c r="D26" s="26">
        <f t="shared" si="0"/>
        <v>0</v>
      </c>
      <c r="E26" s="27"/>
    </row>
    <row r="27" spans="1:8" x14ac:dyDescent="0.2">
      <c r="A27" s="92" t="s">
        <v>86</v>
      </c>
      <c r="B27" s="22">
        <f>SUMIF('Проект СС'!$B:$B,$A27,'Проект СС'!$O:$O)</f>
        <v>0</v>
      </c>
      <c r="C27" s="23"/>
      <c r="D27" s="26">
        <f t="shared" si="0"/>
        <v>0</v>
      </c>
      <c r="E27" s="27"/>
    </row>
    <row r="28" spans="1:8" x14ac:dyDescent="0.2">
      <c r="A28" s="92" t="s">
        <v>87</v>
      </c>
      <c r="B28" s="22">
        <f>SUMIF('Проект СС'!$B:$B,$A28,'Проект СС'!$O:$O)</f>
        <v>0</v>
      </c>
      <c r="C28" s="23"/>
      <c r="D28" s="26">
        <f t="shared" si="0"/>
        <v>0</v>
      </c>
      <c r="E28" s="27"/>
    </row>
    <row r="29" spans="1:8" x14ac:dyDescent="0.2">
      <c r="A29" s="91" t="s">
        <v>88</v>
      </c>
      <c r="B29" s="42">
        <f>SUM(B30:B32)</f>
        <v>48000</v>
      </c>
      <c r="C29" s="43">
        <f>SUM(C30:C32)</f>
        <v>0</v>
      </c>
      <c r="D29" s="44">
        <f t="shared" si="0"/>
        <v>48000</v>
      </c>
      <c r="E29" s="45"/>
    </row>
    <row r="30" spans="1:8" x14ac:dyDescent="0.2">
      <c r="A30" s="92" t="s">
        <v>89</v>
      </c>
      <c r="B30" s="22">
        <f>SUMIF('Проект СС'!$B:$B,$A30,'Проект СС'!$O:$O)</f>
        <v>0</v>
      </c>
      <c r="C30" s="23"/>
      <c r="D30" s="26"/>
      <c r="E30" s="27"/>
    </row>
    <row r="31" spans="1:8" x14ac:dyDescent="0.2">
      <c r="A31" s="92" t="s">
        <v>90</v>
      </c>
      <c r="B31" s="22">
        <f>SUMIF('Проект СС'!$B:$B,$A31,'Проект СС'!$O:$O)</f>
        <v>48000</v>
      </c>
      <c r="C31" s="23"/>
      <c r="D31" s="26">
        <f t="shared" si="0"/>
        <v>48000</v>
      </c>
      <c r="E31" s="27"/>
    </row>
    <row r="32" spans="1:8" x14ac:dyDescent="0.2">
      <c r="A32" s="92" t="s">
        <v>91</v>
      </c>
      <c r="B32" s="22">
        <f>SUMIF('Проект СС'!$B:$B,$A32,'Проект СС'!$O:$O)</f>
        <v>0</v>
      </c>
      <c r="C32" s="23"/>
      <c r="D32" s="26">
        <f t="shared" si="0"/>
        <v>0</v>
      </c>
      <c r="E32" s="47"/>
      <c r="G32" s="28"/>
    </row>
    <row r="33" spans="1:8" ht="25.5" x14ac:dyDescent="0.2">
      <c r="A33" s="93" t="s">
        <v>189</v>
      </c>
      <c r="B33" s="42">
        <f>SUM(B34:B40)</f>
        <v>0</v>
      </c>
      <c r="C33" s="43">
        <f>SUM(C34:C40)</f>
        <v>0</v>
      </c>
      <c r="D33" s="44">
        <f t="shared" si="0"/>
        <v>0</v>
      </c>
      <c r="E33" s="45"/>
    </row>
    <row r="34" spans="1:8" x14ac:dyDescent="0.2">
      <c r="A34" s="92" t="s">
        <v>92</v>
      </c>
      <c r="B34" s="22"/>
      <c r="C34" s="22">
        <f>SUMIF('Проект СС'!$B:$B,$A34,'Проект СС'!$O:$O)</f>
        <v>0</v>
      </c>
      <c r="D34" s="26">
        <f>B34+C34</f>
        <v>0</v>
      </c>
      <c r="E34" s="27" t="s">
        <v>93</v>
      </c>
      <c r="F34" s="28"/>
      <c r="G34" s="28"/>
      <c r="H34" s="28"/>
    </row>
    <row r="35" spans="1:8" x14ac:dyDescent="0.2">
      <c r="A35" s="92" t="s">
        <v>94</v>
      </c>
      <c r="B35" s="22">
        <f>SUMIF('Проект СС'!$B:$B,$A35,'Проект СС'!$O:$O)</f>
        <v>0</v>
      </c>
      <c r="C35" s="23"/>
      <c r="D35" s="26">
        <f>B35+C35</f>
        <v>0</v>
      </c>
      <c r="E35" s="27"/>
      <c r="G35" s="28"/>
      <c r="H35" s="28"/>
    </row>
    <row r="36" spans="1:8" x14ac:dyDescent="0.2">
      <c r="A36" s="92" t="s">
        <v>32</v>
      </c>
      <c r="B36" s="22">
        <f>SUMIF('Проект СС'!$B:$B,$A36,'Проект СС'!$O:$O)</f>
        <v>0</v>
      </c>
      <c r="C36" s="23"/>
      <c r="D36" s="26">
        <f>B36+C36</f>
        <v>0</v>
      </c>
      <c r="E36" s="27"/>
      <c r="G36" s="28"/>
      <c r="H36" s="28"/>
    </row>
    <row r="37" spans="1:8" x14ac:dyDescent="0.2">
      <c r="A37" s="92" t="s">
        <v>95</v>
      </c>
      <c r="B37" s="22">
        <f>SUMIF('Проект СС'!$B:$B,$A37,'Проект СС'!$O:$O)</f>
        <v>0</v>
      </c>
      <c r="C37" s="23"/>
      <c r="D37" s="26">
        <f t="shared" si="0"/>
        <v>0</v>
      </c>
      <c r="E37" s="27"/>
    </row>
    <row r="38" spans="1:8" x14ac:dyDescent="0.2">
      <c r="A38" s="92" t="s">
        <v>190</v>
      </c>
      <c r="B38" s="22">
        <f>SUMIF('Проект СС'!$B:$B,$A38,'Проект СС'!$O:$O)</f>
        <v>0</v>
      </c>
      <c r="C38" s="23"/>
      <c r="D38" s="26">
        <f t="shared" si="0"/>
        <v>0</v>
      </c>
      <c r="E38" s="27"/>
    </row>
    <row r="39" spans="1:8" x14ac:dyDescent="0.2">
      <c r="A39" s="92" t="s">
        <v>96</v>
      </c>
      <c r="B39" s="22">
        <f>SUMIF('Проект СС'!$B:$B,$A39,'Проект СС'!$O:$O)</f>
        <v>0</v>
      </c>
      <c r="C39" s="23"/>
      <c r="D39" s="26">
        <f t="shared" si="0"/>
        <v>0</v>
      </c>
      <c r="E39" s="27"/>
    </row>
    <row r="40" spans="1:8" x14ac:dyDescent="0.2">
      <c r="A40" s="92" t="s">
        <v>97</v>
      </c>
      <c r="B40" s="22">
        <f>SUMIF('Проект СС'!$B:$B,$A40,'Проект СС'!$O:$O)</f>
        <v>0</v>
      </c>
      <c r="C40" s="23"/>
      <c r="D40" s="26">
        <f t="shared" si="0"/>
        <v>0</v>
      </c>
      <c r="E40" s="27"/>
    </row>
    <row r="41" spans="1:8" x14ac:dyDescent="0.2">
      <c r="A41" s="91" t="s">
        <v>98</v>
      </c>
      <c r="B41" s="42">
        <f>SUM(B42:B44)</f>
        <v>0</v>
      </c>
      <c r="C41" s="43">
        <f>SUM(C42:C44)</f>
        <v>0</v>
      </c>
      <c r="D41" s="44">
        <f t="shared" si="0"/>
        <v>0</v>
      </c>
      <c r="E41" s="45"/>
    </row>
    <row r="42" spans="1:8" x14ac:dyDescent="0.2">
      <c r="A42" s="92" t="s">
        <v>99</v>
      </c>
      <c r="B42" s="22">
        <f>SUMIF('Проект СС'!$B:$B,$A42,'Проект СС'!$O:$O)</f>
        <v>0</v>
      </c>
      <c r="C42" s="23"/>
      <c r="D42" s="26">
        <f t="shared" si="0"/>
        <v>0</v>
      </c>
      <c r="E42" s="48"/>
    </row>
    <row r="43" spans="1:8" x14ac:dyDescent="0.2">
      <c r="A43" s="92" t="s">
        <v>100</v>
      </c>
      <c r="B43" s="22">
        <f>SUMIF('Проект СС'!$B:$B,$A43,'Проект СС'!$O:$O)</f>
        <v>0</v>
      </c>
      <c r="C43" s="23"/>
      <c r="D43" s="26">
        <f t="shared" si="0"/>
        <v>0</v>
      </c>
      <c r="E43" s="27"/>
    </row>
    <row r="44" spans="1:8" x14ac:dyDescent="0.2">
      <c r="A44" s="92" t="s">
        <v>101</v>
      </c>
      <c r="B44" s="22">
        <f>SUMIF('Проект СС'!$B:$B,$A44,'Проект СС'!$O:$O)</f>
        <v>0</v>
      </c>
      <c r="C44" s="23"/>
      <c r="D44" s="26">
        <f t="shared" si="0"/>
        <v>0</v>
      </c>
      <c r="E44" s="49">
        <v>0.03</v>
      </c>
      <c r="G44" s="28"/>
    </row>
    <row r="45" spans="1:8" x14ac:dyDescent="0.2">
      <c r="A45" s="91" t="s">
        <v>102</v>
      </c>
      <c r="B45" s="42">
        <f>SUM(B46:B48)</f>
        <v>0</v>
      </c>
      <c r="C45" s="43">
        <f>SUM(C46:C48)</f>
        <v>0</v>
      </c>
      <c r="D45" s="44">
        <f t="shared" si="0"/>
        <v>0</v>
      </c>
      <c r="E45" s="45"/>
    </row>
    <row r="46" spans="1:8" x14ac:dyDescent="0.2">
      <c r="A46" s="92" t="s">
        <v>103</v>
      </c>
      <c r="B46" s="22">
        <f>SUMIF('Проект СС'!$B:$B,$A46,'Проект СС'!$O:$O)</f>
        <v>0</v>
      </c>
      <c r="C46" s="23"/>
      <c r="D46" s="26">
        <f t="shared" si="0"/>
        <v>0</v>
      </c>
      <c r="E46" s="46"/>
    </row>
    <row r="47" spans="1:8" x14ac:dyDescent="0.2">
      <c r="A47" s="92" t="s">
        <v>104</v>
      </c>
      <c r="B47" s="22">
        <f>SUMIF('Проект СС'!$B:$B,$A47,'Проект СС'!$O:$O)</f>
        <v>0</v>
      </c>
      <c r="C47" s="23"/>
      <c r="D47" s="26">
        <f t="shared" si="0"/>
        <v>0</v>
      </c>
      <c r="E47" s="27"/>
    </row>
    <row r="48" spans="1:8" x14ac:dyDescent="0.2">
      <c r="A48" s="92" t="s">
        <v>105</v>
      </c>
      <c r="B48" s="22">
        <f>SUMIF('Проект СС'!$B:$B,$A48,'Проект СС'!$O:$O)</f>
        <v>0</v>
      </c>
      <c r="C48" s="23"/>
      <c r="D48" s="26">
        <f t="shared" si="0"/>
        <v>0</v>
      </c>
      <c r="E48" s="27"/>
    </row>
    <row r="49" spans="1:7" x14ac:dyDescent="0.2">
      <c r="A49" s="91" t="s">
        <v>106</v>
      </c>
      <c r="B49" s="42">
        <f>B50+B51</f>
        <v>11000</v>
      </c>
      <c r="C49" s="43">
        <f>C50+C51</f>
        <v>0</v>
      </c>
      <c r="D49" s="44">
        <f t="shared" si="0"/>
        <v>11000</v>
      </c>
      <c r="E49" s="45"/>
    </row>
    <row r="50" spans="1:7" x14ac:dyDescent="0.2">
      <c r="A50" s="92" t="s">
        <v>107</v>
      </c>
      <c r="B50" s="22">
        <f>SUMIF('Проект СС'!$B:$B,$A50,'Проект СС'!$O:$O)</f>
        <v>11000</v>
      </c>
      <c r="C50" s="23"/>
      <c r="D50" s="26">
        <f t="shared" si="0"/>
        <v>11000</v>
      </c>
      <c r="E50" s="27"/>
      <c r="F50" s="50"/>
      <c r="G50" s="28"/>
    </row>
    <row r="51" spans="1:7" x14ac:dyDescent="0.2">
      <c r="A51" s="92" t="s">
        <v>108</v>
      </c>
      <c r="B51" s="22">
        <f>SUMIF('Проект СС'!$B:$B,$A51,'Проект СС'!$O:$O)</f>
        <v>0</v>
      </c>
      <c r="C51" s="23"/>
      <c r="D51" s="26">
        <f t="shared" si="0"/>
        <v>0</v>
      </c>
      <c r="E51" s="27"/>
    </row>
    <row r="52" spans="1:7" x14ac:dyDescent="0.2">
      <c r="A52" s="91" t="s">
        <v>109</v>
      </c>
      <c r="B52" s="42">
        <f>SUM(B53:B57)</f>
        <v>0</v>
      </c>
      <c r="C52" s="43">
        <f>SUM(C53:C57)</f>
        <v>0</v>
      </c>
      <c r="D52" s="44">
        <f t="shared" si="0"/>
        <v>0</v>
      </c>
      <c r="E52" s="45"/>
    </row>
    <row r="53" spans="1:7" x14ac:dyDescent="0.2">
      <c r="A53" s="92" t="s">
        <v>110</v>
      </c>
      <c r="B53" s="22">
        <f>SUMIF('Проект СС'!$B:$B,$A53,'Проект СС'!$O:$O)</f>
        <v>0</v>
      </c>
      <c r="C53" s="23"/>
      <c r="D53" s="26">
        <f t="shared" si="0"/>
        <v>0</v>
      </c>
      <c r="E53" s="27"/>
    </row>
    <row r="54" spans="1:7" x14ac:dyDescent="0.2">
      <c r="A54" s="92" t="s">
        <v>111</v>
      </c>
      <c r="B54" s="22">
        <f>SUMIF('Проект СС'!$B:$B,$A54,'Проект СС'!$O:$O)</f>
        <v>0</v>
      </c>
      <c r="C54" s="23"/>
      <c r="D54" s="26">
        <f t="shared" si="0"/>
        <v>0</v>
      </c>
      <c r="E54" s="27"/>
    </row>
    <row r="55" spans="1:7" x14ac:dyDescent="0.2">
      <c r="A55" s="92" t="s">
        <v>112</v>
      </c>
      <c r="B55" s="22">
        <f>SUMIF('Проект СС'!$B:$B,$A55,'Проект СС'!$O:$O)</f>
        <v>0</v>
      </c>
      <c r="C55" s="23"/>
      <c r="D55" s="26">
        <f t="shared" si="0"/>
        <v>0</v>
      </c>
      <c r="E55" s="27"/>
    </row>
    <row r="56" spans="1:7" x14ac:dyDescent="0.2">
      <c r="A56" s="92" t="s">
        <v>113</v>
      </c>
      <c r="B56" s="22">
        <f>SUMIF('Проект СС'!$B:$B,$A56,'Проект СС'!$O:$O)</f>
        <v>0</v>
      </c>
      <c r="C56" s="23"/>
      <c r="D56" s="26">
        <f t="shared" si="0"/>
        <v>0</v>
      </c>
      <c r="E56" s="27"/>
    </row>
    <row r="57" spans="1:7" x14ac:dyDescent="0.2">
      <c r="A57" s="92" t="s">
        <v>114</v>
      </c>
      <c r="B57" s="22">
        <f>SUMIF('Проект СС'!$B:$B,$A57,'Проект СС'!$O:$O)</f>
        <v>0</v>
      </c>
      <c r="C57" s="23"/>
      <c r="D57" s="26">
        <f t="shared" si="0"/>
        <v>0</v>
      </c>
      <c r="E57" s="27"/>
    </row>
    <row r="58" spans="1:7" x14ac:dyDescent="0.2">
      <c r="A58" s="91" t="s">
        <v>115</v>
      </c>
      <c r="B58" s="42">
        <f>SUM(B59:B60)</f>
        <v>0</v>
      </c>
      <c r="C58" s="43">
        <f>SUM(C59:C60)</f>
        <v>0</v>
      </c>
      <c r="D58" s="44">
        <f t="shared" si="0"/>
        <v>0</v>
      </c>
      <c r="E58" s="45"/>
    </row>
    <row r="59" spans="1:7" x14ac:dyDescent="0.2">
      <c r="A59" s="92" t="s">
        <v>116</v>
      </c>
      <c r="B59" s="22">
        <f>SUMIF('Проект СС'!$B:$B,$A59,'Проект СС'!$O:$O)</f>
        <v>0</v>
      </c>
      <c r="C59" s="23"/>
      <c r="D59" s="26">
        <f>B59+C59</f>
        <v>0</v>
      </c>
      <c r="E59" s="49"/>
    </row>
    <row r="60" spans="1:7" x14ac:dyDescent="0.2">
      <c r="A60" s="92" t="s">
        <v>117</v>
      </c>
      <c r="B60" s="22">
        <f>SUMIF('Проект СС'!$B:$B,$A60,'Проект СС'!$O:$O)</f>
        <v>0</v>
      </c>
      <c r="C60" s="23"/>
      <c r="D60" s="26">
        <f t="shared" si="0"/>
        <v>0</v>
      </c>
      <c r="E60" s="27"/>
    </row>
    <row r="61" spans="1:7" x14ac:dyDescent="0.2">
      <c r="A61" s="91" t="s">
        <v>118</v>
      </c>
      <c r="B61" s="42">
        <f>SUM(B62:B65)</f>
        <v>0</v>
      </c>
      <c r="C61" s="43">
        <f>SUM(C62:C65)</f>
        <v>0</v>
      </c>
      <c r="D61" s="44">
        <f t="shared" si="0"/>
        <v>0</v>
      </c>
      <c r="E61" s="45"/>
    </row>
    <row r="62" spans="1:7" x14ac:dyDescent="0.2">
      <c r="A62" s="92" t="s">
        <v>119</v>
      </c>
      <c r="B62" s="22">
        <f>SUMIF('Проект СС'!$B:$B,$A62,'Проект СС'!$O:$O)</f>
        <v>0</v>
      </c>
      <c r="C62" s="23"/>
      <c r="D62" s="26">
        <f t="shared" si="0"/>
        <v>0</v>
      </c>
      <c r="E62" s="27"/>
    </row>
    <row r="63" spans="1:7" x14ac:dyDescent="0.2">
      <c r="A63" s="92" t="s">
        <v>120</v>
      </c>
      <c r="B63" s="22">
        <f>SUMIF('Проект СС'!$B:$B,$A63,'Проект СС'!$O:$O)</f>
        <v>0</v>
      </c>
      <c r="C63" s="23"/>
      <c r="D63" s="26">
        <f t="shared" si="0"/>
        <v>0</v>
      </c>
      <c r="E63" s="27"/>
    </row>
    <row r="64" spans="1:7" x14ac:dyDescent="0.2">
      <c r="A64" s="92" t="s">
        <v>121</v>
      </c>
      <c r="B64" s="22">
        <f>SUMIF('Проект СС'!$B:$B,$A64,'Проект СС'!$O:$O)</f>
        <v>0</v>
      </c>
      <c r="C64" s="23"/>
      <c r="D64" s="26">
        <f t="shared" si="0"/>
        <v>0</v>
      </c>
      <c r="E64" s="51"/>
    </row>
    <row r="65" spans="1:5" x14ac:dyDescent="0.2">
      <c r="A65" s="92" t="s">
        <v>122</v>
      </c>
      <c r="B65" s="22">
        <f>SUMIF('Проект СС'!$B:$B,$A65,'Проект СС'!$O:$O)</f>
        <v>0</v>
      </c>
      <c r="C65" s="23"/>
      <c r="D65" s="26">
        <f t="shared" si="0"/>
        <v>0</v>
      </c>
      <c r="E65" s="51"/>
    </row>
    <row r="66" spans="1:5" ht="15" x14ac:dyDescent="0.2">
      <c r="A66" s="90" t="s">
        <v>123</v>
      </c>
      <c r="B66" s="52">
        <f>B67</f>
        <v>0</v>
      </c>
      <c r="C66" s="53">
        <f>C67</f>
        <v>0</v>
      </c>
      <c r="D66" s="54">
        <f t="shared" ref="D66:D84" si="1">B66+C66</f>
        <v>0</v>
      </c>
      <c r="E66" s="55"/>
    </row>
    <row r="67" spans="1:5" x14ac:dyDescent="0.2">
      <c r="A67" s="91" t="s">
        <v>123</v>
      </c>
      <c r="B67" s="56">
        <f>SUM(B68:B69)</f>
        <v>0</v>
      </c>
      <c r="C67" s="57">
        <f>SUM(C68:C69)</f>
        <v>0</v>
      </c>
      <c r="D67" s="58">
        <f t="shared" si="1"/>
        <v>0</v>
      </c>
      <c r="E67" s="59"/>
    </row>
    <row r="68" spans="1:5" x14ac:dyDescent="0.2">
      <c r="A68" s="94" t="s">
        <v>124</v>
      </c>
      <c r="B68" s="22">
        <f>SUMIF('Проект СС'!$B:$B,$A68,'Проект СС'!$O:$O)</f>
        <v>0</v>
      </c>
      <c r="C68" s="23"/>
      <c r="D68" s="60">
        <f t="shared" si="1"/>
        <v>0</v>
      </c>
      <c r="E68" s="61"/>
    </row>
    <row r="69" spans="1:5" x14ac:dyDescent="0.2">
      <c r="A69" s="95" t="s">
        <v>125</v>
      </c>
      <c r="B69" s="22">
        <f>SUMIF('Проект СС'!$B:$B,$A69,'Проект СС'!$O:$O)</f>
        <v>0</v>
      </c>
      <c r="C69" s="23"/>
      <c r="D69" s="62">
        <f t="shared" si="1"/>
        <v>0</v>
      </c>
      <c r="E69" s="63"/>
    </row>
    <row r="70" spans="1:5" ht="15" x14ac:dyDescent="0.2">
      <c r="A70" s="90" t="s">
        <v>126</v>
      </c>
      <c r="B70" s="64">
        <f>B71+B76+B83+B86+B90</f>
        <v>40793.003324727782</v>
      </c>
      <c r="C70" s="65">
        <f>C71+C76+C83+C86+C90</f>
        <v>2800</v>
      </c>
      <c r="D70" s="66">
        <f t="shared" si="1"/>
        <v>43593.003324727782</v>
      </c>
      <c r="E70" s="67"/>
    </row>
    <row r="71" spans="1:5" x14ac:dyDescent="0.2">
      <c r="A71" s="91" t="s">
        <v>127</v>
      </c>
      <c r="B71" s="42">
        <f>SUM(B72:B75)</f>
        <v>0</v>
      </c>
      <c r="C71" s="43">
        <f>SUM(C72:C75)</f>
        <v>2800</v>
      </c>
      <c r="D71" s="44">
        <f t="shared" si="1"/>
        <v>2800</v>
      </c>
      <c r="E71" s="45"/>
    </row>
    <row r="72" spans="1:5" x14ac:dyDescent="0.2">
      <c r="A72" s="92" t="s">
        <v>57</v>
      </c>
      <c r="B72" s="22">
        <f>SUMIF('Проект СС'!$B:$B,$A72,'Проект СС'!$O:$O)</f>
        <v>0</v>
      </c>
      <c r="C72" s="23">
        <v>2800</v>
      </c>
      <c r="D72" s="26">
        <f t="shared" si="1"/>
        <v>2800</v>
      </c>
      <c r="E72" s="27"/>
    </row>
    <row r="73" spans="1:5" x14ac:dyDescent="0.2">
      <c r="A73" s="96" t="s">
        <v>128</v>
      </c>
      <c r="B73" s="22">
        <f>SUMIF('Проект СС'!$B:$B,$A73,'Проект СС'!$O:$O)</f>
        <v>0</v>
      </c>
      <c r="C73" s="23"/>
      <c r="D73" s="26">
        <f t="shared" si="1"/>
        <v>0</v>
      </c>
      <c r="E73" s="27"/>
    </row>
    <row r="74" spans="1:5" x14ac:dyDescent="0.2">
      <c r="A74" s="92" t="s">
        <v>129</v>
      </c>
      <c r="B74" s="22">
        <f>SUMIF('Проект СС'!$B:$B,$A74,'Проект СС'!$O:$O)</f>
        <v>0</v>
      </c>
      <c r="C74" s="23"/>
      <c r="D74" s="26">
        <f t="shared" si="1"/>
        <v>0</v>
      </c>
      <c r="E74" s="27"/>
    </row>
    <row r="75" spans="1:5" x14ac:dyDescent="0.2">
      <c r="A75" s="92" t="s">
        <v>130</v>
      </c>
      <c r="B75" s="22">
        <f>SUMIF('Проект СС'!$B:$B,$A75,'Проект СС'!$O:$O)</f>
        <v>0</v>
      </c>
      <c r="C75" s="23"/>
      <c r="D75" s="26">
        <f t="shared" si="1"/>
        <v>0</v>
      </c>
      <c r="E75" s="27"/>
    </row>
    <row r="76" spans="1:5" x14ac:dyDescent="0.2">
      <c r="A76" s="91" t="s">
        <v>126</v>
      </c>
      <c r="B76" s="42">
        <f>SUM(B77:B82)</f>
        <v>0</v>
      </c>
      <c r="C76" s="43">
        <f>SUM(C77:C82)</f>
        <v>0</v>
      </c>
      <c r="D76" s="44">
        <f t="shared" si="1"/>
        <v>0</v>
      </c>
      <c r="E76" s="45"/>
    </row>
    <row r="77" spans="1:5" x14ac:dyDescent="0.2">
      <c r="A77" s="92" t="s">
        <v>131</v>
      </c>
      <c r="B77" s="22">
        <f>SUMIF('Проект СС'!$B:$B,$A77,'Проект СС'!$O:$O)</f>
        <v>0</v>
      </c>
      <c r="C77" s="23"/>
      <c r="D77" s="26">
        <f t="shared" si="1"/>
        <v>0</v>
      </c>
      <c r="E77" s="27"/>
    </row>
    <row r="78" spans="1:5" x14ac:dyDescent="0.2">
      <c r="A78" s="92" t="s">
        <v>53</v>
      </c>
      <c r="B78" s="22">
        <f>SUMIF('Проект СС'!$B:$B,$A78,'Проект СС'!$O:$O)</f>
        <v>0</v>
      </c>
      <c r="C78" s="23"/>
      <c r="D78" s="26">
        <f>B78+C78</f>
        <v>0</v>
      </c>
      <c r="E78" s="27"/>
    </row>
    <row r="79" spans="1:5" x14ac:dyDescent="0.2">
      <c r="A79" s="92" t="s">
        <v>59</v>
      </c>
      <c r="B79" s="22">
        <f>SUMIF('Проект СС'!$B:$B,$A79,'Проект СС'!$O:$O)</f>
        <v>0</v>
      </c>
      <c r="C79" s="23"/>
      <c r="D79" s="26">
        <f>B79+C79</f>
        <v>0</v>
      </c>
      <c r="E79" s="27"/>
    </row>
    <row r="80" spans="1:5" x14ac:dyDescent="0.2">
      <c r="A80" s="92" t="s">
        <v>58</v>
      </c>
      <c r="B80" s="22">
        <f>SUMIF('Проект СС'!$B:$B,$A80,'Проект СС'!$O:$O)</f>
        <v>0</v>
      </c>
      <c r="C80" s="23"/>
      <c r="D80" s="26">
        <f>B80+C80</f>
        <v>0</v>
      </c>
      <c r="E80" s="27"/>
    </row>
    <row r="81" spans="1:7" x14ac:dyDescent="0.2">
      <c r="A81" s="92" t="s">
        <v>132</v>
      </c>
      <c r="B81" s="22">
        <f>SUMIF('Проект СС'!$B:$B,$A81,'Проект СС'!$O:$O)</f>
        <v>0</v>
      </c>
      <c r="C81" s="23"/>
      <c r="D81" s="26">
        <f t="shared" si="1"/>
        <v>0</v>
      </c>
      <c r="E81" s="27"/>
    </row>
    <row r="82" spans="1:7" x14ac:dyDescent="0.2">
      <c r="A82" s="92" t="s">
        <v>133</v>
      </c>
      <c r="B82" s="22">
        <f>SUMIF('Проект СС'!$B:$B,$A82,'Проект СС'!$O:$O)</f>
        <v>0</v>
      </c>
      <c r="C82" s="23"/>
      <c r="D82" s="26">
        <f t="shared" si="1"/>
        <v>0</v>
      </c>
      <c r="E82" s="27"/>
    </row>
    <row r="83" spans="1:7" x14ac:dyDescent="0.2">
      <c r="A83" s="91" t="s">
        <v>134</v>
      </c>
      <c r="B83" s="42">
        <f>SUM(B84:B85)</f>
        <v>0</v>
      </c>
      <c r="C83" s="43">
        <f>SUM(C84:C85)</f>
        <v>0</v>
      </c>
      <c r="D83" s="44">
        <f t="shared" si="1"/>
        <v>0</v>
      </c>
      <c r="E83" s="45"/>
    </row>
    <row r="84" spans="1:7" x14ac:dyDescent="0.2">
      <c r="A84" s="92" t="s">
        <v>135</v>
      </c>
      <c r="B84" s="22">
        <f>SUMIF('Проект СС'!$B:$B,$A84,'Проект СС'!$O:$O)</f>
        <v>0</v>
      </c>
      <c r="C84" s="23"/>
      <c r="D84" s="26">
        <f t="shared" si="1"/>
        <v>0</v>
      </c>
      <c r="E84" s="68"/>
    </row>
    <row r="85" spans="1:7" x14ac:dyDescent="0.2">
      <c r="A85" s="92" t="s">
        <v>55</v>
      </c>
      <c r="B85" s="22">
        <f>SUMIF('Проект СС'!$B:$B,$A85,'Проект СС'!$O:$O)</f>
        <v>0</v>
      </c>
      <c r="C85" s="23"/>
      <c r="D85" s="26">
        <f>B85+C85</f>
        <v>0</v>
      </c>
      <c r="E85" s="68" t="s">
        <v>136</v>
      </c>
    </row>
    <row r="86" spans="1:7" x14ac:dyDescent="0.2">
      <c r="A86" s="91" t="s">
        <v>137</v>
      </c>
      <c r="B86" s="42">
        <f>SUM(B87:B89)</f>
        <v>40793.003324727782</v>
      </c>
      <c r="C86" s="43">
        <f>SUM(C87:C89)</f>
        <v>0</v>
      </c>
      <c r="D86" s="44">
        <f>SUM(D87:D89)</f>
        <v>40793.003324727782</v>
      </c>
      <c r="E86" s="69"/>
    </row>
    <row r="87" spans="1:7" x14ac:dyDescent="0.2">
      <c r="A87" s="92" t="s">
        <v>138</v>
      </c>
      <c r="B87" s="22">
        <f>SUMIF('Проект СС'!$B:$B,$A87,'Проект СС'!$O:$O)</f>
        <v>0</v>
      </c>
      <c r="C87" s="23"/>
      <c r="D87" s="26">
        <f t="shared" ref="D87:D148" si="2">B87+C87</f>
        <v>0</v>
      </c>
      <c r="E87" s="70"/>
    </row>
    <row r="88" spans="1:7" x14ac:dyDescent="0.2">
      <c r="A88" s="92" t="s">
        <v>139</v>
      </c>
      <c r="B88" s="22">
        <f>SUMIF('Проект СС'!$B:$B,$A88,'Проект СС'!$O:$O)</f>
        <v>0</v>
      </c>
      <c r="C88" s="23"/>
      <c r="D88" s="26">
        <f t="shared" si="2"/>
        <v>0</v>
      </c>
      <c r="E88" s="70"/>
    </row>
    <row r="89" spans="1:7" x14ac:dyDescent="0.2">
      <c r="A89" s="92" t="s">
        <v>140</v>
      </c>
      <c r="B89" s="22">
        <v>40793.003324727782</v>
      </c>
      <c r="C89" s="23"/>
      <c r="D89" s="26">
        <f>B89+C89</f>
        <v>40793.003324727782</v>
      </c>
      <c r="E89" s="68"/>
      <c r="F89" s="50"/>
      <c r="G89" s="28"/>
    </row>
    <row r="90" spans="1:7" x14ac:dyDescent="0.2">
      <c r="A90" s="93" t="s">
        <v>141</v>
      </c>
      <c r="B90" s="42">
        <f>SUM(B91:B92)</f>
        <v>0</v>
      </c>
      <c r="C90" s="43">
        <f>SUM(C91:C92)</f>
        <v>0</v>
      </c>
      <c r="D90" s="44">
        <f t="shared" si="2"/>
        <v>0</v>
      </c>
      <c r="E90" s="45"/>
    </row>
    <row r="91" spans="1:7" x14ac:dyDescent="0.2">
      <c r="A91" s="92" t="s">
        <v>141</v>
      </c>
      <c r="B91" s="22">
        <f>SUMIF('Проект СС'!$B:$B,$A91,'Проект СС'!$O:$O)</f>
        <v>0</v>
      </c>
      <c r="C91" s="23"/>
      <c r="D91" s="26">
        <f t="shared" si="2"/>
        <v>0</v>
      </c>
      <c r="E91" s="68"/>
    </row>
    <row r="92" spans="1:7" x14ac:dyDescent="0.2">
      <c r="A92" s="92" t="s">
        <v>142</v>
      </c>
      <c r="B92" s="22">
        <f>SUMIF('Проект СС'!$B:$B,$A92,'Проект СС'!$O:$O)</f>
        <v>0</v>
      </c>
      <c r="C92" s="23"/>
      <c r="D92" s="26">
        <f t="shared" si="2"/>
        <v>0</v>
      </c>
      <c r="E92" s="27"/>
    </row>
    <row r="93" spans="1:7" ht="15" x14ac:dyDescent="0.2">
      <c r="A93" s="90" t="s">
        <v>143</v>
      </c>
      <c r="B93" s="64">
        <f>B94+B105+B113+B117</f>
        <v>3478291.4210000001</v>
      </c>
      <c r="C93" s="65">
        <f>C94+C105+C113+C117</f>
        <v>840150</v>
      </c>
      <c r="D93" s="66">
        <f t="shared" si="2"/>
        <v>4318441.4210000001</v>
      </c>
      <c r="E93" s="67"/>
    </row>
    <row r="94" spans="1:7" x14ac:dyDescent="0.2">
      <c r="A94" s="91" t="s">
        <v>144</v>
      </c>
      <c r="B94" s="42">
        <f>SUM(B95:B104)</f>
        <v>3436691.4210000001</v>
      </c>
      <c r="C94" s="43">
        <f>SUM(C95:C104)</f>
        <v>0</v>
      </c>
      <c r="D94" s="44">
        <f t="shared" si="2"/>
        <v>3436691.4210000001</v>
      </c>
      <c r="E94" s="45"/>
    </row>
    <row r="95" spans="1:7" x14ac:dyDescent="0.2">
      <c r="A95" s="92" t="s">
        <v>145</v>
      </c>
      <c r="B95" s="22">
        <f>SUMIF('Проект СС'!$B:$B,$A95,'Проект СС'!$O:$O)</f>
        <v>0</v>
      </c>
      <c r="C95" s="23"/>
      <c r="D95" s="26">
        <f t="shared" si="2"/>
        <v>0</v>
      </c>
      <c r="E95" s="27"/>
    </row>
    <row r="96" spans="1:7" x14ac:dyDescent="0.2">
      <c r="A96" s="92" t="s">
        <v>146</v>
      </c>
      <c r="B96" s="22">
        <f>SUMIF('Проект СС'!$B:$B,$A96,'Проект СС'!$O:$O)</f>
        <v>0</v>
      </c>
      <c r="C96" s="23"/>
      <c r="D96" s="26">
        <f t="shared" si="2"/>
        <v>0</v>
      </c>
      <c r="E96" s="27"/>
    </row>
    <row r="97" spans="1:8" x14ac:dyDescent="0.2">
      <c r="A97" s="92" t="s">
        <v>147</v>
      </c>
      <c r="B97" s="22">
        <f>SUMIF('Проект СС'!$B:$B,$A97,'Проект СС'!$O:$O)</f>
        <v>0</v>
      </c>
      <c r="C97" s="23"/>
      <c r="D97" s="26">
        <f t="shared" si="2"/>
        <v>0</v>
      </c>
      <c r="E97" s="27"/>
    </row>
    <row r="98" spans="1:8" x14ac:dyDescent="0.2">
      <c r="A98" s="92" t="s">
        <v>21</v>
      </c>
      <c r="B98" s="22">
        <f>SUMIF('Проект СС'!$B:$B,$A98,'Проект СС'!$O:$O)</f>
        <v>5581.52</v>
      </c>
      <c r="C98" s="23"/>
      <c r="D98" s="26">
        <f t="shared" si="2"/>
        <v>5581.52</v>
      </c>
      <c r="E98" s="27"/>
      <c r="G98" s="28"/>
      <c r="H98" s="28"/>
    </row>
    <row r="99" spans="1:8" x14ac:dyDescent="0.2">
      <c r="A99" s="92" t="s">
        <v>148</v>
      </c>
      <c r="B99" s="22">
        <f>SUMIF('Проект СС'!$B:$B,$A99,'Проект СС'!$O:$O)</f>
        <v>0</v>
      </c>
      <c r="C99" s="23"/>
      <c r="D99" s="26">
        <f t="shared" si="2"/>
        <v>0</v>
      </c>
      <c r="E99" s="27"/>
      <c r="G99" s="28"/>
      <c r="H99" s="28"/>
    </row>
    <row r="100" spans="1:8" x14ac:dyDescent="0.2">
      <c r="A100" s="92" t="s">
        <v>60</v>
      </c>
      <c r="B100" s="22">
        <f>SUMIF('Проект СС'!$B:$B,$A100,'Проект СС'!$O:$O)</f>
        <v>0</v>
      </c>
      <c r="C100" s="23"/>
      <c r="D100" s="26">
        <f t="shared" si="2"/>
        <v>0</v>
      </c>
      <c r="E100" s="27"/>
    </row>
    <row r="101" spans="1:8" x14ac:dyDescent="0.2">
      <c r="A101" s="92" t="s">
        <v>149</v>
      </c>
      <c r="B101" s="22">
        <f>SUMIF('Проект СС'!$B:$B,$A101,'Проект СС'!$O:$O)</f>
        <v>3208029.9010000001</v>
      </c>
      <c r="C101" s="23"/>
      <c r="D101" s="26">
        <f t="shared" si="2"/>
        <v>3208029.9010000001</v>
      </c>
      <c r="E101" s="27"/>
    </row>
    <row r="102" spans="1:8" x14ac:dyDescent="0.2">
      <c r="A102" s="92" t="s">
        <v>150</v>
      </c>
      <c r="B102" s="22">
        <f>SUMIF('Проект СС'!$B:$B,$A102,'Проект СС'!$O:$O)</f>
        <v>0</v>
      </c>
      <c r="C102" s="23"/>
      <c r="D102" s="26">
        <f t="shared" si="2"/>
        <v>0</v>
      </c>
      <c r="E102" s="27"/>
      <c r="H102" s="28"/>
    </row>
    <row r="103" spans="1:8" x14ac:dyDescent="0.2">
      <c r="A103" s="92" t="s">
        <v>151</v>
      </c>
      <c r="B103" s="22">
        <f>SUMIF('Проект СС'!$B:$B,$A103,'Проект СС'!$O:$O)</f>
        <v>223080</v>
      </c>
      <c r="C103" s="23"/>
      <c r="D103" s="26">
        <f t="shared" si="2"/>
        <v>223080</v>
      </c>
      <c r="E103" s="71"/>
      <c r="G103" s="28"/>
      <c r="H103" s="28"/>
    </row>
    <row r="104" spans="1:8" x14ac:dyDescent="0.2">
      <c r="A104" s="92" t="s">
        <v>191</v>
      </c>
      <c r="B104" s="22">
        <f>SUMIF('Проект СС'!$B:$B,$A104,'Проект СС'!$O:$O)</f>
        <v>0</v>
      </c>
      <c r="C104" s="23"/>
      <c r="D104" s="26">
        <f t="shared" si="2"/>
        <v>0</v>
      </c>
      <c r="E104" s="25"/>
      <c r="G104" s="28"/>
      <c r="H104" s="28"/>
    </row>
    <row r="105" spans="1:8" x14ac:dyDescent="0.2">
      <c r="A105" s="91" t="s">
        <v>152</v>
      </c>
      <c r="B105" s="42">
        <f>SUM(B106:B112)</f>
        <v>41600</v>
      </c>
      <c r="C105" s="43">
        <f>SUM(C106:C112)</f>
        <v>0</v>
      </c>
      <c r="D105" s="44">
        <f t="shared" si="2"/>
        <v>41600</v>
      </c>
      <c r="E105" s="72"/>
    </row>
    <row r="106" spans="1:8" x14ac:dyDescent="0.2">
      <c r="A106" s="92" t="s">
        <v>153</v>
      </c>
      <c r="B106" s="22">
        <f>SUMIF('Проект СС'!$B:$B,$A106,'Проект СС'!$O:$O)</f>
        <v>0</v>
      </c>
      <c r="C106" s="23"/>
      <c r="D106" s="24">
        <f t="shared" si="2"/>
        <v>0</v>
      </c>
      <c r="E106" s="25"/>
    </row>
    <row r="107" spans="1:8" x14ac:dyDescent="0.2">
      <c r="A107" s="92" t="s">
        <v>154</v>
      </c>
      <c r="B107" s="22">
        <f>SUMIF('Проект СС'!$B:$B,$A107,'Проект СС'!$O:$O)</f>
        <v>41600</v>
      </c>
      <c r="C107" s="23"/>
      <c r="D107" s="24">
        <f t="shared" si="2"/>
        <v>41600</v>
      </c>
      <c r="E107" s="71"/>
      <c r="G107" s="28"/>
      <c r="H107" s="28"/>
    </row>
    <row r="108" spans="1:8" x14ac:dyDescent="0.2">
      <c r="A108" s="92" t="s">
        <v>155</v>
      </c>
      <c r="B108" s="22">
        <f>SUMIF('Проект СС'!$B:$B,$A108,'Проект СС'!$O:$O)</f>
        <v>0</v>
      </c>
      <c r="C108" s="23"/>
      <c r="D108" s="26">
        <f t="shared" si="2"/>
        <v>0</v>
      </c>
      <c r="E108" s="27"/>
    </row>
    <row r="109" spans="1:8" x14ac:dyDescent="0.2">
      <c r="A109" s="92" t="s">
        <v>156</v>
      </c>
      <c r="B109" s="22">
        <f>SUMIF('Проект СС'!$B:$B,$A109,'Проект СС'!$O:$O)</f>
        <v>0</v>
      </c>
      <c r="C109" s="23"/>
      <c r="D109" s="26">
        <f t="shared" si="2"/>
        <v>0</v>
      </c>
      <c r="E109" s="51"/>
    </row>
    <row r="110" spans="1:8" x14ac:dyDescent="0.2">
      <c r="A110" s="92" t="s">
        <v>157</v>
      </c>
      <c r="B110" s="22">
        <f>SUMIF('Проект СС'!$B:$B,$A110,'Проект СС'!$O:$O)</f>
        <v>0</v>
      </c>
      <c r="C110" s="23"/>
      <c r="D110" s="26">
        <f t="shared" si="2"/>
        <v>0</v>
      </c>
      <c r="E110" s="51"/>
    </row>
    <row r="111" spans="1:8" x14ac:dyDescent="0.2">
      <c r="A111" s="92" t="s">
        <v>158</v>
      </c>
      <c r="B111" s="22">
        <f>SUMIF('Проект СС'!$B:$B,$A111,'Проект СС'!$O:$O)</f>
        <v>0</v>
      </c>
      <c r="C111" s="23"/>
      <c r="D111" s="26">
        <f t="shared" si="2"/>
        <v>0</v>
      </c>
      <c r="E111" s="51"/>
    </row>
    <row r="112" spans="1:8" x14ac:dyDescent="0.2">
      <c r="A112" s="92" t="s">
        <v>22</v>
      </c>
      <c r="B112" s="22">
        <f>SUMIF('Проект СС'!$B:$B,$A112,'Проект СС'!$O:$O)</f>
        <v>0</v>
      </c>
      <c r="C112" s="23"/>
      <c r="D112" s="26">
        <f t="shared" si="2"/>
        <v>0</v>
      </c>
      <c r="E112" s="27"/>
    </row>
    <row r="113" spans="1:7" x14ac:dyDescent="0.2">
      <c r="A113" s="91" t="s">
        <v>159</v>
      </c>
      <c r="B113" s="42">
        <f>SUM(B114:B116)</f>
        <v>0</v>
      </c>
      <c r="C113" s="43">
        <f>SUM(C114:C116)</f>
        <v>0</v>
      </c>
      <c r="D113" s="44">
        <f t="shared" si="2"/>
        <v>0</v>
      </c>
      <c r="E113" s="45"/>
    </row>
    <row r="114" spans="1:7" x14ac:dyDescent="0.2">
      <c r="A114" s="92" t="s">
        <v>160</v>
      </c>
      <c r="B114" s="22">
        <f>SUMIF('Проект СС'!$B:$B,$A114,'Проект СС'!$O:$O)</f>
        <v>0</v>
      </c>
      <c r="C114" s="23"/>
      <c r="D114" s="26">
        <f t="shared" si="2"/>
        <v>0</v>
      </c>
      <c r="E114" s="27"/>
    </row>
    <row r="115" spans="1:7" x14ac:dyDescent="0.2">
      <c r="A115" s="92" t="s">
        <v>161</v>
      </c>
      <c r="B115" s="22">
        <f>SUMIF('Проект СС'!$B:$B,$A115,'Проект СС'!$O:$O)</f>
        <v>0</v>
      </c>
      <c r="C115" s="23"/>
      <c r="D115" s="26">
        <f t="shared" si="2"/>
        <v>0</v>
      </c>
      <c r="E115" s="27"/>
    </row>
    <row r="116" spans="1:7" x14ac:dyDescent="0.2">
      <c r="A116" s="92" t="s">
        <v>162</v>
      </c>
      <c r="B116" s="22">
        <f>SUMIF('Проект СС'!$B:$B,$A116,'Проект СС'!$O:$O)</f>
        <v>0</v>
      </c>
      <c r="C116" s="23"/>
      <c r="D116" s="26">
        <f t="shared" si="2"/>
        <v>0</v>
      </c>
      <c r="E116" s="27"/>
    </row>
    <row r="117" spans="1:7" ht="25.5" x14ac:dyDescent="0.2">
      <c r="A117" s="97" t="s">
        <v>192</v>
      </c>
      <c r="B117" s="42">
        <f>SUM(B118:B127)</f>
        <v>0</v>
      </c>
      <c r="C117" s="43">
        <f>SUM(C118:C127)</f>
        <v>840150</v>
      </c>
      <c r="D117" s="44">
        <f t="shared" si="2"/>
        <v>840150</v>
      </c>
      <c r="E117" s="45"/>
    </row>
    <row r="118" spans="1:7" x14ac:dyDescent="0.2">
      <c r="A118" s="98" t="s">
        <v>193</v>
      </c>
      <c r="B118" s="22"/>
      <c r="C118" s="22">
        <f>SUMIF('Проект СС'!$B:$B,$A118,'Проект СС'!$O:$O)</f>
        <v>840150</v>
      </c>
      <c r="D118" s="26">
        <f t="shared" si="2"/>
        <v>840150</v>
      </c>
      <c r="E118" s="27"/>
    </row>
    <row r="119" spans="1:7" x14ac:dyDescent="0.2">
      <c r="A119" s="94" t="s">
        <v>163</v>
      </c>
      <c r="B119" s="22">
        <f>SUMIF('Проект СС'!$B:$B,$A119,'Проект СС'!$O:$O)</f>
        <v>0</v>
      </c>
      <c r="C119" s="23"/>
      <c r="D119" s="26">
        <f t="shared" si="2"/>
        <v>0</v>
      </c>
      <c r="E119" s="27"/>
    </row>
    <row r="120" spans="1:7" ht="22.5" x14ac:dyDescent="0.2">
      <c r="A120" s="94" t="s">
        <v>164</v>
      </c>
      <c r="B120" s="22">
        <f>SUMIF('Проект СС'!$B:$B,$A120,'Проект СС'!$O:$O)</f>
        <v>0</v>
      </c>
      <c r="C120" s="23"/>
      <c r="D120" s="26">
        <f t="shared" si="2"/>
        <v>0</v>
      </c>
      <c r="E120" s="27"/>
    </row>
    <row r="121" spans="1:7" x14ac:dyDescent="0.2">
      <c r="A121" s="99" t="s">
        <v>165</v>
      </c>
      <c r="B121" s="22">
        <f>SUMIF('Проект СС'!$B:$B,$A121,'Проект СС'!$O:$O)</f>
        <v>0</v>
      </c>
      <c r="C121" s="23"/>
      <c r="D121" s="73">
        <f>B121+C121</f>
        <v>0</v>
      </c>
      <c r="E121" s="49"/>
      <c r="G121" s="28"/>
    </row>
    <row r="122" spans="1:7" x14ac:dyDescent="0.2">
      <c r="A122" s="98" t="s">
        <v>166</v>
      </c>
      <c r="B122" s="22">
        <f>SUMIF('Проект СС'!$B:$B,$A122,'Проект СС'!$O:$O)</f>
        <v>0</v>
      </c>
      <c r="C122" s="23"/>
      <c r="D122" s="24">
        <f>B122+C122</f>
        <v>0</v>
      </c>
      <c r="E122" s="49"/>
      <c r="G122" s="28"/>
    </row>
    <row r="123" spans="1:7" x14ac:dyDescent="0.2">
      <c r="A123" s="94" t="s">
        <v>167</v>
      </c>
      <c r="B123" s="22">
        <f>SUMIF('Проект СС'!$B:$B,$A123,'Проект СС'!$O:$O)</f>
        <v>0</v>
      </c>
      <c r="C123" s="23"/>
      <c r="D123" s="24">
        <f>B123+C123</f>
        <v>0</v>
      </c>
      <c r="E123" s="49"/>
      <c r="G123" s="28"/>
    </row>
    <row r="124" spans="1:7" x14ac:dyDescent="0.2">
      <c r="A124" s="98" t="s">
        <v>194</v>
      </c>
      <c r="B124" s="22">
        <f>SUMIF('Проект СС'!$B:$B,$A124,'Проект СС'!$O:$O)</f>
        <v>0</v>
      </c>
      <c r="C124" s="23"/>
      <c r="D124" s="24">
        <f t="shared" si="2"/>
        <v>0</v>
      </c>
      <c r="E124" s="47"/>
    </row>
    <row r="125" spans="1:7" x14ac:dyDescent="0.2">
      <c r="A125" s="98" t="s">
        <v>195</v>
      </c>
      <c r="B125" s="22">
        <f>SUMIF('Проект СС'!$B:$B,$A125,'Проект СС'!$O:$O)</f>
        <v>0</v>
      </c>
      <c r="C125" s="23"/>
      <c r="D125" s="24">
        <f>B125+C125</f>
        <v>0</v>
      </c>
      <c r="E125" s="47"/>
    </row>
    <row r="126" spans="1:7" x14ac:dyDescent="0.2">
      <c r="A126" s="98" t="s">
        <v>168</v>
      </c>
      <c r="B126" s="22">
        <f>SUMIF('Проект СС'!$B:$B,$A126,'Проект СС'!$O:$O)</f>
        <v>0</v>
      </c>
      <c r="C126" s="23"/>
      <c r="D126" s="24">
        <f t="shared" si="2"/>
        <v>0</v>
      </c>
      <c r="E126" s="47"/>
    </row>
    <row r="127" spans="1:7" x14ac:dyDescent="0.2">
      <c r="A127" s="98" t="s">
        <v>169</v>
      </c>
      <c r="B127" s="22">
        <f>SUMIF('Проект СС'!$B:$B,$A127,'Проект СС'!$O:$O)</f>
        <v>0</v>
      </c>
      <c r="C127" s="23"/>
      <c r="D127" s="26">
        <f t="shared" si="2"/>
        <v>0</v>
      </c>
      <c r="E127" s="46"/>
    </row>
    <row r="128" spans="1:7" ht="15" x14ac:dyDescent="0.2">
      <c r="A128" s="89" t="s">
        <v>170</v>
      </c>
      <c r="B128" s="74">
        <f>B129+B134</f>
        <v>126442.5</v>
      </c>
      <c r="C128" s="75">
        <f>C129+C134</f>
        <v>0</v>
      </c>
      <c r="D128" s="76">
        <f t="shared" si="2"/>
        <v>126442.5</v>
      </c>
      <c r="E128" s="77"/>
    </row>
    <row r="129" spans="1:7" x14ac:dyDescent="0.2">
      <c r="A129" s="93" t="s">
        <v>171</v>
      </c>
      <c r="B129" s="78">
        <f>SUM(B130:B133)</f>
        <v>126442.5</v>
      </c>
      <c r="C129" s="79">
        <f>SUM(C130:C133)</f>
        <v>0</v>
      </c>
      <c r="D129" s="80">
        <f t="shared" si="2"/>
        <v>126442.5</v>
      </c>
      <c r="E129" s="45"/>
    </row>
    <row r="130" spans="1:7" x14ac:dyDescent="0.2">
      <c r="A130" s="100" t="s">
        <v>171</v>
      </c>
      <c r="B130" s="22">
        <f>SUMIF('Проект СС'!$B:$B,$A130,'Проект СС'!$O:$O)</f>
        <v>0</v>
      </c>
      <c r="C130" s="23"/>
      <c r="D130" s="26">
        <f t="shared" si="2"/>
        <v>0</v>
      </c>
      <c r="E130" s="48"/>
    </row>
    <row r="131" spans="1:7" x14ac:dyDescent="0.2">
      <c r="A131" s="100" t="s">
        <v>172</v>
      </c>
      <c r="B131" s="22">
        <f>SUMIF('Проект СС'!$B:$B,$A131,'Проект СС'!$O:$O)</f>
        <v>0</v>
      </c>
      <c r="C131" s="23"/>
      <c r="D131" s="26">
        <f t="shared" si="2"/>
        <v>0</v>
      </c>
      <c r="E131" s="48"/>
    </row>
    <row r="132" spans="1:7" x14ac:dyDescent="0.2">
      <c r="A132" s="92" t="s">
        <v>196</v>
      </c>
      <c r="B132" s="22">
        <f>C14*15%</f>
        <v>126442.5</v>
      </c>
      <c r="C132" s="23"/>
      <c r="D132" s="26">
        <f t="shared" si="2"/>
        <v>126442.5</v>
      </c>
      <c r="E132" s="81" t="s">
        <v>173</v>
      </c>
      <c r="F132" s="28"/>
      <c r="G132" s="28"/>
    </row>
    <row r="133" spans="1:7" x14ac:dyDescent="0.2">
      <c r="A133" s="92" t="s">
        <v>174</v>
      </c>
      <c r="B133" s="22">
        <f>C14*0</f>
        <v>0</v>
      </c>
      <c r="C133" s="23"/>
      <c r="D133" s="26">
        <f t="shared" si="2"/>
        <v>0</v>
      </c>
      <c r="E133" s="27"/>
    </row>
    <row r="134" spans="1:7" x14ac:dyDescent="0.2">
      <c r="A134" s="93" t="s">
        <v>175</v>
      </c>
      <c r="B134" s="78">
        <f>SUM(B135:B136)</f>
        <v>0</v>
      </c>
      <c r="C134" s="79">
        <f>SUM(C135:C136)</f>
        <v>0</v>
      </c>
      <c r="D134" s="80">
        <f t="shared" si="2"/>
        <v>0</v>
      </c>
      <c r="E134" s="45"/>
    </row>
    <row r="135" spans="1:7" x14ac:dyDescent="0.2">
      <c r="A135" s="87" t="s">
        <v>175</v>
      </c>
      <c r="B135" s="22"/>
      <c r="C135" s="23"/>
      <c r="D135" s="26">
        <f t="shared" si="2"/>
        <v>0</v>
      </c>
      <c r="E135" s="48"/>
    </row>
    <row r="136" spans="1:7" x14ac:dyDescent="0.2">
      <c r="A136" s="100" t="s">
        <v>176</v>
      </c>
      <c r="B136" s="22"/>
      <c r="C136" s="23"/>
      <c r="D136" s="26">
        <f t="shared" si="2"/>
        <v>0</v>
      </c>
      <c r="E136" s="48"/>
    </row>
    <row r="137" spans="1:7" x14ac:dyDescent="0.2">
      <c r="A137" s="93" t="s">
        <v>74</v>
      </c>
      <c r="B137" s="22"/>
      <c r="C137" s="105"/>
      <c r="D137" s="26"/>
      <c r="E137" s="48"/>
    </row>
    <row r="138" spans="1:7" x14ac:dyDescent="0.2">
      <c r="A138" s="100" t="s">
        <v>197</v>
      </c>
      <c r="B138" s="22"/>
      <c r="C138" s="105"/>
      <c r="D138" s="26"/>
      <c r="E138" s="48"/>
    </row>
    <row r="139" spans="1:7" x14ac:dyDescent="0.2">
      <c r="A139" s="100" t="s">
        <v>198</v>
      </c>
      <c r="B139" s="22"/>
      <c r="C139" s="105"/>
      <c r="D139" s="26"/>
      <c r="E139" s="48"/>
    </row>
    <row r="140" spans="1:7" x14ac:dyDescent="0.2">
      <c r="A140" s="100" t="s">
        <v>74</v>
      </c>
      <c r="B140" s="22"/>
      <c r="C140" s="105"/>
      <c r="D140" s="26"/>
      <c r="E140" s="48"/>
    </row>
    <row r="141" spans="1:7" ht="15" x14ac:dyDescent="0.2">
      <c r="A141" s="89" t="s">
        <v>177</v>
      </c>
      <c r="B141" s="74">
        <f>SUM(B142:B145)</f>
        <v>0</v>
      </c>
      <c r="C141" s="75">
        <f>SUM(C142:C145)</f>
        <v>0</v>
      </c>
      <c r="D141" s="76">
        <f t="shared" si="2"/>
        <v>0</v>
      </c>
      <c r="E141" s="77"/>
    </row>
    <row r="142" spans="1:7" x14ac:dyDescent="0.2">
      <c r="A142" s="101" t="s">
        <v>178</v>
      </c>
      <c r="B142" s="22">
        <f>SUMIF('Проект СС'!$B:$B,$A142,'Проект СС'!$O:$O)</f>
        <v>0</v>
      </c>
      <c r="C142" s="23"/>
      <c r="D142" s="26">
        <f t="shared" si="2"/>
        <v>0</v>
      </c>
      <c r="E142" s="82"/>
    </row>
    <row r="143" spans="1:7" ht="33.75" x14ac:dyDescent="0.2">
      <c r="A143" s="92" t="s">
        <v>179</v>
      </c>
      <c r="B143" s="22">
        <f>SUMIF('Проект СС'!$B:$B,$A143,'Проект СС'!$O:$O)</f>
        <v>0</v>
      </c>
      <c r="C143" s="23"/>
      <c r="D143" s="26">
        <f t="shared" si="2"/>
        <v>0</v>
      </c>
      <c r="E143" s="49" t="s">
        <v>180</v>
      </c>
    </row>
    <row r="144" spans="1:7" x14ac:dyDescent="0.2">
      <c r="A144" s="92" t="s">
        <v>181</v>
      </c>
      <c r="B144" s="22">
        <f>SUMIF('Проект СС'!$B:$B,$A144,'Проект СС'!$O:$O)</f>
        <v>0</v>
      </c>
      <c r="C144" s="23"/>
      <c r="D144" s="26">
        <f t="shared" si="2"/>
        <v>0</v>
      </c>
      <c r="E144" s="83"/>
    </row>
    <row r="145" spans="1:9" x14ac:dyDescent="0.2">
      <c r="A145" s="102" t="s">
        <v>182</v>
      </c>
      <c r="B145" s="42">
        <f>SUM(B146:B148)</f>
        <v>0</v>
      </c>
      <c r="C145" s="43">
        <f>SUM(C146:C148)</f>
        <v>0</v>
      </c>
      <c r="D145" s="44">
        <f t="shared" si="2"/>
        <v>0</v>
      </c>
      <c r="E145" s="45"/>
    </row>
    <row r="146" spans="1:9" x14ac:dyDescent="0.2">
      <c r="A146" s="92" t="s">
        <v>183</v>
      </c>
      <c r="B146" s="22">
        <f>SUMIF('Проект СС'!$B:$B,$A146,'Проект СС'!$O:$O)</f>
        <v>0</v>
      </c>
      <c r="C146" s="23"/>
      <c r="D146" s="26">
        <f t="shared" si="2"/>
        <v>0</v>
      </c>
      <c r="E146" s="27"/>
    </row>
    <row r="147" spans="1:9" x14ac:dyDescent="0.2">
      <c r="A147" s="92" t="s">
        <v>184</v>
      </c>
      <c r="B147" s="22">
        <f>SUMIF('Проект СС'!$B:$B,$A147,'Проект СС'!$O:$O)</f>
        <v>0</v>
      </c>
      <c r="C147" s="23"/>
      <c r="D147" s="26">
        <f t="shared" si="2"/>
        <v>0</v>
      </c>
      <c r="E147" s="27"/>
    </row>
    <row r="148" spans="1:9" ht="13.5" thickBot="1" x14ac:dyDescent="0.25">
      <c r="A148" s="103" t="s">
        <v>185</v>
      </c>
      <c r="B148" s="22">
        <f>SUMIF('Проект СС'!$B:$B,$A148,'Проект СС'!$O:$O)</f>
        <v>0</v>
      </c>
      <c r="C148" s="30"/>
      <c r="D148" s="31">
        <f t="shared" si="2"/>
        <v>0</v>
      </c>
      <c r="E148" s="32"/>
    </row>
    <row r="155" spans="1:9" x14ac:dyDescent="0.2">
      <c r="D155" s="28"/>
    </row>
    <row r="156" spans="1:9" x14ac:dyDescent="0.2">
      <c r="D156" s="84"/>
      <c r="H156" s="28"/>
      <c r="I156" s="28"/>
    </row>
    <row r="157" spans="1:9" x14ac:dyDescent="0.2">
      <c r="H157" s="28"/>
      <c r="I157" s="28"/>
    </row>
    <row r="158" spans="1:9" x14ac:dyDescent="0.2">
      <c r="H158" s="28"/>
      <c r="I158" s="28"/>
    </row>
    <row r="159" spans="1:9" x14ac:dyDescent="0.2">
      <c r="H159" s="28"/>
      <c r="I159" s="28"/>
    </row>
    <row r="160" spans="1:9" x14ac:dyDescent="0.2">
      <c r="I160" s="28"/>
    </row>
  </sheetData>
  <pageMargins left="0.7" right="0.7" top="0.75" bottom="0.75" header="0.3" footer="0.3"/>
  <pageSetup paperSize="9" scale="42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9C6E-B2E8-4CB7-A121-9CB6CB9DCD8F}">
  <dimension ref="A1:G13"/>
  <sheetViews>
    <sheetView workbookViewId="0">
      <selection activeCell="E18" sqref="E18"/>
    </sheetView>
  </sheetViews>
  <sheetFormatPr defaultRowHeight="15" x14ac:dyDescent="0.25"/>
  <cols>
    <col min="1" max="1" width="32.5703125" bestFit="1" customWidth="1"/>
    <col min="2" max="2" width="20.28515625" bestFit="1" customWidth="1"/>
    <col min="3" max="3" width="7.28515625" bestFit="1" customWidth="1"/>
    <col min="4" max="4" width="11.42578125" bestFit="1" customWidth="1"/>
    <col min="5" max="6" width="13.42578125" bestFit="1" customWidth="1"/>
    <col min="7" max="7" width="12" bestFit="1" customWidth="1"/>
  </cols>
  <sheetData>
    <row r="1" spans="1:7" x14ac:dyDescent="0.25">
      <c r="A1" t="s">
        <v>955</v>
      </c>
      <c r="D1" t="s">
        <v>452</v>
      </c>
      <c r="E1">
        <v>43.5</v>
      </c>
      <c r="F1" t="s">
        <v>453</v>
      </c>
      <c r="G1">
        <f>10*12</f>
        <v>120</v>
      </c>
    </row>
    <row r="3" spans="1:7" x14ac:dyDescent="0.25">
      <c r="A3" s="107" t="s">
        <v>449</v>
      </c>
      <c r="B3" s="107" t="s">
        <v>450</v>
      </c>
      <c r="E3" s="110"/>
      <c r="F3" s="109"/>
      <c r="G3" s="110"/>
    </row>
    <row r="4" spans="1:7" x14ac:dyDescent="0.25">
      <c r="A4" s="107" t="s">
        <v>447</v>
      </c>
      <c r="B4" t="s">
        <v>210</v>
      </c>
      <c r="C4" t="s">
        <v>200</v>
      </c>
      <c r="D4" t="s">
        <v>448</v>
      </c>
      <c r="E4" s="109" t="s">
        <v>455</v>
      </c>
      <c r="F4" s="109" t="s">
        <v>454</v>
      </c>
      <c r="G4" s="109" t="s">
        <v>456</v>
      </c>
    </row>
    <row r="5" spans="1:7" x14ac:dyDescent="0.25">
      <c r="A5" s="108" t="s">
        <v>445</v>
      </c>
      <c r="B5" s="111">
        <v>323204</v>
      </c>
      <c r="C5" s="111">
        <v>0</v>
      </c>
      <c r="D5" s="111">
        <v>323204</v>
      </c>
      <c r="E5" s="111">
        <f>B5/$E$1</f>
        <v>7429.977011494253</v>
      </c>
      <c r="F5" s="111">
        <f>D5/$E$1</f>
        <v>7429.977011494253</v>
      </c>
      <c r="G5" s="113">
        <f>F5/$G$1</f>
        <v>61.916475095785444</v>
      </c>
    </row>
    <row r="6" spans="1:7" x14ac:dyDescent="0.25">
      <c r="A6" s="108" t="s">
        <v>199</v>
      </c>
      <c r="B6" s="111">
        <v>402079.36</v>
      </c>
      <c r="C6" s="111">
        <v>0</v>
      </c>
      <c r="D6" s="111">
        <v>402079.36</v>
      </c>
      <c r="E6" s="111">
        <f t="shared" ref="E6:E12" si="0">B6/$E$1</f>
        <v>9243.2036781609186</v>
      </c>
      <c r="F6" s="111">
        <f t="shared" ref="F6:F12" si="1">D6/$E$1</f>
        <v>9243.2036781609186</v>
      </c>
      <c r="G6" s="113">
        <f t="shared" ref="G6:G12" si="2">F6/$G$1</f>
        <v>77.026697318007649</v>
      </c>
    </row>
    <row r="7" spans="1:7" x14ac:dyDescent="0.25">
      <c r="A7" s="108" t="s">
        <v>406</v>
      </c>
      <c r="B7" s="111"/>
      <c r="C7" s="111">
        <v>0</v>
      </c>
      <c r="D7" s="111">
        <v>0</v>
      </c>
      <c r="E7" s="111">
        <f t="shared" si="0"/>
        <v>0</v>
      </c>
      <c r="F7" s="111">
        <f t="shared" si="1"/>
        <v>0</v>
      </c>
      <c r="G7" s="113">
        <f t="shared" si="2"/>
        <v>0</v>
      </c>
    </row>
    <row r="8" spans="1:7" x14ac:dyDescent="0.25">
      <c r="A8" s="108" t="s">
        <v>289</v>
      </c>
      <c r="B8" s="111">
        <v>144953.03</v>
      </c>
      <c r="C8" s="111">
        <v>0</v>
      </c>
      <c r="D8" s="111">
        <v>144953.03</v>
      </c>
      <c r="E8" s="111">
        <f t="shared" si="0"/>
        <v>3332.2535632183908</v>
      </c>
      <c r="F8" s="111">
        <f t="shared" si="1"/>
        <v>3332.2535632183908</v>
      </c>
      <c r="G8" s="113">
        <f t="shared" si="2"/>
        <v>27.768779693486589</v>
      </c>
    </row>
    <row r="9" spans="1:7" x14ac:dyDescent="0.25">
      <c r="A9" s="108" t="s">
        <v>211</v>
      </c>
      <c r="B9" s="111">
        <v>665033.4</v>
      </c>
      <c r="C9" s="111">
        <v>0</v>
      </c>
      <c r="D9" s="111">
        <v>665033.4</v>
      </c>
      <c r="E9" s="111">
        <f t="shared" si="0"/>
        <v>15288.124137931036</v>
      </c>
      <c r="F9" s="111">
        <f t="shared" si="1"/>
        <v>15288.124137931036</v>
      </c>
      <c r="G9" s="113">
        <f t="shared" si="2"/>
        <v>127.40103448275863</v>
      </c>
    </row>
    <row r="10" spans="1:7" x14ac:dyDescent="0.25">
      <c r="A10" s="108" t="s">
        <v>340</v>
      </c>
      <c r="B10" s="111">
        <v>97874</v>
      </c>
      <c r="C10" s="111">
        <v>0</v>
      </c>
      <c r="D10" s="111">
        <v>97874</v>
      </c>
      <c r="E10" s="111">
        <f t="shared" si="0"/>
        <v>2249.977011494253</v>
      </c>
      <c r="F10" s="111">
        <f t="shared" si="1"/>
        <v>2249.977011494253</v>
      </c>
      <c r="G10" s="113">
        <f t="shared" si="2"/>
        <v>18.749808429118776</v>
      </c>
    </row>
    <row r="11" spans="1:7" x14ac:dyDescent="0.25">
      <c r="A11" s="108" t="s">
        <v>281</v>
      </c>
      <c r="B11" s="111">
        <v>107743.56</v>
      </c>
      <c r="C11" s="111">
        <v>0</v>
      </c>
      <c r="D11" s="111">
        <v>107743.56</v>
      </c>
      <c r="E11" s="111">
        <f t="shared" si="0"/>
        <v>2476.8634482758621</v>
      </c>
      <c r="F11" s="111">
        <f t="shared" si="1"/>
        <v>2476.8634482758621</v>
      </c>
      <c r="G11" s="113">
        <f t="shared" si="2"/>
        <v>20.640528735632184</v>
      </c>
    </row>
    <row r="12" spans="1:7" x14ac:dyDescent="0.25">
      <c r="A12" s="108" t="s">
        <v>297</v>
      </c>
      <c r="B12" s="111">
        <v>136627.03999999998</v>
      </c>
      <c r="C12" s="111">
        <v>0</v>
      </c>
      <c r="D12" s="111">
        <v>136627.03999999998</v>
      </c>
      <c r="E12" s="111">
        <f t="shared" si="0"/>
        <v>3140.8514942528732</v>
      </c>
      <c r="F12" s="111">
        <f t="shared" si="1"/>
        <v>3140.8514942528732</v>
      </c>
      <c r="G12" s="113">
        <f t="shared" si="2"/>
        <v>26.173762452107276</v>
      </c>
    </row>
    <row r="13" spans="1:7" x14ac:dyDescent="0.25">
      <c r="A13" s="108" t="s">
        <v>448</v>
      </c>
      <c r="B13" s="111">
        <v>1877514.3900000001</v>
      </c>
      <c r="C13" s="111">
        <v>0</v>
      </c>
      <c r="D13" s="111">
        <v>1877514.3900000001</v>
      </c>
      <c r="E13" s="112">
        <f>SUM(E5:E12)</f>
        <v>43161.250344827582</v>
      </c>
      <c r="F13" s="112">
        <f>SUM(F5:F12)</f>
        <v>43161.250344827582</v>
      </c>
      <c r="G13" s="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84B-D38A-434A-B061-5DC9E26CC725}">
  <dimension ref="A1:Q387"/>
  <sheetViews>
    <sheetView tabSelected="1" topLeftCell="A132" zoomScale="70" zoomScaleNormal="70" workbookViewId="0">
      <selection activeCell="B333" sqref="B333:E346"/>
    </sheetView>
  </sheetViews>
  <sheetFormatPr defaultColWidth="8.85546875" defaultRowHeight="12.75" outlineLevelCol="1" x14ac:dyDescent="0.2"/>
  <cols>
    <col min="1" max="1" width="17.28515625" style="185" customWidth="1" outlineLevel="1"/>
    <col min="2" max="2" width="34" style="185" customWidth="1" outlineLevel="1"/>
    <col min="3" max="3" width="24.85546875" style="185" customWidth="1" outlineLevel="1"/>
    <col min="4" max="5" width="24.42578125" style="185" customWidth="1" outlineLevel="1"/>
    <col min="6" max="6" width="17.28515625" style="185" customWidth="1"/>
    <col min="7" max="7" width="51.7109375" style="185" customWidth="1"/>
    <col min="8" max="8" width="43.5703125" style="216" bestFit="1" customWidth="1"/>
    <col min="9" max="9" width="24.42578125" style="188" bestFit="1" customWidth="1"/>
    <col min="10" max="10" width="12.140625" style="188" bestFit="1" customWidth="1"/>
    <col min="11" max="11" width="17.28515625" style="188" bestFit="1" customWidth="1"/>
    <col min="12" max="12" width="23" style="188" bestFit="1" customWidth="1"/>
    <col min="13" max="14" width="23" style="188" customWidth="1"/>
    <col min="15" max="15" width="13.85546875" style="188" bestFit="1" customWidth="1"/>
    <col min="16" max="16" width="15" style="156" customWidth="1"/>
    <col min="17" max="16384" width="8.85546875" style="156"/>
  </cols>
  <sheetData>
    <row r="1" spans="1:15" ht="38.25" x14ac:dyDescent="0.2">
      <c r="A1" s="151" t="s">
        <v>451</v>
      </c>
      <c r="B1" s="152" t="s">
        <v>282</v>
      </c>
      <c r="C1" s="152" t="s">
        <v>41</v>
      </c>
      <c r="D1" s="152" t="s">
        <v>202</v>
      </c>
      <c r="E1" s="153" t="s">
        <v>446</v>
      </c>
      <c r="F1" s="151" t="s">
        <v>0</v>
      </c>
      <c r="G1" s="152" t="s">
        <v>1</v>
      </c>
      <c r="H1" s="152" t="s">
        <v>42</v>
      </c>
      <c r="I1" s="154" t="s">
        <v>2</v>
      </c>
      <c r="J1" s="155" t="s">
        <v>3</v>
      </c>
      <c r="K1" s="154" t="s">
        <v>4</v>
      </c>
      <c r="L1" s="154" t="s">
        <v>5</v>
      </c>
      <c r="M1" s="154" t="s">
        <v>6</v>
      </c>
      <c r="N1" s="154" t="s">
        <v>7</v>
      </c>
      <c r="O1" s="154" t="s">
        <v>8</v>
      </c>
    </row>
    <row r="2" spans="1:15" x14ac:dyDescent="0.2">
      <c r="A2" s="1" t="s">
        <v>9</v>
      </c>
      <c r="B2" s="1"/>
      <c r="C2" s="1"/>
      <c r="D2" s="1"/>
      <c r="E2" s="106"/>
      <c r="F2" s="1" t="s">
        <v>9</v>
      </c>
      <c r="G2" s="2" t="s">
        <v>199</v>
      </c>
      <c r="H2" s="2"/>
      <c r="I2" s="116"/>
      <c r="J2" s="117">
        <f>L3+L12</f>
        <v>0</v>
      </c>
      <c r="K2" s="157"/>
      <c r="L2" s="157"/>
      <c r="M2" s="117"/>
      <c r="N2" s="117"/>
      <c r="O2" s="117"/>
    </row>
    <row r="3" spans="1:15" x14ac:dyDescent="0.2">
      <c r="A3" s="4" t="s">
        <v>11</v>
      </c>
      <c r="B3" s="3"/>
      <c r="C3" s="3"/>
      <c r="D3" s="3"/>
      <c r="E3" s="3"/>
      <c r="F3" s="4" t="s">
        <v>11</v>
      </c>
      <c r="G3" s="5" t="s">
        <v>10</v>
      </c>
      <c r="H3" s="5"/>
      <c r="I3" s="118"/>
      <c r="J3" s="118"/>
      <c r="K3" s="118"/>
      <c r="L3" s="119">
        <f>SUM(L5:L11)</f>
        <v>0</v>
      </c>
      <c r="M3" s="158"/>
      <c r="N3" s="120"/>
      <c r="O3" s="120"/>
    </row>
    <row r="4" spans="1:15" x14ac:dyDescent="0.2">
      <c r="A4" s="6" t="s">
        <v>212</v>
      </c>
      <c r="B4" s="159" t="s">
        <v>193</v>
      </c>
      <c r="C4" s="159" t="s">
        <v>200</v>
      </c>
      <c r="D4" s="159" t="s">
        <v>202</v>
      </c>
      <c r="E4" s="159" t="s">
        <v>199</v>
      </c>
      <c r="F4" s="6" t="s">
        <v>212</v>
      </c>
      <c r="G4" s="160" t="s">
        <v>463</v>
      </c>
      <c r="H4" s="5"/>
      <c r="I4" s="118" t="s">
        <v>201</v>
      </c>
      <c r="J4" s="121">
        <f>480/8</f>
        <v>60</v>
      </c>
      <c r="K4" s="118">
        <v>200</v>
      </c>
      <c r="L4" s="119"/>
      <c r="M4" s="161">
        <f>J4*K4</f>
        <v>12000</v>
      </c>
      <c r="N4" s="161">
        <f>J4*L4</f>
        <v>0</v>
      </c>
      <c r="O4" s="161">
        <f t="shared" ref="O4:O83" si="0">N4+M4</f>
        <v>12000</v>
      </c>
    </row>
    <row r="5" spans="1:15" x14ac:dyDescent="0.2">
      <c r="A5" s="6" t="s">
        <v>213</v>
      </c>
      <c r="B5" s="159" t="s">
        <v>193</v>
      </c>
      <c r="C5" s="159" t="s">
        <v>200</v>
      </c>
      <c r="D5" s="159" t="s">
        <v>202</v>
      </c>
      <c r="E5" s="159" t="s">
        <v>199</v>
      </c>
      <c r="F5" s="6" t="s">
        <v>213</v>
      </c>
      <c r="G5" s="160" t="s">
        <v>458</v>
      </c>
      <c r="H5" s="145"/>
      <c r="I5" s="118" t="s">
        <v>201</v>
      </c>
      <c r="J5" s="121">
        <f t="shared" ref="J5:J11" si="1">480/8</f>
        <v>60</v>
      </c>
      <c r="K5" s="118">
        <v>200</v>
      </c>
      <c r="L5" s="123"/>
      <c r="M5" s="161">
        <f>J5*K5</f>
        <v>12000</v>
      </c>
      <c r="N5" s="161">
        <f>J5*L5</f>
        <v>0</v>
      </c>
      <c r="O5" s="161">
        <f t="shared" si="0"/>
        <v>12000</v>
      </c>
    </row>
    <row r="6" spans="1:15" x14ac:dyDescent="0.2">
      <c r="A6" s="6" t="s">
        <v>214</v>
      </c>
      <c r="B6" s="159" t="s">
        <v>193</v>
      </c>
      <c r="C6" s="159" t="s">
        <v>200</v>
      </c>
      <c r="D6" s="159" t="s">
        <v>202</v>
      </c>
      <c r="E6" s="159" t="s">
        <v>199</v>
      </c>
      <c r="F6" s="6" t="s">
        <v>214</v>
      </c>
      <c r="G6" s="160" t="s">
        <v>457</v>
      </c>
      <c r="H6" s="145"/>
      <c r="I6" s="118" t="s">
        <v>201</v>
      </c>
      <c r="J6" s="121">
        <f t="shared" si="1"/>
        <v>60</v>
      </c>
      <c r="K6" s="118">
        <v>200</v>
      </c>
      <c r="L6" s="123"/>
      <c r="M6" s="161">
        <f t="shared" ref="M6:M60" si="2">J6*K6</f>
        <v>12000</v>
      </c>
      <c r="N6" s="161">
        <f t="shared" ref="N6" si="3">J6*L6</f>
        <v>0</v>
      </c>
      <c r="O6" s="161">
        <f t="shared" si="0"/>
        <v>12000</v>
      </c>
    </row>
    <row r="7" spans="1:15" x14ac:dyDescent="0.2">
      <c r="A7" s="6" t="s">
        <v>215</v>
      </c>
      <c r="B7" s="159" t="s">
        <v>193</v>
      </c>
      <c r="C7" s="159" t="s">
        <v>200</v>
      </c>
      <c r="D7" s="159" t="s">
        <v>202</v>
      </c>
      <c r="E7" s="159" t="s">
        <v>199</v>
      </c>
      <c r="F7" s="6" t="s">
        <v>215</v>
      </c>
      <c r="G7" s="160" t="s">
        <v>459</v>
      </c>
      <c r="H7" s="145"/>
      <c r="I7" s="118" t="s">
        <v>201</v>
      </c>
      <c r="J7" s="121">
        <f t="shared" si="1"/>
        <v>60</v>
      </c>
      <c r="K7" s="118">
        <v>200</v>
      </c>
      <c r="L7" s="123"/>
      <c r="M7" s="161">
        <f t="shared" si="2"/>
        <v>12000</v>
      </c>
      <c r="N7" s="161">
        <f t="shared" ref="N7:N11" si="4">J7*L7</f>
        <v>0</v>
      </c>
      <c r="O7" s="161">
        <f t="shared" ref="O7:O11" si="5">N7+M7</f>
        <v>12000</v>
      </c>
    </row>
    <row r="8" spans="1:15" x14ac:dyDescent="0.2">
      <c r="A8" s="6" t="s">
        <v>216</v>
      </c>
      <c r="B8" s="159" t="s">
        <v>193</v>
      </c>
      <c r="C8" s="159" t="s">
        <v>200</v>
      </c>
      <c r="D8" s="159" t="s">
        <v>202</v>
      </c>
      <c r="E8" s="159" t="s">
        <v>199</v>
      </c>
      <c r="F8" s="6" t="s">
        <v>216</v>
      </c>
      <c r="G8" s="160" t="s">
        <v>460</v>
      </c>
      <c r="H8" s="145"/>
      <c r="I8" s="118" t="s">
        <v>201</v>
      </c>
      <c r="J8" s="121">
        <f t="shared" si="1"/>
        <v>60</v>
      </c>
      <c r="K8" s="118">
        <v>200</v>
      </c>
      <c r="L8" s="123"/>
      <c r="M8" s="161">
        <f t="shared" si="2"/>
        <v>12000</v>
      </c>
      <c r="N8" s="161">
        <f t="shared" si="4"/>
        <v>0</v>
      </c>
      <c r="O8" s="161">
        <f t="shared" si="5"/>
        <v>12000</v>
      </c>
    </row>
    <row r="9" spans="1:15" x14ac:dyDescent="0.2">
      <c r="A9" s="6" t="s">
        <v>217</v>
      </c>
      <c r="B9" s="159" t="s">
        <v>193</v>
      </c>
      <c r="C9" s="159" t="s">
        <v>200</v>
      </c>
      <c r="D9" s="159" t="s">
        <v>202</v>
      </c>
      <c r="E9" s="159" t="s">
        <v>199</v>
      </c>
      <c r="F9" s="6" t="s">
        <v>217</v>
      </c>
      <c r="G9" s="160" t="s">
        <v>464</v>
      </c>
      <c r="H9" s="146"/>
      <c r="I9" s="118" t="s">
        <v>201</v>
      </c>
      <c r="J9" s="121">
        <f t="shared" si="1"/>
        <v>60</v>
      </c>
      <c r="K9" s="118">
        <v>200</v>
      </c>
      <c r="L9" s="124"/>
      <c r="M9" s="161">
        <f t="shared" si="2"/>
        <v>12000</v>
      </c>
      <c r="N9" s="161">
        <f t="shared" si="4"/>
        <v>0</v>
      </c>
      <c r="O9" s="161">
        <f t="shared" si="5"/>
        <v>12000</v>
      </c>
    </row>
    <row r="10" spans="1:15" x14ac:dyDescent="0.2">
      <c r="A10" s="6" t="s">
        <v>218</v>
      </c>
      <c r="B10" s="159" t="s">
        <v>193</v>
      </c>
      <c r="C10" s="159" t="s">
        <v>200</v>
      </c>
      <c r="D10" s="159" t="s">
        <v>202</v>
      </c>
      <c r="E10" s="159" t="s">
        <v>199</v>
      </c>
      <c r="F10" s="6" t="s">
        <v>218</v>
      </c>
      <c r="G10" s="160" t="s">
        <v>461</v>
      </c>
      <c r="H10" s="145"/>
      <c r="I10" s="118" t="s">
        <v>201</v>
      </c>
      <c r="J10" s="121">
        <f t="shared" si="1"/>
        <v>60</v>
      </c>
      <c r="K10" s="118">
        <v>200</v>
      </c>
      <c r="L10" s="123"/>
      <c r="M10" s="161">
        <f t="shared" si="2"/>
        <v>12000</v>
      </c>
      <c r="N10" s="161">
        <f t="shared" si="4"/>
        <v>0</v>
      </c>
      <c r="O10" s="161">
        <f t="shared" si="5"/>
        <v>12000</v>
      </c>
    </row>
    <row r="11" spans="1:15" x14ac:dyDescent="0.2">
      <c r="A11" s="6" t="s">
        <v>501</v>
      </c>
      <c r="B11" s="159" t="s">
        <v>193</v>
      </c>
      <c r="C11" s="159" t="s">
        <v>200</v>
      </c>
      <c r="D11" s="159" t="s">
        <v>202</v>
      </c>
      <c r="E11" s="159" t="s">
        <v>199</v>
      </c>
      <c r="F11" s="6" t="s">
        <v>501</v>
      </c>
      <c r="G11" s="160" t="s">
        <v>462</v>
      </c>
      <c r="H11" s="145"/>
      <c r="I11" s="118" t="s">
        <v>201</v>
      </c>
      <c r="J11" s="121">
        <f t="shared" si="1"/>
        <v>60</v>
      </c>
      <c r="K11" s="118">
        <v>200</v>
      </c>
      <c r="L11" s="123"/>
      <c r="M11" s="161">
        <f t="shared" si="2"/>
        <v>12000</v>
      </c>
      <c r="N11" s="161">
        <f t="shared" si="4"/>
        <v>0</v>
      </c>
      <c r="O11" s="161">
        <f t="shared" si="5"/>
        <v>12000</v>
      </c>
    </row>
    <row r="12" spans="1:15" x14ac:dyDescent="0.2">
      <c r="A12" s="6" t="s">
        <v>13</v>
      </c>
      <c r="B12" s="159"/>
      <c r="C12" s="159"/>
      <c r="D12" s="159"/>
      <c r="E12" s="159"/>
      <c r="F12" s="6" t="s">
        <v>13</v>
      </c>
      <c r="G12" s="5" t="s">
        <v>15</v>
      </c>
      <c r="H12" s="5"/>
      <c r="I12" s="125"/>
      <c r="J12" s="125"/>
      <c r="K12" s="125"/>
      <c r="L12" s="123"/>
      <c r="M12" s="161"/>
      <c r="N12" s="161"/>
      <c r="O12" s="161"/>
    </row>
    <row r="13" spans="1:15" x14ac:dyDescent="0.2">
      <c r="A13" s="6" t="s">
        <v>219</v>
      </c>
      <c r="B13" s="159" t="s">
        <v>149</v>
      </c>
      <c r="C13" s="159" t="s">
        <v>210</v>
      </c>
      <c r="D13" s="159" t="s">
        <v>202</v>
      </c>
      <c r="E13" s="159" t="s">
        <v>199</v>
      </c>
      <c r="F13" s="6" t="s">
        <v>219</v>
      </c>
      <c r="G13" s="162" t="s">
        <v>618</v>
      </c>
      <c r="H13" s="163" t="s">
        <v>558</v>
      </c>
      <c r="I13" s="118" t="s">
        <v>268</v>
      </c>
      <c r="J13" s="125">
        <v>359</v>
      </c>
      <c r="K13" s="125"/>
      <c r="L13" s="123">
        <v>441</v>
      </c>
      <c r="M13" s="161">
        <f t="shared" si="2"/>
        <v>0</v>
      </c>
      <c r="N13" s="161">
        <f t="shared" ref="N13:N88" si="6">J13*L13</f>
        <v>158319</v>
      </c>
      <c r="O13" s="161">
        <f t="shared" si="0"/>
        <v>158319</v>
      </c>
    </row>
    <row r="14" spans="1:15" x14ac:dyDescent="0.2">
      <c r="A14" s="6" t="s">
        <v>220</v>
      </c>
      <c r="B14" s="159" t="s">
        <v>149</v>
      </c>
      <c r="C14" s="159" t="s">
        <v>210</v>
      </c>
      <c r="D14" s="159" t="s">
        <v>202</v>
      </c>
      <c r="E14" s="159" t="s">
        <v>199</v>
      </c>
      <c r="F14" s="6" t="s">
        <v>220</v>
      </c>
      <c r="G14" s="162" t="s">
        <v>619</v>
      </c>
      <c r="H14" s="163" t="s">
        <v>558</v>
      </c>
      <c r="I14" s="118" t="s">
        <v>541</v>
      </c>
      <c r="J14" s="125">
        <v>684</v>
      </c>
      <c r="K14" s="125"/>
      <c r="L14" s="123">
        <v>156</v>
      </c>
      <c r="M14" s="161">
        <f t="shared" si="2"/>
        <v>0</v>
      </c>
      <c r="N14" s="161">
        <f t="shared" si="6"/>
        <v>106704</v>
      </c>
      <c r="O14" s="161">
        <f t="shared" si="0"/>
        <v>106704</v>
      </c>
    </row>
    <row r="15" spans="1:15" x14ac:dyDescent="0.2">
      <c r="A15" s="6" t="s">
        <v>221</v>
      </c>
      <c r="B15" s="159" t="s">
        <v>149</v>
      </c>
      <c r="C15" s="159" t="s">
        <v>210</v>
      </c>
      <c r="D15" s="159" t="s">
        <v>202</v>
      </c>
      <c r="E15" s="159" t="s">
        <v>199</v>
      </c>
      <c r="F15" s="6" t="s">
        <v>221</v>
      </c>
      <c r="G15" s="162" t="s">
        <v>620</v>
      </c>
      <c r="H15" s="163" t="s">
        <v>558</v>
      </c>
      <c r="I15" s="118" t="s">
        <v>268</v>
      </c>
      <c r="J15" s="125">
        <v>384</v>
      </c>
      <c r="K15" s="125"/>
      <c r="L15" s="123">
        <v>98</v>
      </c>
      <c r="M15" s="161">
        <f t="shared" si="2"/>
        <v>0</v>
      </c>
      <c r="N15" s="161">
        <f t="shared" si="6"/>
        <v>37632</v>
      </c>
      <c r="O15" s="161">
        <f t="shared" si="0"/>
        <v>37632</v>
      </c>
    </row>
    <row r="16" spans="1:15" x14ac:dyDescent="0.2">
      <c r="A16" s="6" t="s">
        <v>222</v>
      </c>
      <c r="B16" s="159" t="s">
        <v>149</v>
      </c>
      <c r="C16" s="159" t="s">
        <v>210</v>
      </c>
      <c r="D16" s="159" t="s">
        <v>202</v>
      </c>
      <c r="E16" s="159" t="s">
        <v>199</v>
      </c>
      <c r="F16" s="6" t="s">
        <v>222</v>
      </c>
      <c r="G16" s="164" t="s">
        <v>506</v>
      </c>
      <c r="H16" s="163" t="s">
        <v>621</v>
      </c>
      <c r="I16" s="118" t="s">
        <v>12</v>
      </c>
      <c r="J16" s="125">
        <v>4.5</v>
      </c>
      <c r="K16" s="125"/>
      <c r="L16" s="123">
        <v>1698</v>
      </c>
      <c r="M16" s="161">
        <f t="shared" si="2"/>
        <v>0</v>
      </c>
      <c r="N16" s="161">
        <f t="shared" si="6"/>
        <v>7641</v>
      </c>
      <c r="O16" s="161">
        <f t="shared" si="0"/>
        <v>7641</v>
      </c>
    </row>
    <row r="17" spans="1:15" x14ac:dyDescent="0.2">
      <c r="A17" s="6" t="s">
        <v>223</v>
      </c>
      <c r="B17" s="159" t="s">
        <v>149</v>
      </c>
      <c r="C17" s="159" t="s">
        <v>210</v>
      </c>
      <c r="D17" s="159" t="s">
        <v>202</v>
      </c>
      <c r="E17" s="159" t="s">
        <v>199</v>
      </c>
      <c r="F17" s="6" t="s">
        <v>223</v>
      </c>
      <c r="G17" s="164" t="s">
        <v>507</v>
      </c>
      <c r="H17" s="163" t="s">
        <v>621</v>
      </c>
      <c r="I17" s="118" t="s">
        <v>12</v>
      </c>
      <c r="J17" s="125">
        <v>4.5</v>
      </c>
      <c r="K17" s="125"/>
      <c r="L17" s="123">
        <v>3356</v>
      </c>
      <c r="M17" s="161">
        <f t="shared" si="2"/>
        <v>0</v>
      </c>
      <c r="N17" s="161">
        <f t="shared" si="6"/>
        <v>15102</v>
      </c>
      <c r="O17" s="161">
        <f t="shared" si="0"/>
        <v>15102</v>
      </c>
    </row>
    <row r="18" spans="1:15" x14ac:dyDescent="0.2">
      <c r="A18" s="6" t="s">
        <v>224</v>
      </c>
      <c r="B18" s="159" t="s">
        <v>149</v>
      </c>
      <c r="C18" s="159" t="s">
        <v>210</v>
      </c>
      <c r="D18" s="159" t="s">
        <v>202</v>
      </c>
      <c r="E18" s="159" t="s">
        <v>199</v>
      </c>
      <c r="F18" s="6" t="s">
        <v>224</v>
      </c>
      <c r="G18" s="164" t="s">
        <v>508</v>
      </c>
      <c r="H18" s="163" t="s">
        <v>621</v>
      </c>
      <c r="I18" s="118" t="s">
        <v>509</v>
      </c>
      <c r="J18" s="125">
        <v>0.16000000000000003</v>
      </c>
      <c r="K18" s="125"/>
      <c r="L18" s="123">
        <v>6811</v>
      </c>
      <c r="M18" s="161">
        <f t="shared" si="2"/>
        <v>0</v>
      </c>
      <c r="N18" s="161">
        <f t="shared" si="6"/>
        <v>1089.7600000000002</v>
      </c>
      <c r="O18" s="161">
        <f t="shared" si="0"/>
        <v>1089.7600000000002</v>
      </c>
    </row>
    <row r="19" spans="1:15" x14ac:dyDescent="0.2">
      <c r="A19" s="6" t="s">
        <v>225</v>
      </c>
      <c r="B19" s="159" t="s">
        <v>149</v>
      </c>
      <c r="C19" s="159" t="s">
        <v>210</v>
      </c>
      <c r="D19" s="159" t="s">
        <v>202</v>
      </c>
      <c r="E19" s="159" t="s">
        <v>199</v>
      </c>
      <c r="F19" s="6" t="s">
        <v>225</v>
      </c>
      <c r="G19" s="165" t="s">
        <v>622</v>
      </c>
      <c r="H19" s="163" t="s">
        <v>623</v>
      </c>
      <c r="I19" s="118" t="s">
        <v>541</v>
      </c>
      <c r="J19" s="125">
        <v>18</v>
      </c>
      <c r="K19" s="125"/>
      <c r="L19" s="123">
        <v>1984</v>
      </c>
      <c r="M19" s="161">
        <f t="shared" si="2"/>
        <v>0</v>
      </c>
      <c r="N19" s="161">
        <f t="shared" si="6"/>
        <v>35712</v>
      </c>
      <c r="O19" s="161">
        <f t="shared" si="0"/>
        <v>35712</v>
      </c>
    </row>
    <row r="20" spans="1:15" x14ac:dyDescent="0.2">
      <c r="A20" s="6" t="s">
        <v>226</v>
      </c>
      <c r="B20" s="159" t="s">
        <v>149</v>
      </c>
      <c r="C20" s="159" t="s">
        <v>210</v>
      </c>
      <c r="D20" s="159" t="s">
        <v>202</v>
      </c>
      <c r="E20" s="159" t="s">
        <v>199</v>
      </c>
      <c r="F20" s="6" t="s">
        <v>226</v>
      </c>
      <c r="G20" s="165" t="s">
        <v>624</v>
      </c>
      <c r="H20" s="163" t="s">
        <v>560</v>
      </c>
      <c r="I20" s="118" t="s">
        <v>20</v>
      </c>
      <c r="J20" s="125">
        <v>36</v>
      </c>
      <c r="K20" s="125"/>
      <c r="L20" s="123">
        <v>274</v>
      </c>
      <c r="M20" s="161">
        <f t="shared" si="2"/>
        <v>0</v>
      </c>
      <c r="N20" s="161">
        <f t="shared" si="6"/>
        <v>9864</v>
      </c>
      <c r="O20" s="161">
        <f t="shared" si="0"/>
        <v>9864</v>
      </c>
    </row>
    <row r="21" spans="1:15" x14ac:dyDescent="0.2">
      <c r="A21" s="6" t="s">
        <v>227</v>
      </c>
      <c r="B21" s="159" t="s">
        <v>149</v>
      </c>
      <c r="C21" s="159" t="s">
        <v>210</v>
      </c>
      <c r="D21" s="159" t="s">
        <v>202</v>
      </c>
      <c r="E21" s="159" t="s">
        <v>199</v>
      </c>
      <c r="F21" s="6" t="s">
        <v>227</v>
      </c>
      <c r="G21" s="165" t="s">
        <v>203</v>
      </c>
      <c r="H21" s="163" t="s">
        <v>559</v>
      </c>
      <c r="I21" s="118" t="s">
        <v>20</v>
      </c>
      <c r="J21" s="125">
        <v>32</v>
      </c>
      <c r="K21" s="125"/>
      <c r="L21" s="123">
        <v>145</v>
      </c>
      <c r="M21" s="161">
        <f t="shared" si="2"/>
        <v>0</v>
      </c>
      <c r="N21" s="161">
        <f t="shared" si="6"/>
        <v>4640</v>
      </c>
      <c r="O21" s="161">
        <f t="shared" si="0"/>
        <v>4640</v>
      </c>
    </row>
    <row r="22" spans="1:15" x14ac:dyDescent="0.2">
      <c r="A22" s="6" t="s">
        <v>228</v>
      </c>
      <c r="B22" s="159" t="s">
        <v>149</v>
      </c>
      <c r="C22" s="159" t="s">
        <v>210</v>
      </c>
      <c r="D22" s="159" t="s">
        <v>202</v>
      </c>
      <c r="E22" s="159" t="s">
        <v>199</v>
      </c>
      <c r="F22" s="6" t="s">
        <v>228</v>
      </c>
      <c r="G22" s="165" t="s">
        <v>204</v>
      </c>
      <c r="H22" s="163" t="s">
        <v>560</v>
      </c>
      <c r="I22" s="118" t="s">
        <v>20</v>
      </c>
      <c r="J22" s="125">
        <v>32</v>
      </c>
      <c r="K22" s="125"/>
      <c r="L22" s="123">
        <v>154</v>
      </c>
      <c r="M22" s="161">
        <f t="shared" si="2"/>
        <v>0</v>
      </c>
      <c r="N22" s="161">
        <f t="shared" si="6"/>
        <v>4928</v>
      </c>
      <c r="O22" s="161">
        <f t="shared" si="0"/>
        <v>4928</v>
      </c>
    </row>
    <row r="23" spans="1:15" x14ac:dyDescent="0.2">
      <c r="A23" s="6" t="s">
        <v>229</v>
      </c>
      <c r="B23" s="159" t="s">
        <v>149</v>
      </c>
      <c r="C23" s="159" t="s">
        <v>210</v>
      </c>
      <c r="D23" s="159" t="s">
        <v>202</v>
      </c>
      <c r="E23" s="159" t="s">
        <v>199</v>
      </c>
      <c r="F23" s="6" t="s">
        <v>229</v>
      </c>
      <c r="G23" s="165" t="s">
        <v>205</v>
      </c>
      <c r="H23" s="163" t="s">
        <v>559</v>
      </c>
      <c r="I23" s="118" t="s">
        <v>20</v>
      </c>
      <c r="J23" s="125">
        <v>52</v>
      </c>
      <c r="K23" s="125"/>
      <c r="L23" s="123">
        <v>98</v>
      </c>
      <c r="M23" s="161">
        <f t="shared" si="2"/>
        <v>0</v>
      </c>
      <c r="N23" s="161">
        <f t="shared" si="6"/>
        <v>5096</v>
      </c>
      <c r="O23" s="161">
        <f t="shared" si="0"/>
        <v>5096</v>
      </c>
    </row>
    <row r="24" spans="1:15" x14ac:dyDescent="0.2">
      <c r="A24" s="6" t="s">
        <v>230</v>
      </c>
      <c r="B24" s="159" t="s">
        <v>149</v>
      </c>
      <c r="C24" s="159" t="s">
        <v>210</v>
      </c>
      <c r="D24" s="159" t="s">
        <v>202</v>
      </c>
      <c r="E24" s="159" t="s">
        <v>199</v>
      </c>
      <c r="F24" s="6" t="s">
        <v>230</v>
      </c>
      <c r="G24" s="166" t="s">
        <v>206</v>
      </c>
      <c r="H24" s="163" t="s">
        <v>560</v>
      </c>
      <c r="I24" s="118" t="s">
        <v>20</v>
      </c>
      <c r="J24" s="125">
        <v>52</v>
      </c>
      <c r="K24" s="125"/>
      <c r="L24" s="123">
        <v>4.92</v>
      </c>
      <c r="M24" s="161">
        <f t="shared" si="2"/>
        <v>0</v>
      </c>
      <c r="N24" s="161">
        <f t="shared" si="6"/>
        <v>255.84</v>
      </c>
      <c r="O24" s="161">
        <f t="shared" si="0"/>
        <v>255.84</v>
      </c>
    </row>
    <row r="25" spans="1:15" x14ac:dyDescent="0.2">
      <c r="A25" s="6" t="s">
        <v>231</v>
      </c>
      <c r="B25" s="159" t="s">
        <v>149</v>
      </c>
      <c r="C25" s="159" t="s">
        <v>210</v>
      </c>
      <c r="D25" s="159" t="s">
        <v>202</v>
      </c>
      <c r="E25" s="159" t="s">
        <v>199</v>
      </c>
      <c r="F25" s="6" t="s">
        <v>231</v>
      </c>
      <c r="G25" s="166" t="s">
        <v>207</v>
      </c>
      <c r="H25" s="163" t="s">
        <v>561</v>
      </c>
      <c r="I25" s="118" t="s">
        <v>20</v>
      </c>
      <c r="J25" s="125">
        <v>52</v>
      </c>
      <c r="K25" s="125"/>
      <c r="L25" s="123">
        <v>3.26</v>
      </c>
      <c r="M25" s="161">
        <f t="shared" si="2"/>
        <v>0</v>
      </c>
      <c r="N25" s="161">
        <f t="shared" si="6"/>
        <v>169.51999999999998</v>
      </c>
      <c r="O25" s="161">
        <f t="shared" si="0"/>
        <v>169.51999999999998</v>
      </c>
    </row>
    <row r="26" spans="1:15" x14ac:dyDescent="0.2">
      <c r="A26" s="6" t="s">
        <v>232</v>
      </c>
      <c r="B26" s="159" t="s">
        <v>149</v>
      </c>
      <c r="C26" s="159" t="s">
        <v>210</v>
      </c>
      <c r="D26" s="159" t="s">
        <v>202</v>
      </c>
      <c r="E26" s="159" t="s">
        <v>199</v>
      </c>
      <c r="F26" s="6" t="s">
        <v>232</v>
      </c>
      <c r="G26" s="166" t="s">
        <v>208</v>
      </c>
      <c r="H26" s="145" t="s">
        <v>562</v>
      </c>
      <c r="I26" s="118" t="s">
        <v>20</v>
      </c>
      <c r="J26" s="125">
        <v>52</v>
      </c>
      <c r="K26" s="125"/>
      <c r="L26" s="123">
        <v>3.71</v>
      </c>
      <c r="M26" s="161">
        <f t="shared" si="2"/>
        <v>0</v>
      </c>
      <c r="N26" s="161">
        <f t="shared" si="6"/>
        <v>192.92</v>
      </c>
      <c r="O26" s="161">
        <f t="shared" si="0"/>
        <v>192.92</v>
      </c>
    </row>
    <row r="27" spans="1:15" x14ac:dyDescent="0.2">
      <c r="A27" s="6" t="s">
        <v>233</v>
      </c>
      <c r="B27" s="159" t="s">
        <v>149</v>
      </c>
      <c r="C27" s="159" t="s">
        <v>210</v>
      </c>
      <c r="D27" s="159" t="s">
        <v>202</v>
      </c>
      <c r="E27" s="159" t="s">
        <v>199</v>
      </c>
      <c r="F27" s="6" t="s">
        <v>233</v>
      </c>
      <c r="G27" s="166" t="s">
        <v>625</v>
      </c>
      <c r="H27" s="163" t="s">
        <v>558</v>
      </c>
      <c r="I27" s="118" t="s">
        <v>541</v>
      </c>
      <c r="J27" s="125">
        <v>40</v>
      </c>
      <c r="K27" s="125"/>
      <c r="L27" s="123">
        <v>174</v>
      </c>
      <c r="M27" s="161">
        <f t="shared" si="2"/>
        <v>0</v>
      </c>
      <c r="N27" s="161">
        <f t="shared" si="6"/>
        <v>6960</v>
      </c>
      <c r="O27" s="161">
        <f t="shared" si="0"/>
        <v>6960</v>
      </c>
    </row>
    <row r="28" spans="1:15" x14ac:dyDescent="0.2">
      <c r="A28" s="6" t="s">
        <v>234</v>
      </c>
      <c r="B28" s="159" t="s">
        <v>149</v>
      </c>
      <c r="C28" s="159" t="s">
        <v>210</v>
      </c>
      <c r="D28" s="159" t="s">
        <v>202</v>
      </c>
      <c r="E28" s="159" t="s">
        <v>199</v>
      </c>
      <c r="F28" s="6" t="s">
        <v>234</v>
      </c>
      <c r="G28" s="167" t="s">
        <v>626</v>
      </c>
      <c r="H28" s="163" t="s">
        <v>558</v>
      </c>
      <c r="I28" s="118" t="s">
        <v>541</v>
      </c>
      <c r="J28" s="125">
        <v>9</v>
      </c>
      <c r="K28" s="125"/>
      <c r="L28" s="123">
        <v>155</v>
      </c>
      <c r="M28" s="161">
        <f t="shared" si="2"/>
        <v>0</v>
      </c>
      <c r="N28" s="161">
        <f t="shared" si="6"/>
        <v>1395</v>
      </c>
      <c r="O28" s="161">
        <f t="shared" si="0"/>
        <v>1395</v>
      </c>
    </row>
    <row r="29" spans="1:15" x14ac:dyDescent="0.2">
      <c r="A29" s="6" t="s">
        <v>235</v>
      </c>
      <c r="B29" s="159" t="s">
        <v>149</v>
      </c>
      <c r="C29" s="159" t="s">
        <v>210</v>
      </c>
      <c r="D29" s="159" t="s">
        <v>202</v>
      </c>
      <c r="E29" s="159" t="s">
        <v>199</v>
      </c>
      <c r="F29" s="6" t="s">
        <v>235</v>
      </c>
      <c r="G29" s="167" t="s">
        <v>627</v>
      </c>
      <c r="H29" s="163" t="s">
        <v>628</v>
      </c>
      <c r="I29" s="118" t="s">
        <v>541</v>
      </c>
      <c r="J29" s="125">
        <v>16</v>
      </c>
      <c r="K29" s="125"/>
      <c r="L29" s="123">
        <v>49.8</v>
      </c>
      <c r="M29" s="161">
        <f t="shared" si="2"/>
        <v>0</v>
      </c>
      <c r="N29" s="161">
        <f t="shared" si="6"/>
        <v>796.8</v>
      </c>
      <c r="O29" s="161">
        <f t="shared" si="0"/>
        <v>796.8</v>
      </c>
    </row>
    <row r="30" spans="1:15" x14ac:dyDescent="0.2">
      <c r="A30" s="6" t="s">
        <v>236</v>
      </c>
      <c r="B30" s="159" t="s">
        <v>21</v>
      </c>
      <c r="C30" s="159" t="s">
        <v>210</v>
      </c>
      <c r="D30" s="159" t="s">
        <v>202</v>
      </c>
      <c r="E30" s="159" t="s">
        <v>199</v>
      </c>
      <c r="F30" s="6" t="s">
        <v>236</v>
      </c>
      <c r="G30" s="167" t="s">
        <v>629</v>
      </c>
      <c r="H30" s="145" t="s">
        <v>21</v>
      </c>
      <c r="I30" s="118" t="s">
        <v>630</v>
      </c>
      <c r="J30" s="125">
        <v>2</v>
      </c>
      <c r="K30" s="125"/>
      <c r="L30" s="123">
        <v>1697</v>
      </c>
      <c r="M30" s="161">
        <f t="shared" si="2"/>
        <v>0</v>
      </c>
      <c r="N30" s="161">
        <f t="shared" si="6"/>
        <v>3394</v>
      </c>
      <c r="O30" s="161">
        <f t="shared" si="0"/>
        <v>3394</v>
      </c>
    </row>
    <row r="31" spans="1:15" x14ac:dyDescent="0.2">
      <c r="A31" s="6" t="s">
        <v>237</v>
      </c>
      <c r="B31" s="159" t="s">
        <v>21</v>
      </c>
      <c r="C31" s="159" t="s">
        <v>210</v>
      </c>
      <c r="D31" s="159" t="s">
        <v>202</v>
      </c>
      <c r="E31" s="159" t="s">
        <v>199</v>
      </c>
      <c r="F31" s="6" t="s">
        <v>237</v>
      </c>
      <c r="G31" s="167" t="s">
        <v>631</v>
      </c>
      <c r="H31" s="145" t="s">
        <v>558</v>
      </c>
      <c r="I31" s="118" t="s">
        <v>541</v>
      </c>
      <c r="J31" s="125">
        <v>3.5</v>
      </c>
      <c r="K31" s="125"/>
      <c r="L31" s="123">
        <v>281</v>
      </c>
      <c r="M31" s="161">
        <f t="shared" si="2"/>
        <v>0</v>
      </c>
      <c r="N31" s="161">
        <f t="shared" si="6"/>
        <v>983.5</v>
      </c>
      <c r="O31" s="161">
        <f t="shared" si="0"/>
        <v>983.5</v>
      </c>
    </row>
    <row r="32" spans="1:15" x14ac:dyDescent="0.2">
      <c r="A32" s="6" t="s">
        <v>238</v>
      </c>
      <c r="B32" s="159" t="s">
        <v>21</v>
      </c>
      <c r="C32" s="159" t="s">
        <v>210</v>
      </c>
      <c r="D32" s="159" t="s">
        <v>202</v>
      </c>
      <c r="E32" s="159" t="s">
        <v>199</v>
      </c>
      <c r="F32" s="6" t="s">
        <v>238</v>
      </c>
      <c r="G32" s="167" t="s">
        <v>632</v>
      </c>
      <c r="H32" s="168" t="s">
        <v>559</v>
      </c>
      <c r="I32" s="118" t="s">
        <v>20</v>
      </c>
      <c r="J32" s="125">
        <v>30</v>
      </c>
      <c r="K32" s="125"/>
      <c r="L32" s="123">
        <v>17.920000000000002</v>
      </c>
      <c r="M32" s="161">
        <f t="shared" si="2"/>
        <v>0</v>
      </c>
      <c r="N32" s="161">
        <f t="shared" si="6"/>
        <v>537.6</v>
      </c>
      <c r="O32" s="161">
        <f t="shared" si="0"/>
        <v>537.6</v>
      </c>
    </row>
    <row r="33" spans="1:15" x14ac:dyDescent="0.2">
      <c r="A33" s="6" t="s">
        <v>239</v>
      </c>
      <c r="B33" s="159" t="s">
        <v>21</v>
      </c>
      <c r="C33" s="159" t="s">
        <v>210</v>
      </c>
      <c r="D33" s="159" t="s">
        <v>202</v>
      </c>
      <c r="E33" s="159" t="s">
        <v>199</v>
      </c>
      <c r="F33" s="6" t="s">
        <v>239</v>
      </c>
      <c r="G33" s="167" t="s">
        <v>633</v>
      </c>
      <c r="H33" s="145" t="s">
        <v>559</v>
      </c>
      <c r="I33" s="118" t="s">
        <v>20</v>
      </c>
      <c r="J33" s="125">
        <v>8</v>
      </c>
      <c r="K33" s="125"/>
      <c r="L33" s="123">
        <v>20.27</v>
      </c>
      <c r="M33" s="161">
        <f t="shared" si="2"/>
        <v>0</v>
      </c>
      <c r="N33" s="161">
        <f t="shared" si="6"/>
        <v>162.16</v>
      </c>
      <c r="O33" s="161">
        <f t="shared" si="0"/>
        <v>162.16</v>
      </c>
    </row>
    <row r="34" spans="1:15" x14ac:dyDescent="0.2">
      <c r="A34" s="6" t="s">
        <v>240</v>
      </c>
      <c r="B34" s="159" t="s">
        <v>21</v>
      </c>
      <c r="C34" s="159" t="s">
        <v>210</v>
      </c>
      <c r="D34" s="159" t="s">
        <v>202</v>
      </c>
      <c r="E34" s="159" t="s">
        <v>199</v>
      </c>
      <c r="F34" s="6" t="s">
        <v>240</v>
      </c>
      <c r="G34" s="169" t="s">
        <v>634</v>
      </c>
      <c r="H34" s="145" t="s">
        <v>560</v>
      </c>
      <c r="I34" s="118" t="s">
        <v>20</v>
      </c>
      <c r="J34" s="125">
        <v>38</v>
      </c>
      <c r="K34" s="125"/>
      <c r="L34" s="123">
        <v>13.27</v>
      </c>
      <c r="M34" s="161">
        <f t="shared" si="2"/>
        <v>0</v>
      </c>
      <c r="N34" s="161">
        <f t="shared" si="6"/>
        <v>504.26</v>
      </c>
      <c r="O34" s="161">
        <f t="shared" si="0"/>
        <v>504.26</v>
      </c>
    </row>
    <row r="35" spans="1:15" x14ac:dyDescent="0.2">
      <c r="A35" s="114"/>
      <c r="B35" s="159" t="s">
        <v>149</v>
      </c>
      <c r="C35" s="159" t="s">
        <v>210</v>
      </c>
      <c r="D35" s="159" t="s">
        <v>202</v>
      </c>
      <c r="E35" s="159" t="s">
        <v>199</v>
      </c>
      <c r="F35" s="6" t="s">
        <v>241</v>
      </c>
      <c r="G35" s="169" t="s">
        <v>635</v>
      </c>
      <c r="H35" s="115" t="s">
        <v>561</v>
      </c>
      <c r="I35" s="128" t="s">
        <v>20</v>
      </c>
      <c r="J35" s="130">
        <v>38</v>
      </c>
      <c r="K35" s="130"/>
      <c r="L35" s="144">
        <v>9.2149999999999999</v>
      </c>
      <c r="M35" s="161">
        <f t="shared" si="2"/>
        <v>0</v>
      </c>
      <c r="N35" s="161">
        <f t="shared" si="6"/>
        <v>350.17</v>
      </c>
      <c r="O35" s="161">
        <f t="shared" si="0"/>
        <v>350.17</v>
      </c>
    </row>
    <row r="36" spans="1:15" x14ac:dyDescent="0.2">
      <c r="A36" s="114"/>
      <c r="B36" s="159" t="s">
        <v>149</v>
      </c>
      <c r="C36" s="159" t="s">
        <v>210</v>
      </c>
      <c r="D36" s="159" t="s">
        <v>202</v>
      </c>
      <c r="E36" s="159" t="s">
        <v>199</v>
      </c>
      <c r="F36" s="6" t="s">
        <v>242</v>
      </c>
      <c r="G36" s="169" t="s">
        <v>636</v>
      </c>
      <c r="H36" s="115" t="s">
        <v>562</v>
      </c>
      <c r="I36" s="128" t="s">
        <v>20</v>
      </c>
      <c r="J36" s="130">
        <v>40</v>
      </c>
      <c r="K36" s="130"/>
      <c r="L36" s="144">
        <v>8.36</v>
      </c>
      <c r="M36" s="161">
        <f t="shared" si="2"/>
        <v>0</v>
      </c>
      <c r="N36" s="161">
        <f t="shared" si="6"/>
        <v>334.4</v>
      </c>
      <c r="O36" s="161">
        <f t="shared" si="0"/>
        <v>334.4</v>
      </c>
    </row>
    <row r="37" spans="1:15" x14ac:dyDescent="0.2">
      <c r="A37" s="114"/>
      <c r="B37" s="159" t="s">
        <v>149</v>
      </c>
      <c r="C37" s="159" t="s">
        <v>210</v>
      </c>
      <c r="D37" s="159" t="s">
        <v>202</v>
      </c>
      <c r="E37" s="159" t="s">
        <v>199</v>
      </c>
      <c r="F37" s="6" t="s">
        <v>243</v>
      </c>
      <c r="G37" s="169" t="s">
        <v>637</v>
      </c>
      <c r="H37" s="115" t="s">
        <v>638</v>
      </c>
      <c r="I37" s="128" t="s">
        <v>20</v>
      </c>
      <c r="J37" s="130">
        <v>8</v>
      </c>
      <c r="K37" s="130"/>
      <c r="L37" s="144">
        <v>136</v>
      </c>
      <c r="M37" s="161">
        <f t="shared" si="2"/>
        <v>0</v>
      </c>
      <c r="N37" s="161">
        <f t="shared" si="6"/>
        <v>1088</v>
      </c>
      <c r="O37" s="161">
        <f t="shared" si="0"/>
        <v>1088</v>
      </c>
    </row>
    <row r="38" spans="1:15" x14ac:dyDescent="0.2">
      <c r="A38" s="114"/>
      <c r="B38" s="159" t="s">
        <v>149</v>
      </c>
      <c r="C38" s="159" t="s">
        <v>210</v>
      </c>
      <c r="D38" s="159" t="s">
        <v>202</v>
      </c>
      <c r="E38" s="159" t="s">
        <v>199</v>
      </c>
      <c r="F38" s="6" t="s">
        <v>244</v>
      </c>
      <c r="G38" s="169" t="s">
        <v>639</v>
      </c>
      <c r="H38" s="115" t="s">
        <v>638</v>
      </c>
      <c r="I38" s="128" t="s">
        <v>20</v>
      </c>
      <c r="J38" s="130">
        <v>4</v>
      </c>
      <c r="K38" s="130"/>
      <c r="L38" s="144">
        <v>154</v>
      </c>
      <c r="M38" s="161">
        <f t="shared" si="2"/>
        <v>0</v>
      </c>
      <c r="N38" s="161">
        <f t="shared" si="6"/>
        <v>616</v>
      </c>
      <c r="O38" s="161">
        <f t="shared" si="0"/>
        <v>616</v>
      </c>
    </row>
    <row r="39" spans="1:15" x14ac:dyDescent="0.2">
      <c r="A39" s="114"/>
      <c r="B39" s="159" t="s">
        <v>149</v>
      </c>
      <c r="C39" s="159" t="s">
        <v>210</v>
      </c>
      <c r="D39" s="159" t="s">
        <v>202</v>
      </c>
      <c r="E39" s="159" t="s">
        <v>199</v>
      </c>
      <c r="F39" s="6" t="s">
        <v>245</v>
      </c>
      <c r="G39" s="169" t="s">
        <v>640</v>
      </c>
      <c r="H39" s="115" t="s">
        <v>621</v>
      </c>
      <c r="I39" s="128" t="s">
        <v>509</v>
      </c>
      <c r="J39" s="130">
        <v>0.5</v>
      </c>
      <c r="K39" s="130"/>
      <c r="L39" s="144">
        <v>1959.6</v>
      </c>
      <c r="M39" s="161">
        <f t="shared" si="2"/>
        <v>0</v>
      </c>
      <c r="N39" s="161">
        <f t="shared" si="6"/>
        <v>979.8</v>
      </c>
      <c r="O39" s="161">
        <f t="shared" si="0"/>
        <v>979.8</v>
      </c>
    </row>
    <row r="40" spans="1:15" x14ac:dyDescent="0.2">
      <c r="A40" s="114"/>
      <c r="B40" s="159" t="s">
        <v>149</v>
      </c>
      <c r="C40" s="159" t="s">
        <v>210</v>
      </c>
      <c r="D40" s="159" t="s">
        <v>202</v>
      </c>
      <c r="E40" s="159" t="s">
        <v>199</v>
      </c>
      <c r="F40" s="6" t="s">
        <v>246</v>
      </c>
      <c r="G40" s="169" t="s">
        <v>641</v>
      </c>
      <c r="H40" s="115" t="s">
        <v>642</v>
      </c>
      <c r="I40" s="128" t="s">
        <v>14</v>
      </c>
      <c r="J40" s="130">
        <v>5</v>
      </c>
      <c r="K40" s="130"/>
      <c r="L40" s="144">
        <v>216</v>
      </c>
      <c r="M40" s="161">
        <f t="shared" si="2"/>
        <v>0</v>
      </c>
      <c r="N40" s="161">
        <f t="shared" si="6"/>
        <v>1080</v>
      </c>
      <c r="O40" s="161">
        <f t="shared" si="0"/>
        <v>1080</v>
      </c>
    </row>
    <row r="41" spans="1:15" x14ac:dyDescent="0.2">
      <c r="A41" s="114"/>
      <c r="B41" s="159" t="s">
        <v>149</v>
      </c>
      <c r="C41" s="159" t="s">
        <v>210</v>
      </c>
      <c r="D41" s="159" t="s">
        <v>202</v>
      </c>
      <c r="E41" s="159" t="s">
        <v>199</v>
      </c>
      <c r="F41" s="6" t="s">
        <v>247</v>
      </c>
      <c r="G41" s="169" t="s">
        <v>643</v>
      </c>
      <c r="H41" s="115" t="s">
        <v>209</v>
      </c>
      <c r="I41" s="128" t="s">
        <v>267</v>
      </c>
      <c r="J41" s="130">
        <v>1</v>
      </c>
      <c r="K41" s="130"/>
      <c r="L41" s="144">
        <v>96</v>
      </c>
      <c r="M41" s="161">
        <f t="shared" si="2"/>
        <v>0</v>
      </c>
      <c r="N41" s="161">
        <f t="shared" si="6"/>
        <v>96</v>
      </c>
      <c r="O41" s="161">
        <f t="shared" si="0"/>
        <v>96</v>
      </c>
    </row>
    <row r="42" spans="1:15" x14ac:dyDescent="0.2">
      <c r="A42" s="114"/>
      <c r="B42" s="159" t="s">
        <v>149</v>
      </c>
      <c r="C42" s="159" t="s">
        <v>210</v>
      </c>
      <c r="D42" s="159" t="s">
        <v>202</v>
      </c>
      <c r="E42" s="159" t="s">
        <v>199</v>
      </c>
      <c r="F42" s="6" t="s">
        <v>248</v>
      </c>
      <c r="G42" s="169" t="s">
        <v>625</v>
      </c>
      <c r="H42" s="115" t="s">
        <v>558</v>
      </c>
      <c r="I42" s="128" t="s">
        <v>268</v>
      </c>
      <c r="J42" s="130">
        <v>27.2</v>
      </c>
      <c r="K42" s="130"/>
      <c r="L42" s="144">
        <v>132</v>
      </c>
      <c r="M42" s="161">
        <f t="shared" si="2"/>
        <v>0</v>
      </c>
      <c r="N42" s="161">
        <f t="shared" si="6"/>
        <v>3590.4</v>
      </c>
      <c r="O42" s="161">
        <f t="shared" si="0"/>
        <v>3590.4</v>
      </c>
    </row>
    <row r="43" spans="1:15" x14ac:dyDescent="0.2">
      <c r="A43" s="114"/>
      <c r="B43" s="159" t="s">
        <v>149</v>
      </c>
      <c r="C43" s="159" t="s">
        <v>210</v>
      </c>
      <c r="D43" s="159" t="s">
        <v>202</v>
      </c>
      <c r="E43" s="159" t="s">
        <v>199</v>
      </c>
      <c r="F43" s="6" t="s">
        <v>249</v>
      </c>
      <c r="G43" s="169" t="s">
        <v>644</v>
      </c>
      <c r="H43" s="115" t="s">
        <v>558</v>
      </c>
      <c r="I43" s="128" t="s">
        <v>541</v>
      </c>
      <c r="J43" s="130">
        <v>53</v>
      </c>
      <c r="K43" s="130"/>
      <c r="L43" s="144">
        <v>97</v>
      </c>
      <c r="M43" s="161">
        <f t="shared" si="2"/>
        <v>0</v>
      </c>
      <c r="N43" s="161">
        <f t="shared" si="6"/>
        <v>5141</v>
      </c>
      <c r="O43" s="161">
        <f t="shared" si="0"/>
        <v>5141</v>
      </c>
    </row>
    <row r="44" spans="1:15" x14ac:dyDescent="0.2">
      <c r="A44" s="114"/>
      <c r="B44" s="159" t="s">
        <v>149</v>
      </c>
      <c r="C44" s="159" t="s">
        <v>210</v>
      </c>
      <c r="D44" s="159" t="s">
        <v>202</v>
      </c>
      <c r="E44" s="159" t="s">
        <v>199</v>
      </c>
      <c r="F44" s="6" t="s">
        <v>604</v>
      </c>
      <c r="G44" s="169" t="s">
        <v>506</v>
      </c>
      <c r="H44" s="115" t="s">
        <v>621</v>
      </c>
      <c r="I44" s="128" t="s">
        <v>540</v>
      </c>
      <c r="J44" s="130">
        <v>1.2999999999999999E-2</v>
      </c>
      <c r="K44" s="130"/>
      <c r="L44" s="144">
        <v>1698</v>
      </c>
      <c r="M44" s="161">
        <f t="shared" si="2"/>
        <v>0</v>
      </c>
      <c r="N44" s="161">
        <f t="shared" si="6"/>
        <v>22.073999999999998</v>
      </c>
      <c r="O44" s="161">
        <f t="shared" si="0"/>
        <v>22.073999999999998</v>
      </c>
    </row>
    <row r="45" spans="1:15" x14ac:dyDescent="0.2">
      <c r="A45" s="114"/>
      <c r="B45" s="159" t="s">
        <v>149</v>
      </c>
      <c r="C45" s="159" t="s">
        <v>210</v>
      </c>
      <c r="D45" s="159" t="s">
        <v>202</v>
      </c>
      <c r="E45" s="159" t="s">
        <v>199</v>
      </c>
      <c r="F45" s="6" t="s">
        <v>605</v>
      </c>
      <c r="G45" s="169" t="s">
        <v>645</v>
      </c>
      <c r="H45" s="115" t="s">
        <v>621</v>
      </c>
      <c r="I45" s="128" t="s">
        <v>540</v>
      </c>
      <c r="J45" s="130">
        <v>3.1E-2</v>
      </c>
      <c r="K45" s="130"/>
      <c r="L45" s="144">
        <v>2077</v>
      </c>
      <c r="M45" s="161">
        <f t="shared" si="2"/>
        <v>0</v>
      </c>
      <c r="N45" s="161">
        <f t="shared" si="6"/>
        <v>64.387</v>
      </c>
      <c r="O45" s="161">
        <f t="shared" si="0"/>
        <v>64.387</v>
      </c>
    </row>
    <row r="46" spans="1:15" x14ac:dyDescent="0.2">
      <c r="A46" s="114"/>
      <c r="B46" s="159" t="s">
        <v>149</v>
      </c>
      <c r="C46" s="159" t="s">
        <v>210</v>
      </c>
      <c r="D46" s="159" t="s">
        <v>202</v>
      </c>
      <c r="E46" s="159" t="s">
        <v>199</v>
      </c>
      <c r="F46" s="6" t="s">
        <v>606</v>
      </c>
      <c r="G46" s="169" t="s">
        <v>646</v>
      </c>
      <c r="H46" s="115" t="s">
        <v>638</v>
      </c>
      <c r="I46" s="128" t="s">
        <v>20</v>
      </c>
      <c r="J46" s="130">
        <v>4</v>
      </c>
      <c r="K46" s="130"/>
      <c r="L46" s="144">
        <v>136</v>
      </c>
      <c r="M46" s="161">
        <f t="shared" si="2"/>
        <v>0</v>
      </c>
      <c r="N46" s="161">
        <f t="shared" si="6"/>
        <v>544</v>
      </c>
      <c r="O46" s="161">
        <f t="shared" si="0"/>
        <v>544</v>
      </c>
    </row>
    <row r="47" spans="1:15" x14ac:dyDescent="0.2">
      <c r="A47" s="114"/>
      <c r="B47" s="159" t="s">
        <v>149</v>
      </c>
      <c r="C47" s="159" t="s">
        <v>210</v>
      </c>
      <c r="D47" s="159" t="s">
        <v>202</v>
      </c>
      <c r="E47" s="159" t="s">
        <v>199</v>
      </c>
      <c r="F47" s="6" t="s">
        <v>607</v>
      </c>
      <c r="G47" s="169" t="s">
        <v>647</v>
      </c>
      <c r="H47" s="115" t="s">
        <v>642</v>
      </c>
      <c r="I47" s="128" t="s">
        <v>14</v>
      </c>
      <c r="J47" s="130">
        <v>2.5</v>
      </c>
      <c r="K47" s="130"/>
      <c r="L47" s="144">
        <v>216</v>
      </c>
      <c r="M47" s="161">
        <f t="shared" si="2"/>
        <v>0</v>
      </c>
      <c r="N47" s="161">
        <f t="shared" si="6"/>
        <v>540</v>
      </c>
      <c r="O47" s="161">
        <f t="shared" si="0"/>
        <v>540</v>
      </c>
    </row>
    <row r="48" spans="1:15" x14ac:dyDescent="0.2">
      <c r="A48" s="114"/>
      <c r="B48" s="159" t="s">
        <v>149</v>
      </c>
      <c r="C48" s="159" t="s">
        <v>210</v>
      </c>
      <c r="D48" s="159" t="s">
        <v>202</v>
      </c>
      <c r="E48" s="159" t="s">
        <v>199</v>
      </c>
      <c r="F48" s="6" t="s">
        <v>608</v>
      </c>
      <c r="G48" s="169" t="s">
        <v>209</v>
      </c>
      <c r="H48" s="115" t="e">
        <v>#N/A</v>
      </c>
      <c r="I48" s="128" t="s">
        <v>267</v>
      </c>
      <c r="J48" s="130">
        <v>1</v>
      </c>
      <c r="K48" s="130"/>
      <c r="L48" s="144">
        <v>96</v>
      </c>
      <c r="M48" s="161">
        <f t="shared" si="2"/>
        <v>0</v>
      </c>
      <c r="N48" s="161">
        <f t="shared" si="6"/>
        <v>96</v>
      </c>
      <c r="O48" s="161">
        <f t="shared" si="0"/>
        <v>96</v>
      </c>
    </row>
    <row r="49" spans="1:17" x14ac:dyDescent="0.2">
      <c r="A49" s="114"/>
      <c r="B49" s="159" t="s">
        <v>149</v>
      </c>
      <c r="C49" s="159" t="s">
        <v>210</v>
      </c>
      <c r="D49" s="159" t="s">
        <v>202</v>
      </c>
      <c r="E49" s="159" t="s">
        <v>199</v>
      </c>
      <c r="F49" s="6" t="s">
        <v>609</v>
      </c>
      <c r="G49" s="169" t="s">
        <v>648</v>
      </c>
      <c r="H49" s="115" t="s">
        <v>649</v>
      </c>
      <c r="I49" s="128" t="s">
        <v>509</v>
      </c>
      <c r="J49" s="130">
        <v>9.6</v>
      </c>
      <c r="K49" s="130"/>
      <c r="L49" s="144">
        <v>220</v>
      </c>
      <c r="M49" s="161">
        <f t="shared" si="2"/>
        <v>0</v>
      </c>
      <c r="N49" s="161">
        <f t="shared" si="6"/>
        <v>2112</v>
      </c>
      <c r="O49" s="161">
        <f t="shared" si="0"/>
        <v>2112</v>
      </c>
    </row>
    <row r="50" spans="1:17" x14ac:dyDescent="0.2">
      <c r="A50" s="114"/>
      <c r="B50" s="159" t="s">
        <v>149</v>
      </c>
      <c r="C50" s="159" t="s">
        <v>210</v>
      </c>
      <c r="D50" s="159" t="s">
        <v>202</v>
      </c>
      <c r="E50" s="159" t="s">
        <v>199</v>
      </c>
      <c r="F50" s="6" t="s">
        <v>610</v>
      </c>
      <c r="G50" s="169" t="s">
        <v>650</v>
      </c>
      <c r="H50" s="115" t="s">
        <v>651</v>
      </c>
      <c r="I50" s="128" t="s">
        <v>509</v>
      </c>
      <c r="J50" s="130">
        <v>15</v>
      </c>
      <c r="K50" s="130"/>
      <c r="L50" s="144">
        <v>13</v>
      </c>
      <c r="M50" s="161">
        <f t="shared" si="2"/>
        <v>0</v>
      </c>
      <c r="N50" s="161">
        <f t="shared" si="6"/>
        <v>195</v>
      </c>
      <c r="O50" s="161">
        <f t="shared" si="0"/>
        <v>195</v>
      </c>
    </row>
    <row r="51" spans="1:17" x14ac:dyDescent="0.2">
      <c r="A51" s="114"/>
      <c r="B51" s="159" t="s">
        <v>149</v>
      </c>
      <c r="C51" s="159" t="s">
        <v>210</v>
      </c>
      <c r="D51" s="159" t="s">
        <v>202</v>
      </c>
      <c r="E51" s="159" t="s">
        <v>199</v>
      </c>
      <c r="F51" s="6" t="s">
        <v>611</v>
      </c>
      <c r="G51" s="169" t="s">
        <v>652</v>
      </c>
      <c r="H51" s="115" t="s">
        <v>569</v>
      </c>
      <c r="I51" s="128" t="s">
        <v>509</v>
      </c>
      <c r="J51" s="130">
        <v>15</v>
      </c>
      <c r="K51" s="130"/>
      <c r="L51" s="144">
        <v>267</v>
      </c>
      <c r="M51" s="161">
        <f t="shared" si="2"/>
        <v>0</v>
      </c>
      <c r="N51" s="161">
        <f t="shared" si="6"/>
        <v>4005</v>
      </c>
      <c r="O51" s="161">
        <f t="shared" si="0"/>
        <v>4005</v>
      </c>
    </row>
    <row r="52" spans="1:17" x14ac:dyDescent="0.2">
      <c r="A52" s="114"/>
      <c r="B52" s="159" t="s">
        <v>149</v>
      </c>
      <c r="C52" s="159" t="s">
        <v>210</v>
      </c>
      <c r="D52" s="159" t="s">
        <v>202</v>
      </c>
      <c r="E52" s="159" t="s">
        <v>199</v>
      </c>
      <c r="F52" s="6" t="s">
        <v>612</v>
      </c>
      <c r="G52" s="169" t="s">
        <v>653</v>
      </c>
      <c r="H52" s="115" t="s">
        <v>595</v>
      </c>
      <c r="I52" s="128" t="s">
        <v>509</v>
      </c>
      <c r="J52" s="130">
        <v>2.2000000000000002</v>
      </c>
      <c r="K52" s="130"/>
      <c r="L52" s="144">
        <v>211</v>
      </c>
      <c r="M52" s="161">
        <f t="shared" si="2"/>
        <v>0</v>
      </c>
      <c r="N52" s="161">
        <f t="shared" si="6"/>
        <v>464.20000000000005</v>
      </c>
      <c r="O52" s="161">
        <f t="shared" si="0"/>
        <v>464.20000000000005</v>
      </c>
    </row>
    <row r="53" spans="1:17" x14ac:dyDescent="0.2">
      <c r="A53" s="114"/>
      <c r="B53" s="159" t="s">
        <v>149</v>
      </c>
      <c r="C53" s="159" t="s">
        <v>210</v>
      </c>
      <c r="D53" s="159" t="s">
        <v>202</v>
      </c>
      <c r="E53" s="159" t="s">
        <v>199</v>
      </c>
      <c r="F53" s="6" t="s">
        <v>613</v>
      </c>
      <c r="G53" s="169" t="s">
        <v>625</v>
      </c>
      <c r="H53" s="115" t="s">
        <v>558</v>
      </c>
      <c r="I53" s="128" t="s">
        <v>268</v>
      </c>
      <c r="J53" s="130">
        <v>25.6</v>
      </c>
      <c r="K53" s="130"/>
      <c r="L53" s="144">
        <v>174</v>
      </c>
      <c r="M53" s="161">
        <f t="shared" si="2"/>
        <v>0</v>
      </c>
      <c r="N53" s="161">
        <f t="shared" si="6"/>
        <v>4454.4000000000005</v>
      </c>
      <c r="O53" s="161">
        <f t="shared" si="0"/>
        <v>4454.4000000000005</v>
      </c>
    </row>
    <row r="54" spans="1:17" x14ac:dyDescent="0.2">
      <c r="A54" s="114"/>
      <c r="B54" s="159" t="s">
        <v>149</v>
      </c>
      <c r="C54" s="159" t="s">
        <v>210</v>
      </c>
      <c r="D54" s="159" t="s">
        <v>202</v>
      </c>
      <c r="E54" s="159" t="s">
        <v>199</v>
      </c>
      <c r="F54" s="6" t="s">
        <v>614</v>
      </c>
      <c r="G54" s="169" t="s">
        <v>644</v>
      </c>
      <c r="H54" s="115" t="s">
        <v>558</v>
      </c>
      <c r="I54" s="128" t="s">
        <v>541</v>
      </c>
      <c r="J54" s="130">
        <v>30</v>
      </c>
      <c r="K54" s="130"/>
      <c r="L54" s="144">
        <v>132</v>
      </c>
      <c r="M54" s="161">
        <f t="shared" si="2"/>
        <v>0</v>
      </c>
      <c r="N54" s="161">
        <f t="shared" si="6"/>
        <v>3960</v>
      </c>
      <c r="O54" s="161">
        <f t="shared" si="0"/>
        <v>3960</v>
      </c>
    </row>
    <row r="55" spans="1:17" x14ac:dyDescent="0.2">
      <c r="A55" s="114"/>
      <c r="B55" s="159" t="s">
        <v>149</v>
      </c>
      <c r="C55" s="159" t="s">
        <v>210</v>
      </c>
      <c r="D55" s="159" t="s">
        <v>202</v>
      </c>
      <c r="E55" s="159" t="s">
        <v>199</v>
      </c>
      <c r="F55" s="6" t="s">
        <v>615</v>
      </c>
      <c r="G55" s="169" t="s">
        <v>652</v>
      </c>
      <c r="H55" s="115" t="s">
        <v>569</v>
      </c>
      <c r="I55" s="128" t="s">
        <v>509</v>
      </c>
      <c r="J55" s="130">
        <v>7.2</v>
      </c>
      <c r="K55" s="130"/>
      <c r="L55" s="144">
        <v>267</v>
      </c>
      <c r="M55" s="161">
        <f t="shared" si="2"/>
        <v>0</v>
      </c>
      <c r="N55" s="161">
        <f t="shared" si="6"/>
        <v>1922.4</v>
      </c>
      <c r="O55" s="161">
        <f t="shared" si="0"/>
        <v>1922.4</v>
      </c>
    </row>
    <row r="56" spans="1:17" x14ac:dyDescent="0.2">
      <c r="A56" s="114"/>
      <c r="B56" s="159" t="s">
        <v>149</v>
      </c>
      <c r="C56" s="159" t="s">
        <v>210</v>
      </c>
      <c r="D56" s="159" t="s">
        <v>202</v>
      </c>
      <c r="E56" s="159" t="s">
        <v>199</v>
      </c>
      <c r="F56" s="6" t="s">
        <v>616</v>
      </c>
      <c r="G56" s="169" t="s">
        <v>654</v>
      </c>
      <c r="H56" s="115" t="s">
        <v>621</v>
      </c>
      <c r="I56" s="128" t="s">
        <v>509</v>
      </c>
      <c r="J56" s="130">
        <v>0.7</v>
      </c>
      <c r="K56" s="130"/>
      <c r="L56" s="144">
        <v>1221</v>
      </c>
      <c r="M56" s="161">
        <f t="shared" si="2"/>
        <v>0</v>
      </c>
      <c r="N56" s="161">
        <f t="shared" si="6"/>
        <v>854.69999999999993</v>
      </c>
      <c r="O56" s="161">
        <f t="shared" si="0"/>
        <v>854.69999999999993</v>
      </c>
    </row>
    <row r="57" spans="1:17" ht="15.75" x14ac:dyDescent="0.25">
      <c r="A57" s="114"/>
      <c r="B57" s="159" t="s">
        <v>149</v>
      </c>
      <c r="C57" s="159" t="s">
        <v>210</v>
      </c>
      <c r="D57" s="159" t="s">
        <v>202</v>
      </c>
      <c r="E57" s="159" t="s">
        <v>199</v>
      </c>
      <c r="F57" s="6" t="s">
        <v>617</v>
      </c>
      <c r="G57" s="169" t="s">
        <v>655</v>
      </c>
      <c r="H57" s="115" t="s">
        <v>656</v>
      </c>
      <c r="I57" s="128" t="s">
        <v>20</v>
      </c>
      <c r="J57" s="130">
        <v>2</v>
      </c>
      <c r="K57" s="130"/>
      <c r="L57" s="144">
        <v>5400</v>
      </c>
      <c r="M57" s="161">
        <f t="shared" si="2"/>
        <v>0</v>
      </c>
      <c r="N57" s="161">
        <f t="shared" si="6"/>
        <v>10800</v>
      </c>
      <c r="O57" s="161">
        <f t="shared" si="0"/>
        <v>10800</v>
      </c>
      <c r="P57" s="217"/>
      <c r="Q57" s="156" t="s">
        <v>956</v>
      </c>
    </row>
    <row r="58" spans="1:17" x14ac:dyDescent="0.2">
      <c r="A58" s="170" t="s">
        <v>18</v>
      </c>
      <c r="B58" s="170"/>
      <c r="C58" s="170"/>
      <c r="D58" s="170"/>
      <c r="E58" s="170"/>
      <c r="F58" s="170" t="s">
        <v>18</v>
      </c>
      <c r="G58" s="2" t="s">
        <v>211</v>
      </c>
      <c r="H58" s="171"/>
      <c r="I58" s="172"/>
      <c r="J58" s="172"/>
      <c r="K58" s="172"/>
      <c r="L58" s="172"/>
      <c r="M58" s="172">
        <f t="shared" si="2"/>
        <v>0</v>
      </c>
      <c r="N58" s="172">
        <f t="shared" si="6"/>
        <v>0</v>
      </c>
      <c r="O58" s="172">
        <f t="shared" si="0"/>
        <v>0</v>
      </c>
    </row>
    <row r="59" spans="1:17" x14ac:dyDescent="0.2">
      <c r="A59" s="4" t="s">
        <v>16</v>
      </c>
      <c r="B59" s="159"/>
      <c r="C59" s="159"/>
      <c r="D59" s="159"/>
      <c r="E59" s="159"/>
      <c r="F59" s="4" t="s">
        <v>16</v>
      </c>
      <c r="G59" s="5" t="s">
        <v>10</v>
      </c>
      <c r="H59" s="5"/>
      <c r="I59" s="118"/>
      <c r="J59" s="118"/>
      <c r="K59" s="125"/>
      <c r="L59" s="123"/>
      <c r="M59" s="161">
        <f t="shared" si="2"/>
        <v>0</v>
      </c>
      <c r="N59" s="161">
        <f t="shared" si="6"/>
        <v>0</v>
      </c>
      <c r="O59" s="161">
        <f t="shared" si="0"/>
        <v>0</v>
      </c>
    </row>
    <row r="60" spans="1:17" x14ac:dyDescent="0.2">
      <c r="A60" s="6" t="s">
        <v>250</v>
      </c>
      <c r="B60" s="159" t="s">
        <v>193</v>
      </c>
      <c r="C60" s="159" t="s">
        <v>200</v>
      </c>
      <c r="D60" s="159" t="s">
        <v>202</v>
      </c>
      <c r="E60" s="159" t="s">
        <v>211</v>
      </c>
      <c r="F60" s="6" t="s">
        <v>250</v>
      </c>
      <c r="G60" s="160" t="s">
        <v>465</v>
      </c>
      <c r="H60" s="145"/>
      <c r="I60" s="118" t="s">
        <v>201</v>
      </c>
      <c r="J60" s="122">
        <f>1080/7</f>
        <v>154.28571428571428</v>
      </c>
      <c r="K60" s="125">
        <v>200</v>
      </c>
      <c r="L60" s="123"/>
      <c r="M60" s="161">
        <f t="shared" si="2"/>
        <v>30857.142857142855</v>
      </c>
      <c r="N60" s="161">
        <f t="shared" si="6"/>
        <v>0</v>
      </c>
      <c r="O60" s="161">
        <f t="shared" si="0"/>
        <v>30857.142857142855</v>
      </c>
    </row>
    <row r="61" spans="1:17" x14ac:dyDescent="0.2">
      <c r="A61" s="6" t="s">
        <v>251</v>
      </c>
      <c r="B61" s="159" t="s">
        <v>193</v>
      </c>
      <c r="C61" s="159" t="s">
        <v>200</v>
      </c>
      <c r="D61" s="159" t="s">
        <v>202</v>
      </c>
      <c r="E61" s="159" t="s">
        <v>211</v>
      </c>
      <c r="F61" s="6" t="s">
        <v>251</v>
      </c>
      <c r="G61" s="160" t="s">
        <v>466</v>
      </c>
      <c r="H61" s="145"/>
      <c r="I61" s="118" t="s">
        <v>201</v>
      </c>
      <c r="J61" s="122">
        <f t="shared" ref="J61:J66" si="7">1080/7</f>
        <v>154.28571428571428</v>
      </c>
      <c r="K61" s="125">
        <v>200</v>
      </c>
      <c r="L61" s="123"/>
      <c r="M61" s="161">
        <f>J61*K61</f>
        <v>30857.142857142855</v>
      </c>
      <c r="N61" s="161">
        <f t="shared" si="6"/>
        <v>0</v>
      </c>
      <c r="O61" s="161">
        <f t="shared" si="0"/>
        <v>30857.142857142855</v>
      </c>
    </row>
    <row r="62" spans="1:17" x14ac:dyDescent="0.2">
      <c r="A62" s="6" t="s">
        <v>252</v>
      </c>
      <c r="B62" s="159" t="s">
        <v>193</v>
      </c>
      <c r="C62" s="159" t="s">
        <v>200</v>
      </c>
      <c r="D62" s="159" t="s">
        <v>202</v>
      </c>
      <c r="E62" s="159" t="s">
        <v>211</v>
      </c>
      <c r="F62" s="6" t="s">
        <v>252</v>
      </c>
      <c r="G62" s="160" t="s">
        <v>467</v>
      </c>
      <c r="H62" s="145"/>
      <c r="I62" s="118" t="s">
        <v>201</v>
      </c>
      <c r="J62" s="122">
        <f t="shared" si="7"/>
        <v>154.28571428571428</v>
      </c>
      <c r="K62" s="125">
        <v>200</v>
      </c>
      <c r="L62" s="123"/>
      <c r="M62" s="161">
        <f t="shared" ref="M62:M113" si="8">J62*K62</f>
        <v>30857.142857142855</v>
      </c>
      <c r="N62" s="161">
        <f t="shared" si="6"/>
        <v>0</v>
      </c>
      <c r="O62" s="161">
        <f t="shared" si="0"/>
        <v>30857.142857142855</v>
      </c>
    </row>
    <row r="63" spans="1:17" x14ac:dyDescent="0.2">
      <c r="A63" s="6" t="s">
        <v>253</v>
      </c>
      <c r="B63" s="159" t="s">
        <v>193</v>
      </c>
      <c r="C63" s="159" t="s">
        <v>200</v>
      </c>
      <c r="D63" s="159" t="s">
        <v>202</v>
      </c>
      <c r="E63" s="159" t="s">
        <v>211</v>
      </c>
      <c r="F63" s="6" t="s">
        <v>253</v>
      </c>
      <c r="G63" s="160" t="s">
        <v>468</v>
      </c>
      <c r="H63" s="146"/>
      <c r="I63" s="118" t="s">
        <v>201</v>
      </c>
      <c r="J63" s="122">
        <f t="shared" si="7"/>
        <v>154.28571428571428</v>
      </c>
      <c r="K63" s="125">
        <v>200</v>
      </c>
      <c r="L63" s="124"/>
      <c r="M63" s="161">
        <f t="shared" ref="M63:M66" si="9">J63*K63</f>
        <v>30857.142857142855</v>
      </c>
      <c r="N63" s="161">
        <f t="shared" ref="N63:N66" si="10">J63*L63</f>
        <v>0</v>
      </c>
      <c r="O63" s="161">
        <f t="shared" ref="O63:O66" si="11">N63+M63</f>
        <v>30857.142857142855</v>
      </c>
    </row>
    <row r="64" spans="1:17" x14ac:dyDescent="0.2">
      <c r="A64" s="6" t="s">
        <v>254</v>
      </c>
      <c r="B64" s="159" t="s">
        <v>193</v>
      </c>
      <c r="C64" s="159" t="s">
        <v>200</v>
      </c>
      <c r="D64" s="159" t="s">
        <v>202</v>
      </c>
      <c r="E64" s="159" t="s">
        <v>211</v>
      </c>
      <c r="F64" s="6" t="s">
        <v>254</v>
      </c>
      <c r="G64" s="160" t="s">
        <v>470</v>
      </c>
      <c r="H64" s="146"/>
      <c r="I64" s="118" t="s">
        <v>201</v>
      </c>
      <c r="J64" s="122">
        <f t="shared" si="7"/>
        <v>154.28571428571428</v>
      </c>
      <c r="K64" s="125">
        <v>200</v>
      </c>
      <c r="L64" s="124"/>
      <c r="M64" s="161">
        <f t="shared" si="9"/>
        <v>30857.142857142855</v>
      </c>
      <c r="N64" s="161">
        <f t="shared" si="10"/>
        <v>0</v>
      </c>
      <c r="O64" s="161">
        <f t="shared" si="11"/>
        <v>30857.142857142855</v>
      </c>
    </row>
    <row r="65" spans="1:15" x14ac:dyDescent="0.2">
      <c r="A65" s="6" t="s">
        <v>255</v>
      </c>
      <c r="B65" s="159" t="s">
        <v>193</v>
      </c>
      <c r="C65" s="159" t="s">
        <v>200</v>
      </c>
      <c r="D65" s="159" t="s">
        <v>202</v>
      </c>
      <c r="E65" s="159" t="s">
        <v>211</v>
      </c>
      <c r="F65" s="6" t="s">
        <v>255</v>
      </c>
      <c r="G65" s="160" t="s">
        <v>469</v>
      </c>
      <c r="H65" s="146"/>
      <c r="I65" s="118" t="s">
        <v>201</v>
      </c>
      <c r="J65" s="122">
        <f t="shared" si="7"/>
        <v>154.28571428571428</v>
      </c>
      <c r="K65" s="125">
        <v>200</v>
      </c>
      <c r="L65" s="124"/>
      <c r="M65" s="161">
        <f t="shared" si="9"/>
        <v>30857.142857142855</v>
      </c>
      <c r="N65" s="161">
        <f t="shared" si="10"/>
        <v>0</v>
      </c>
      <c r="O65" s="161">
        <f t="shared" si="11"/>
        <v>30857.142857142855</v>
      </c>
    </row>
    <row r="66" spans="1:15" x14ac:dyDescent="0.2">
      <c r="A66" s="6" t="s">
        <v>502</v>
      </c>
      <c r="B66" s="159" t="s">
        <v>193</v>
      </c>
      <c r="C66" s="159" t="s">
        <v>200</v>
      </c>
      <c r="D66" s="159" t="s">
        <v>202</v>
      </c>
      <c r="E66" s="159" t="s">
        <v>211</v>
      </c>
      <c r="F66" s="6" t="s">
        <v>502</v>
      </c>
      <c r="G66" s="160" t="s">
        <v>471</v>
      </c>
      <c r="H66" s="146"/>
      <c r="I66" s="118" t="s">
        <v>201</v>
      </c>
      <c r="J66" s="122">
        <f t="shared" si="7"/>
        <v>154.28571428571428</v>
      </c>
      <c r="K66" s="125">
        <v>200</v>
      </c>
      <c r="L66" s="124"/>
      <c r="M66" s="161">
        <f t="shared" si="9"/>
        <v>30857.142857142855</v>
      </c>
      <c r="N66" s="161">
        <f t="shared" si="10"/>
        <v>0</v>
      </c>
      <c r="O66" s="161">
        <f t="shared" si="11"/>
        <v>30857.142857142855</v>
      </c>
    </row>
    <row r="67" spans="1:15" x14ac:dyDescent="0.2">
      <c r="A67" s="4" t="s">
        <v>17</v>
      </c>
      <c r="B67" s="159"/>
      <c r="C67" s="159"/>
      <c r="D67" s="159"/>
      <c r="E67" s="159" t="s">
        <v>211</v>
      </c>
      <c r="F67" s="4" t="s">
        <v>17</v>
      </c>
      <c r="G67" s="5" t="s">
        <v>15</v>
      </c>
      <c r="H67" s="5"/>
      <c r="I67" s="125"/>
      <c r="J67" s="125"/>
      <c r="K67" s="125"/>
      <c r="L67" s="123"/>
      <c r="M67" s="161">
        <f t="shared" si="8"/>
        <v>0</v>
      </c>
      <c r="N67" s="161">
        <f t="shared" si="6"/>
        <v>0</v>
      </c>
      <c r="O67" s="161">
        <f t="shared" si="0"/>
        <v>0</v>
      </c>
    </row>
    <row r="68" spans="1:15" x14ac:dyDescent="0.2">
      <c r="A68" s="6" t="s">
        <v>256</v>
      </c>
      <c r="B68" s="159" t="s">
        <v>149</v>
      </c>
      <c r="C68" s="159" t="s">
        <v>210</v>
      </c>
      <c r="D68" s="159" t="s">
        <v>202</v>
      </c>
      <c r="E68" s="159" t="s">
        <v>211</v>
      </c>
      <c r="F68" s="6" t="s">
        <v>256</v>
      </c>
      <c r="G68" s="165" t="s">
        <v>669</v>
      </c>
      <c r="H68" s="163" t="s">
        <v>592</v>
      </c>
      <c r="I68" s="118" t="s">
        <v>12</v>
      </c>
      <c r="J68" s="125">
        <v>400</v>
      </c>
      <c r="K68" s="125"/>
      <c r="L68" s="123">
        <v>13</v>
      </c>
      <c r="M68" s="161">
        <f t="shared" si="8"/>
        <v>0</v>
      </c>
      <c r="N68" s="161">
        <f t="shared" si="6"/>
        <v>5200</v>
      </c>
      <c r="O68" s="161">
        <f t="shared" si="0"/>
        <v>5200</v>
      </c>
    </row>
    <row r="69" spans="1:15" ht="25.5" x14ac:dyDescent="0.2">
      <c r="A69" s="6" t="s">
        <v>257</v>
      </c>
      <c r="B69" s="159" t="s">
        <v>149</v>
      </c>
      <c r="C69" s="159" t="s">
        <v>210</v>
      </c>
      <c r="D69" s="159" t="s">
        <v>202</v>
      </c>
      <c r="E69" s="159" t="s">
        <v>211</v>
      </c>
      <c r="F69" s="6" t="s">
        <v>257</v>
      </c>
      <c r="G69" s="165" t="s">
        <v>670</v>
      </c>
      <c r="H69" s="163" t="s">
        <v>568</v>
      </c>
      <c r="I69" s="118" t="s">
        <v>20</v>
      </c>
      <c r="J69" s="125">
        <v>5000</v>
      </c>
      <c r="K69" s="125"/>
      <c r="L69" s="123">
        <v>0.47</v>
      </c>
      <c r="M69" s="161">
        <f t="shared" si="8"/>
        <v>0</v>
      </c>
      <c r="N69" s="161">
        <f t="shared" si="6"/>
        <v>2350</v>
      </c>
      <c r="O69" s="161">
        <f t="shared" si="0"/>
        <v>2350</v>
      </c>
    </row>
    <row r="70" spans="1:15" x14ac:dyDescent="0.2">
      <c r="A70" s="6" t="s">
        <v>258</v>
      </c>
      <c r="B70" s="159" t="s">
        <v>149</v>
      </c>
      <c r="C70" s="159" t="s">
        <v>210</v>
      </c>
      <c r="D70" s="159" t="s">
        <v>202</v>
      </c>
      <c r="E70" s="159" t="s">
        <v>211</v>
      </c>
      <c r="F70" s="6" t="s">
        <v>258</v>
      </c>
      <c r="G70" s="165" t="s">
        <v>671</v>
      </c>
      <c r="H70" s="145" t="s">
        <v>592</v>
      </c>
      <c r="I70" s="118" t="s">
        <v>12</v>
      </c>
      <c r="J70" s="125">
        <v>580</v>
      </c>
      <c r="K70" s="125"/>
      <c r="L70" s="123">
        <v>13</v>
      </c>
      <c r="M70" s="161">
        <f t="shared" si="8"/>
        <v>0</v>
      </c>
      <c r="N70" s="161">
        <f t="shared" si="6"/>
        <v>7540</v>
      </c>
      <c r="O70" s="161">
        <f t="shared" si="0"/>
        <v>7540</v>
      </c>
    </row>
    <row r="71" spans="1:15" x14ac:dyDescent="0.2">
      <c r="A71" s="6" t="s">
        <v>259</v>
      </c>
      <c r="B71" s="159" t="s">
        <v>149</v>
      </c>
      <c r="C71" s="159" t="s">
        <v>210</v>
      </c>
      <c r="D71" s="159" t="s">
        <v>202</v>
      </c>
      <c r="E71" s="159" t="s">
        <v>211</v>
      </c>
      <c r="F71" s="6" t="s">
        <v>259</v>
      </c>
      <c r="G71" s="165" t="s">
        <v>672</v>
      </c>
      <c r="H71" s="145" t="s">
        <v>649</v>
      </c>
      <c r="I71" s="118" t="s">
        <v>12</v>
      </c>
      <c r="J71" s="125">
        <v>120</v>
      </c>
      <c r="K71" s="125"/>
      <c r="L71" s="123">
        <v>220</v>
      </c>
      <c r="M71" s="161">
        <f t="shared" si="8"/>
        <v>0</v>
      </c>
      <c r="N71" s="161">
        <f t="shared" si="6"/>
        <v>26400</v>
      </c>
      <c r="O71" s="161">
        <f t="shared" si="0"/>
        <v>26400</v>
      </c>
    </row>
    <row r="72" spans="1:15" x14ac:dyDescent="0.2">
      <c r="A72" s="6" t="s">
        <v>260</v>
      </c>
      <c r="B72" s="159" t="s">
        <v>149</v>
      </c>
      <c r="C72" s="159" t="s">
        <v>210</v>
      </c>
      <c r="D72" s="159" t="s">
        <v>202</v>
      </c>
      <c r="E72" s="159" t="s">
        <v>211</v>
      </c>
      <c r="F72" s="6" t="s">
        <v>260</v>
      </c>
      <c r="G72" s="165" t="s">
        <v>673</v>
      </c>
      <c r="H72" s="163" t="s">
        <v>649</v>
      </c>
      <c r="I72" s="118" t="s">
        <v>12</v>
      </c>
      <c r="J72" s="125">
        <v>120</v>
      </c>
      <c r="K72" s="125"/>
      <c r="L72" s="123">
        <v>118</v>
      </c>
      <c r="M72" s="161">
        <f t="shared" si="8"/>
        <v>0</v>
      </c>
      <c r="N72" s="161">
        <f t="shared" si="6"/>
        <v>14160</v>
      </c>
      <c r="O72" s="161">
        <f t="shared" si="0"/>
        <v>14160</v>
      </c>
    </row>
    <row r="73" spans="1:15" x14ac:dyDescent="0.2">
      <c r="A73" s="6" t="s">
        <v>261</v>
      </c>
      <c r="B73" s="159" t="s">
        <v>149</v>
      </c>
      <c r="C73" s="159" t="s">
        <v>210</v>
      </c>
      <c r="D73" s="159" t="s">
        <v>202</v>
      </c>
      <c r="E73" s="159" t="s">
        <v>211</v>
      </c>
      <c r="F73" s="6" t="s">
        <v>261</v>
      </c>
      <c r="G73" s="165" t="s">
        <v>674</v>
      </c>
      <c r="H73" s="145" t="s">
        <v>563</v>
      </c>
      <c r="I73" s="118" t="s">
        <v>12</v>
      </c>
      <c r="J73" s="125">
        <v>230</v>
      </c>
      <c r="K73" s="125"/>
      <c r="L73" s="123">
        <v>181</v>
      </c>
      <c r="M73" s="161">
        <f t="shared" si="8"/>
        <v>0</v>
      </c>
      <c r="N73" s="161">
        <f t="shared" si="6"/>
        <v>41630</v>
      </c>
      <c r="O73" s="161">
        <f t="shared" si="0"/>
        <v>41630</v>
      </c>
    </row>
    <row r="74" spans="1:15" x14ac:dyDescent="0.2">
      <c r="A74" s="6" t="s">
        <v>262</v>
      </c>
      <c r="B74" s="159" t="s">
        <v>149</v>
      </c>
      <c r="C74" s="159" t="s">
        <v>210</v>
      </c>
      <c r="D74" s="159" t="s">
        <v>202</v>
      </c>
      <c r="E74" s="159" t="s">
        <v>211</v>
      </c>
      <c r="F74" s="6" t="s">
        <v>262</v>
      </c>
      <c r="G74" s="165" t="s">
        <v>675</v>
      </c>
      <c r="H74" s="115" t="s">
        <v>563</v>
      </c>
      <c r="I74" s="118" t="s">
        <v>12</v>
      </c>
      <c r="J74" s="125">
        <v>560</v>
      </c>
      <c r="K74" s="125"/>
      <c r="L74" s="123">
        <v>90.5</v>
      </c>
      <c r="M74" s="161">
        <f t="shared" si="8"/>
        <v>0</v>
      </c>
      <c r="N74" s="161">
        <f t="shared" si="6"/>
        <v>50680</v>
      </c>
      <c r="O74" s="161">
        <f t="shared" si="0"/>
        <v>50680</v>
      </c>
    </row>
    <row r="75" spans="1:15" x14ac:dyDescent="0.2">
      <c r="A75" s="6" t="s">
        <v>263</v>
      </c>
      <c r="B75" s="159" t="s">
        <v>149</v>
      </c>
      <c r="C75" s="159" t="s">
        <v>210</v>
      </c>
      <c r="D75" s="159" t="s">
        <v>202</v>
      </c>
      <c r="E75" s="159" t="s">
        <v>211</v>
      </c>
      <c r="F75" s="6" t="s">
        <v>263</v>
      </c>
      <c r="G75" s="165" t="s">
        <v>676</v>
      </c>
      <c r="H75" s="115" t="s">
        <v>677</v>
      </c>
      <c r="I75" s="118" t="s">
        <v>20</v>
      </c>
      <c r="J75" s="125">
        <v>36</v>
      </c>
      <c r="K75" s="125"/>
      <c r="L75" s="123">
        <v>7700</v>
      </c>
      <c r="M75" s="161">
        <f t="shared" si="8"/>
        <v>0</v>
      </c>
      <c r="N75" s="161">
        <f t="shared" si="6"/>
        <v>277200</v>
      </c>
      <c r="O75" s="161">
        <f t="shared" si="0"/>
        <v>277200</v>
      </c>
    </row>
    <row r="76" spans="1:15" x14ac:dyDescent="0.2">
      <c r="A76" s="6" t="s">
        <v>264</v>
      </c>
      <c r="B76" s="159" t="s">
        <v>149</v>
      </c>
      <c r="C76" s="159" t="s">
        <v>210</v>
      </c>
      <c r="D76" s="159" t="s">
        <v>202</v>
      </c>
      <c r="E76" s="159" t="s">
        <v>211</v>
      </c>
      <c r="F76" s="6" t="s">
        <v>264</v>
      </c>
      <c r="G76" s="165" t="s">
        <v>678</v>
      </c>
      <c r="H76" s="115" t="s">
        <v>679</v>
      </c>
      <c r="I76" s="118" t="s">
        <v>12</v>
      </c>
      <c r="J76" s="125">
        <v>160</v>
      </c>
      <c r="K76" s="125"/>
      <c r="L76" s="123">
        <v>478</v>
      </c>
      <c r="M76" s="161">
        <f t="shared" si="8"/>
        <v>0</v>
      </c>
      <c r="N76" s="161">
        <f t="shared" si="6"/>
        <v>76480</v>
      </c>
      <c r="O76" s="161">
        <f t="shared" si="0"/>
        <v>76480</v>
      </c>
    </row>
    <row r="77" spans="1:15" x14ac:dyDescent="0.2">
      <c r="A77" s="6" t="s">
        <v>265</v>
      </c>
      <c r="B77" s="159" t="s">
        <v>149</v>
      </c>
      <c r="C77" s="159" t="s">
        <v>210</v>
      </c>
      <c r="D77" s="159" t="s">
        <v>202</v>
      </c>
      <c r="E77" s="159" t="s">
        <v>211</v>
      </c>
      <c r="F77" s="6" t="s">
        <v>265</v>
      </c>
      <c r="G77" s="165" t="s">
        <v>680</v>
      </c>
      <c r="H77" s="163" t="s">
        <v>681</v>
      </c>
      <c r="I77" s="118" t="s">
        <v>14</v>
      </c>
      <c r="J77" s="125">
        <v>25</v>
      </c>
      <c r="K77" s="125"/>
      <c r="L77" s="123">
        <v>393</v>
      </c>
      <c r="M77" s="161">
        <f t="shared" si="8"/>
        <v>0</v>
      </c>
      <c r="N77" s="161">
        <f t="shared" si="6"/>
        <v>9825</v>
      </c>
      <c r="O77" s="161">
        <f t="shared" si="0"/>
        <v>9825</v>
      </c>
    </row>
    <row r="78" spans="1:15" x14ac:dyDescent="0.2">
      <c r="A78" s="6" t="s">
        <v>266</v>
      </c>
      <c r="B78" s="159" t="s">
        <v>149</v>
      </c>
      <c r="C78" s="159" t="s">
        <v>210</v>
      </c>
      <c r="D78" s="159" t="s">
        <v>202</v>
      </c>
      <c r="E78" s="159" t="s">
        <v>211</v>
      </c>
      <c r="F78" s="6" t="s">
        <v>266</v>
      </c>
      <c r="G78" s="165" t="s">
        <v>641</v>
      </c>
      <c r="H78" s="163" t="s">
        <v>642</v>
      </c>
      <c r="I78" s="118" t="s">
        <v>14</v>
      </c>
      <c r="J78" s="125">
        <v>70</v>
      </c>
      <c r="K78" s="125"/>
      <c r="L78" s="123">
        <v>216</v>
      </c>
      <c r="M78" s="161">
        <f t="shared" si="8"/>
        <v>0</v>
      </c>
      <c r="N78" s="161">
        <f t="shared" si="6"/>
        <v>15120</v>
      </c>
      <c r="O78" s="161">
        <f t="shared" si="0"/>
        <v>15120</v>
      </c>
    </row>
    <row r="79" spans="1:15" x14ac:dyDescent="0.2">
      <c r="A79" s="6" t="s">
        <v>269</v>
      </c>
      <c r="B79" s="159" t="s">
        <v>149</v>
      </c>
      <c r="C79" s="159" t="s">
        <v>210</v>
      </c>
      <c r="D79" s="159" t="s">
        <v>202</v>
      </c>
      <c r="E79" s="159" t="s">
        <v>211</v>
      </c>
      <c r="F79" s="6" t="s">
        <v>269</v>
      </c>
      <c r="G79" s="165" t="s">
        <v>682</v>
      </c>
      <c r="H79" s="145" t="s">
        <v>683</v>
      </c>
      <c r="I79" s="118" t="s">
        <v>20</v>
      </c>
      <c r="J79" s="125">
        <v>1</v>
      </c>
      <c r="K79" s="125"/>
      <c r="L79" s="123">
        <v>6340</v>
      </c>
      <c r="M79" s="161">
        <f t="shared" si="8"/>
        <v>0</v>
      </c>
      <c r="N79" s="161">
        <f t="shared" si="6"/>
        <v>6340</v>
      </c>
      <c r="O79" s="161">
        <f t="shared" si="0"/>
        <v>6340</v>
      </c>
    </row>
    <row r="80" spans="1:15" x14ac:dyDescent="0.2">
      <c r="A80" s="6" t="s">
        <v>270</v>
      </c>
      <c r="B80" s="159" t="s">
        <v>149</v>
      </c>
      <c r="C80" s="159" t="s">
        <v>210</v>
      </c>
      <c r="D80" s="159" t="s">
        <v>202</v>
      </c>
      <c r="E80" s="159" t="s">
        <v>211</v>
      </c>
      <c r="F80" s="6" t="s">
        <v>270</v>
      </c>
      <c r="G80" s="165" t="s">
        <v>684</v>
      </c>
      <c r="H80" s="145" t="s">
        <v>685</v>
      </c>
      <c r="I80" s="118" t="s">
        <v>268</v>
      </c>
      <c r="J80" s="125">
        <v>4</v>
      </c>
      <c r="K80" s="125"/>
      <c r="L80" s="123">
        <v>786</v>
      </c>
      <c r="M80" s="161">
        <f t="shared" si="8"/>
        <v>0</v>
      </c>
      <c r="N80" s="161">
        <f t="shared" si="6"/>
        <v>3144</v>
      </c>
      <c r="O80" s="161">
        <f t="shared" si="0"/>
        <v>3144</v>
      </c>
    </row>
    <row r="81" spans="1:15" ht="25.5" x14ac:dyDescent="0.2">
      <c r="A81" s="6" t="s">
        <v>271</v>
      </c>
      <c r="B81" s="159" t="s">
        <v>149</v>
      </c>
      <c r="C81" s="159" t="s">
        <v>210</v>
      </c>
      <c r="D81" s="159" t="s">
        <v>202</v>
      </c>
      <c r="E81" s="159" t="s">
        <v>211</v>
      </c>
      <c r="F81" s="6" t="s">
        <v>271</v>
      </c>
      <c r="G81" s="165" t="s">
        <v>686</v>
      </c>
      <c r="H81" s="145" t="s">
        <v>568</v>
      </c>
      <c r="I81" s="118" t="s">
        <v>20</v>
      </c>
      <c r="J81" s="125">
        <v>6000</v>
      </c>
      <c r="K81" s="125"/>
      <c r="L81" s="123">
        <v>0.57999999999999996</v>
      </c>
      <c r="M81" s="161">
        <f t="shared" si="8"/>
        <v>0</v>
      </c>
      <c r="N81" s="161">
        <f t="shared" si="6"/>
        <v>3479.9999999999995</v>
      </c>
      <c r="O81" s="161">
        <f t="shared" si="0"/>
        <v>3479.9999999999995</v>
      </c>
    </row>
    <row r="82" spans="1:15" x14ac:dyDescent="0.2">
      <c r="A82" s="6" t="s">
        <v>272</v>
      </c>
      <c r="B82" s="159" t="s">
        <v>149</v>
      </c>
      <c r="C82" s="159" t="s">
        <v>210</v>
      </c>
      <c r="D82" s="159" t="s">
        <v>202</v>
      </c>
      <c r="E82" s="159" t="s">
        <v>211</v>
      </c>
      <c r="F82" s="6" t="s">
        <v>272</v>
      </c>
      <c r="G82" s="165" t="s">
        <v>687</v>
      </c>
      <c r="H82" s="145" t="s">
        <v>568</v>
      </c>
      <c r="I82" s="118" t="s">
        <v>20</v>
      </c>
      <c r="J82" s="125">
        <v>6000</v>
      </c>
      <c r="K82" s="125"/>
      <c r="L82" s="123">
        <v>0.73</v>
      </c>
      <c r="M82" s="161">
        <f t="shared" si="8"/>
        <v>0</v>
      </c>
      <c r="N82" s="161">
        <f t="shared" si="6"/>
        <v>4380</v>
      </c>
      <c r="O82" s="161">
        <f t="shared" si="0"/>
        <v>4380</v>
      </c>
    </row>
    <row r="83" spans="1:15" x14ac:dyDescent="0.2">
      <c r="A83" s="6" t="s">
        <v>273</v>
      </c>
      <c r="B83" s="159" t="s">
        <v>149</v>
      </c>
      <c r="C83" s="159" t="s">
        <v>210</v>
      </c>
      <c r="D83" s="159" t="s">
        <v>202</v>
      </c>
      <c r="E83" s="159" t="s">
        <v>211</v>
      </c>
      <c r="F83" s="6" t="s">
        <v>273</v>
      </c>
      <c r="G83" s="165" t="s">
        <v>688</v>
      </c>
      <c r="H83" s="163" t="s">
        <v>568</v>
      </c>
      <c r="I83" s="118" t="s">
        <v>20</v>
      </c>
      <c r="J83" s="125">
        <v>6500</v>
      </c>
      <c r="K83" s="125"/>
      <c r="L83" s="123">
        <v>0.26</v>
      </c>
      <c r="M83" s="161">
        <f t="shared" si="8"/>
        <v>0</v>
      </c>
      <c r="N83" s="161">
        <f t="shared" si="6"/>
        <v>1690</v>
      </c>
      <c r="O83" s="161">
        <f t="shared" si="0"/>
        <v>1690</v>
      </c>
    </row>
    <row r="84" spans="1:15" ht="25.5" x14ac:dyDescent="0.2">
      <c r="A84" s="6" t="s">
        <v>274</v>
      </c>
      <c r="B84" s="159" t="s">
        <v>149</v>
      </c>
      <c r="C84" s="159" t="s">
        <v>210</v>
      </c>
      <c r="D84" s="159" t="s">
        <v>202</v>
      </c>
      <c r="E84" s="159" t="s">
        <v>211</v>
      </c>
      <c r="F84" s="6" t="s">
        <v>274</v>
      </c>
      <c r="G84" s="165" t="s">
        <v>689</v>
      </c>
      <c r="H84" s="163" t="s">
        <v>568</v>
      </c>
      <c r="I84" s="118" t="s">
        <v>20</v>
      </c>
      <c r="J84" s="125">
        <v>5000</v>
      </c>
      <c r="K84" s="125"/>
      <c r="L84" s="123">
        <v>1.86</v>
      </c>
      <c r="M84" s="161">
        <f t="shared" si="8"/>
        <v>0</v>
      </c>
      <c r="N84" s="161">
        <f t="shared" si="6"/>
        <v>9300</v>
      </c>
      <c r="O84" s="161">
        <f t="shared" ref="O84:O113" si="12">N84+M84</f>
        <v>9300</v>
      </c>
    </row>
    <row r="85" spans="1:15" x14ac:dyDescent="0.2">
      <c r="A85" s="6" t="s">
        <v>275</v>
      </c>
      <c r="B85" s="159" t="s">
        <v>149</v>
      </c>
      <c r="C85" s="159" t="s">
        <v>210</v>
      </c>
      <c r="D85" s="159" t="s">
        <v>202</v>
      </c>
      <c r="E85" s="159" t="s">
        <v>211</v>
      </c>
      <c r="F85" s="6" t="s">
        <v>275</v>
      </c>
      <c r="G85" s="165" t="s">
        <v>690</v>
      </c>
      <c r="H85" s="115" t="s">
        <v>691</v>
      </c>
      <c r="I85" s="118" t="s">
        <v>20</v>
      </c>
      <c r="J85" s="125">
        <v>1200</v>
      </c>
      <c r="K85" s="125"/>
      <c r="L85" s="123">
        <v>1.23</v>
      </c>
      <c r="M85" s="161">
        <f t="shared" si="8"/>
        <v>0</v>
      </c>
      <c r="N85" s="161">
        <f t="shared" si="6"/>
        <v>1476</v>
      </c>
      <c r="O85" s="161">
        <f t="shared" si="12"/>
        <v>1476</v>
      </c>
    </row>
    <row r="86" spans="1:15" ht="25.5" x14ac:dyDescent="0.2">
      <c r="A86" s="6" t="s">
        <v>276</v>
      </c>
      <c r="B86" s="159" t="s">
        <v>149</v>
      </c>
      <c r="C86" s="159" t="s">
        <v>210</v>
      </c>
      <c r="D86" s="159" t="s">
        <v>202</v>
      </c>
      <c r="E86" s="159" t="s">
        <v>211</v>
      </c>
      <c r="F86" s="6" t="s">
        <v>276</v>
      </c>
      <c r="G86" s="165" t="s">
        <v>692</v>
      </c>
      <c r="H86" s="115" t="s">
        <v>691</v>
      </c>
      <c r="I86" s="118" t="s">
        <v>20</v>
      </c>
      <c r="J86" s="125">
        <v>180</v>
      </c>
      <c r="K86" s="125"/>
      <c r="L86" s="123">
        <v>0.33</v>
      </c>
      <c r="M86" s="161">
        <f t="shared" si="8"/>
        <v>0</v>
      </c>
      <c r="N86" s="161">
        <f t="shared" si="6"/>
        <v>59.400000000000006</v>
      </c>
      <c r="O86" s="161">
        <f t="shared" si="12"/>
        <v>59.400000000000006</v>
      </c>
    </row>
    <row r="87" spans="1:15" ht="25.5" x14ac:dyDescent="0.2">
      <c r="A87" s="6" t="s">
        <v>277</v>
      </c>
      <c r="B87" s="159" t="s">
        <v>149</v>
      </c>
      <c r="C87" s="159" t="s">
        <v>210</v>
      </c>
      <c r="D87" s="159" t="s">
        <v>202</v>
      </c>
      <c r="E87" s="159" t="s">
        <v>211</v>
      </c>
      <c r="F87" s="6" t="s">
        <v>277</v>
      </c>
      <c r="G87" s="165" t="s">
        <v>693</v>
      </c>
      <c r="H87" s="115" t="s">
        <v>568</v>
      </c>
      <c r="I87" s="118" t="s">
        <v>20</v>
      </c>
      <c r="J87" s="125">
        <v>300</v>
      </c>
      <c r="K87" s="125"/>
      <c r="L87" s="123">
        <v>0.93</v>
      </c>
      <c r="M87" s="161">
        <f t="shared" si="8"/>
        <v>0</v>
      </c>
      <c r="N87" s="161">
        <f t="shared" si="6"/>
        <v>279</v>
      </c>
      <c r="O87" s="161">
        <f t="shared" si="12"/>
        <v>279</v>
      </c>
    </row>
    <row r="88" spans="1:15" x14ac:dyDescent="0.2">
      <c r="A88" s="6" t="s">
        <v>278</v>
      </c>
      <c r="B88" s="159" t="s">
        <v>149</v>
      </c>
      <c r="C88" s="159" t="s">
        <v>210</v>
      </c>
      <c r="D88" s="159" t="s">
        <v>202</v>
      </c>
      <c r="E88" s="159" t="s">
        <v>211</v>
      </c>
      <c r="F88" s="6" t="s">
        <v>278</v>
      </c>
      <c r="G88" s="165" t="s">
        <v>694</v>
      </c>
      <c r="H88" s="115" t="s">
        <v>564</v>
      </c>
      <c r="I88" s="118" t="s">
        <v>268</v>
      </c>
      <c r="J88" s="125">
        <v>1900</v>
      </c>
      <c r="K88" s="125"/>
      <c r="L88" s="123">
        <v>57</v>
      </c>
      <c r="M88" s="161">
        <f t="shared" si="8"/>
        <v>0</v>
      </c>
      <c r="N88" s="161">
        <f t="shared" si="6"/>
        <v>108300</v>
      </c>
      <c r="O88" s="161">
        <f t="shared" si="12"/>
        <v>108300</v>
      </c>
    </row>
    <row r="89" spans="1:15" x14ac:dyDescent="0.2">
      <c r="A89" s="114"/>
      <c r="B89" s="159" t="s">
        <v>149</v>
      </c>
      <c r="C89" s="159" t="s">
        <v>210</v>
      </c>
      <c r="D89" s="159" t="s">
        <v>202</v>
      </c>
      <c r="E89" s="159" t="s">
        <v>211</v>
      </c>
      <c r="F89" s="6" t="s">
        <v>279</v>
      </c>
      <c r="G89" s="165" t="s">
        <v>695</v>
      </c>
      <c r="H89" s="115" t="s">
        <v>565</v>
      </c>
      <c r="I89" s="128" t="s">
        <v>268</v>
      </c>
      <c r="J89" s="130">
        <v>302</v>
      </c>
      <c r="K89" s="130"/>
      <c r="L89" s="144">
        <v>33</v>
      </c>
      <c r="M89" s="161">
        <f t="shared" ref="M89:M102" si="13">J89*K89</f>
        <v>0</v>
      </c>
      <c r="N89" s="161">
        <f t="shared" ref="N89:N102" si="14">J89*L89</f>
        <v>9966</v>
      </c>
      <c r="O89" s="161">
        <f t="shared" ref="O89:O102" si="15">N89+M89</f>
        <v>9966</v>
      </c>
    </row>
    <row r="90" spans="1:15" x14ac:dyDescent="0.2">
      <c r="A90" s="114"/>
      <c r="B90" s="159" t="s">
        <v>149</v>
      </c>
      <c r="C90" s="159" t="s">
        <v>210</v>
      </c>
      <c r="D90" s="159" t="s">
        <v>202</v>
      </c>
      <c r="E90" s="159" t="s">
        <v>211</v>
      </c>
      <c r="F90" s="6" t="s">
        <v>280</v>
      </c>
      <c r="G90" s="165" t="s">
        <v>696</v>
      </c>
      <c r="H90" s="115" t="s">
        <v>697</v>
      </c>
      <c r="I90" s="128" t="s">
        <v>14</v>
      </c>
      <c r="J90" s="130">
        <v>15</v>
      </c>
      <c r="K90" s="130"/>
      <c r="L90" s="144">
        <v>167</v>
      </c>
      <c r="M90" s="161">
        <f t="shared" si="13"/>
        <v>0</v>
      </c>
      <c r="N90" s="161">
        <f t="shared" si="14"/>
        <v>2505</v>
      </c>
      <c r="O90" s="161">
        <f t="shared" si="15"/>
        <v>2505</v>
      </c>
    </row>
    <row r="91" spans="1:15" x14ac:dyDescent="0.2">
      <c r="A91" s="114"/>
      <c r="B91" s="159" t="s">
        <v>149</v>
      </c>
      <c r="C91" s="159" t="s">
        <v>210</v>
      </c>
      <c r="D91" s="159" t="s">
        <v>202</v>
      </c>
      <c r="E91" s="159" t="s">
        <v>211</v>
      </c>
      <c r="F91" s="6" t="s">
        <v>657</v>
      </c>
      <c r="G91" s="165" t="s">
        <v>698</v>
      </c>
      <c r="H91" s="115" t="s">
        <v>699</v>
      </c>
      <c r="I91" s="128" t="s">
        <v>20</v>
      </c>
      <c r="J91" s="130">
        <v>202</v>
      </c>
      <c r="K91" s="130"/>
      <c r="L91" s="144">
        <v>690</v>
      </c>
      <c r="M91" s="161">
        <f t="shared" si="13"/>
        <v>0</v>
      </c>
      <c r="N91" s="161">
        <f t="shared" si="14"/>
        <v>139380</v>
      </c>
      <c r="O91" s="161">
        <f t="shared" si="15"/>
        <v>139380</v>
      </c>
    </row>
    <row r="92" spans="1:15" x14ac:dyDescent="0.2">
      <c r="A92" s="114"/>
      <c r="B92" s="159" t="s">
        <v>149</v>
      </c>
      <c r="C92" s="159" t="s">
        <v>210</v>
      </c>
      <c r="D92" s="159" t="s">
        <v>202</v>
      </c>
      <c r="E92" s="159" t="s">
        <v>211</v>
      </c>
      <c r="F92" s="6" t="s">
        <v>658</v>
      </c>
      <c r="G92" s="165" t="s">
        <v>700</v>
      </c>
      <c r="H92" s="115" t="s">
        <v>701</v>
      </c>
      <c r="I92" s="128" t="s">
        <v>20</v>
      </c>
      <c r="J92" s="130">
        <v>46</v>
      </c>
      <c r="K92" s="130"/>
      <c r="L92" s="144">
        <v>51</v>
      </c>
      <c r="M92" s="161">
        <f t="shared" si="13"/>
        <v>0</v>
      </c>
      <c r="N92" s="161">
        <f t="shared" si="14"/>
        <v>2346</v>
      </c>
      <c r="O92" s="161">
        <f t="shared" si="15"/>
        <v>2346</v>
      </c>
    </row>
    <row r="93" spans="1:15" x14ac:dyDescent="0.2">
      <c r="A93" s="114"/>
      <c r="B93" s="159" t="s">
        <v>149</v>
      </c>
      <c r="C93" s="159" t="s">
        <v>210</v>
      </c>
      <c r="D93" s="159" t="s">
        <v>202</v>
      </c>
      <c r="E93" s="159" t="s">
        <v>211</v>
      </c>
      <c r="F93" s="6" t="s">
        <v>659</v>
      </c>
      <c r="G93" s="165" t="s">
        <v>702</v>
      </c>
      <c r="H93" s="115" t="s">
        <v>566</v>
      </c>
      <c r="I93" s="128" t="s">
        <v>20</v>
      </c>
      <c r="J93" s="130">
        <v>16</v>
      </c>
      <c r="K93" s="130"/>
      <c r="L93" s="144">
        <v>146</v>
      </c>
      <c r="M93" s="161">
        <f t="shared" si="13"/>
        <v>0</v>
      </c>
      <c r="N93" s="161">
        <f t="shared" si="14"/>
        <v>2336</v>
      </c>
      <c r="O93" s="161">
        <f t="shared" si="15"/>
        <v>2336</v>
      </c>
    </row>
    <row r="94" spans="1:15" x14ac:dyDescent="0.2">
      <c r="A94" s="114"/>
      <c r="B94" s="159" t="s">
        <v>149</v>
      </c>
      <c r="C94" s="159" t="s">
        <v>210</v>
      </c>
      <c r="D94" s="159" t="s">
        <v>202</v>
      </c>
      <c r="E94" s="159" t="s">
        <v>211</v>
      </c>
      <c r="F94" s="6" t="s">
        <v>660</v>
      </c>
      <c r="G94" s="165" t="s">
        <v>703</v>
      </c>
      <c r="H94" s="115" t="s">
        <v>704</v>
      </c>
      <c r="I94" s="128" t="s">
        <v>20</v>
      </c>
      <c r="J94" s="130">
        <v>12</v>
      </c>
      <c r="K94" s="130"/>
      <c r="L94" s="144">
        <v>204</v>
      </c>
      <c r="M94" s="161">
        <f t="shared" si="13"/>
        <v>0</v>
      </c>
      <c r="N94" s="161">
        <f t="shared" si="14"/>
        <v>2448</v>
      </c>
      <c r="O94" s="161">
        <f t="shared" si="15"/>
        <v>2448</v>
      </c>
    </row>
    <row r="95" spans="1:15" x14ac:dyDescent="0.2">
      <c r="A95" s="114"/>
      <c r="B95" s="159" t="s">
        <v>149</v>
      </c>
      <c r="C95" s="159" t="s">
        <v>210</v>
      </c>
      <c r="D95" s="159" t="s">
        <v>202</v>
      </c>
      <c r="E95" s="159" t="s">
        <v>211</v>
      </c>
      <c r="F95" s="6" t="s">
        <v>661</v>
      </c>
      <c r="G95" s="165" t="s">
        <v>705</v>
      </c>
      <c r="H95" s="115" t="s">
        <v>705</v>
      </c>
      <c r="I95" s="128" t="s">
        <v>630</v>
      </c>
      <c r="J95" s="130">
        <v>5</v>
      </c>
      <c r="K95" s="130"/>
      <c r="L95" s="144">
        <v>1670</v>
      </c>
      <c r="M95" s="161">
        <f t="shared" si="13"/>
        <v>0</v>
      </c>
      <c r="N95" s="161">
        <f t="shared" si="14"/>
        <v>8350</v>
      </c>
      <c r="O95" s="161">
        <f t="shared" si="15"/>
        <v>8350</v>
      </c>
    </row>
    <row r="96" spans="1:15" x14ac:dyDescent="0.2">
      <c r="A96" s="114"/>
      <c r="B96" s="159" t="s">
        <v>149</v>
      </c>
      <c r="C96" s="159" t="s">
        <v>210</v>
      </c>
      <c r="D96" s="159" t="s">
        <v>202</v>
      </c>
      <c r="E96" s="159" t="s">
        <v>211</v>
      </c>
      <c r="F96" s="6" t="s">
        <v>662</v>
      </c>
      <c r="G96" s="165" t="s">
        <v>706</v>
      </c>
      <c r="H96" s="115" t="s">
        <v>679</v>
      </c>
      <c r="I96" s="128" t="s">
        <v>12</v>
      </c>
      <c r="J96" s="130">
        <v>316</v>
      </c>
      <c r="K96" s="130"/>
      <c r="L96" s="144">
        <v>456</v>
      </c>
      <c r="M96" s="161">
        <f t="shared" si="13"/>
        <v>0</v>
      </c>
      <c r="N96" s="161">
        <f t="shared" si="14"/>
        <v>144096</v>
      </c>
      <c r="O96" s="161">
        <f t="shared" si="15"/>
        <v>144096</v>
      </c>
    </row>
    <row r="97" spans="1:17" x14ac:dyDescent="0.2">
      <c r="A97" s="114"/>
      <c r="B97" s="159" t="s">
        <v>149</v>
      </c>
      <c r="C97" s="159" t="s">
        <v>210</v>
      </c>
      <c r="D97" s="159" t="s">
        <v>202</v>
      </c>
      <c r="E97" s="159" t="s">
        <v>211</v>
      </c>
      <c r="F97" s="6" t="s">
        <v>663</v>
      </c>
      <c r="G97" s="165" t="s">
        <v>707</v>
      </c>
      <c r="H97" s="115" t="s">
        <v>708</v>
      </c>
      <c r="I97" s="128" t="s">
        <v>20</v>
      </c>
      <c r="J97" s="130">
        <v>36</v>
      </c>
      <c r="K97" s="130"/>
      <c r="L97" s="144">
        <v>46</v>
      </c>
      <c r="M97" s="161">
        <f t="shared" si="13"/>
        <v>0</v>
      </c>
      <c r="N97" s="161">
        <f t="shared" si="14"/>
        <v>1656</v>
      </c>
      <c r="O97" s="161">
        <f t="shared" si="15"/>
        <v>1656</v>
      </c>
    </row>
    <row r="98" spans="1:17" x14ac:dyDescent="0.2">
      <c r="A98" s="114"/>
      <c r="B98" s="159" t="s">
        <v>149</v>
      </c>
      <c r="C98" s="159" t="s">
        <v>210</v>
      </c>
      <c r="D98" s="159" t="s">
        <v>202</v>
      </c>
      <c r="E98" s="159" t="s">
        <v>211</v>
      </c>
      <c r="F98" s="6" t="s">
        <v>664</v>
      </c>
      <c r="G98" s="165" t="s">
        <v>709</v>
      </c>
      <c r="H98" s="115" t="s">
        <v>708</v>
      </c>
      <c r="I98" s="128" t="s">
        <v>20</v>
      </c>
      <c r="J98" s="130">
        <v>42</v>
      </c>
      <c r="K98" s="130"/>
      <c r="L98" s="144">
        <v>57</v>
      </c>
      <c r="M98" s="161">
        <f t="shared" si="13"/>
        <v>0</v>
      </c>
      <c r="N98" s="161">
        <f t="shared" si="14"/>
        <v>2394</v>
      </c>
      <c r="O98" s="161">
        <f t="shared" si="15"/>
        <v>2394</v>
      </c>
    </row>
    <row r="99" spans="1:17" x14ac:dyDescent="0.2">
      <c r="A99" s="114"/>
      <c r="B99" s="159" t="s">
        <v>149</v>
      </c>
      <c r="C99" s="159" t="s">
        <v>210</v>
      </c>
      <c r="D99" s="159" t="s">
        <v>202</v>
      </c>
      <c r="E99" s="159" t="s">
        <v>211</v>
      </c>
      <c r="F99" s="6" t="s">
        <v>665</v>
      </c>
      <c r="G99" s="165" t="s">
        <v>597</v>
      </c>
      <c r="H99" s="115" t="s">
        <v>597</v>
      </c>
      <c r="I99" s="128" t="s">
        <v>20</v>
      </c>
      <c r="J99" s="130">
        <v>10</v>
      </c>
      <c r="K99" s="130"/>
      <c r="L99" s="144">
        <v>250</v>
      </c>
      <c r="M99" s="161">
        <f t="shared" si="13"/>
        <v>0</v>
      </c>
      <c r="N99" s="161">
        <f t="shared" si="14"/>
        <v>2500</v>
      </c>
      <c r="O99" s="161">
        <f t="shared" si="15"/>
        <v>2500</v>
      </c>
    </row>
    <row r="100" spans="1:17" x14ac:dyDescent="0.2">
      <c r="A100" s="114"/>
      <c r="B100" s="159" t="s">
        <v>149</v>
      </c>
      <c r="C100" s="159" t="s">
        <v>210</v>
      </c>
      <c r="D100" s="159" t="s">
        <v>202</v>
      </c>
      <c r="E100" s="159" t="s">
        <v>211</v>
      </c>
      <c r="F100" s="6" t="s">
        <v>666</v>
      </c>
      <c r="G100" s="165" t="s">
        <v>710</v>
      </c>
      <c r="H100" s="115" t="s">
        <v>711</v>
      </c>
      <c r="I100" s="128" t="s">
        <v>12</v>
      </c>
      <c r="J100" s="130">
        <v>150</v>
      </c>
      <c r="K100" s="130"/>
      <c r="L100" s="144">
        <v>246</v>
      </c>
      <c r="M100" s="161">
        <f t="shared" si="13"/>
        <v>0</v>
      </c>
      <c r="N100" s="161">
        <f t="shared" si="14"/>
        <v>36900</v>
      </c>
      <c r="O100" s="161">
        <f t="shared" si="15"/>
        <v>36900</v>
      </c>
    </row>
    <row r="101" spans="1:17" x14ac:dyDescent="0.2">
      <c r="A101" s="114"/>
      <c r="B101" s="159" t="s">
        <v>149</v>
      </c>
      <c r="C101" s="159" t="s">
        <v>210</v>
      </c>
      <c r="D101" s="159" t="s">
        <v>202</v>
      </c>
      <c r="E101" s="159" t="s">
        <v>211</v>
      </c>
      <c r="F101" s="6" t="s">
        <v>667</v>
      </c>
      <c r="G101" s="165" t="s">
        <v>712</v>
      </c>
      <c r="H101" s="115" t="s">
        <v>713</v>
      </c>
      <c r="I101" s="128" t="s">
        <v>541</v>
      </c>
      <c r="J101" s="130">
        <v>80</v>
      </c>
      <c r="K101" s="130"/>
      <c r="L101" s="144">
        <v>43</v>
      </c>
      <c r="M101" s="161">
        <f t="shared" si="13"/>
        <v>0</v>
      </c>
      <c r="N101" s="161">
        <f t="shared" si="14"/>
        <v>3440</v>
      </c>
      <c r="O101" s="161">
        <f t="shared" si="15"/>
        <v>3440</v>
      </c>
    </row>
    <row r="102" spans="1:17" ht="15.75" x14ac:dyDescent="0.25">
      <c r="A102" s="114"/>
      <c r="B102" s="159" t="s">
        <v>149</v>
      </c>
      <c r="C102" s="159" t="s">
        <v>210</v>
      </c>
      <c r="D102" s="159" t="s">
        <v>202</v>
      </c>
      <c r="E102" s="159" t="s">
        <v>211</v>
      </c>
      <c r="F102" s="6" t="s">
        <v>668</v>
      </c>
      <c r="G102" s="165" t="s">
        <v>714</v>
      </c>
      <c r="H102" s="115" t="s">
        <v>567</v>
      </c>
      <c r="I102" s="128" t="s">
        <v>268</v>
      </c>
      <c r="J102" s="130">
        <v>180</v>
      </c>
      <c r="K102" s="130"/>
      <c r="L102" s="144">
        <v>72</v>
      </c>
      <c r="M102" s="161">
        <f t="shared" si="13"/>
        <v>0</v>
      </c>
      <c r="N102" s="161">
        <f t="shared" si="14"/>
        <v>12960</v>
      </c>
      <c r="O102" s="161">
        <f t="shared" si="15"/>
        <v>12960</v>
      </c>
      <c r="P102" s="217"/>
      <c r="Q102" s="156" t="s">
        <v>956</v>
      </c>
    </row>
    <row r="103" spans="1:17" x14ac:dyDescent="0.2">
      <c r="A103" s="173" t="s">
        <v>19</v>
      </c>
      <c r="B103" s="2"/>
      <c r="C103" s="2"/>
      <c r="D103" s="2"/>
      <c r="E103" s="2"/>
      <c r="F103" s="173" t="s">
        <v>19</v>
      </c>
      <c r="G103" s="2" t="s">
        <v>281</v>
      </c>
      <c r="H103" s="147" t="s">
        <v>281</v>
      </c>
      <c r="I103" s="126"/>
      <c r="J103" s="126"/>
      <c r="K103" s="126"/>
      <c r="L103" s="126"/>
      <c r="M103" s="126">
        <f t="shared" si="8"/>
        <v>0</v>
      </c>
      <c r="N103" s="126">
        <f>J103*L103</f>
        <v>0</v>
      </c>
      <c r="O103" s="126">
        <f t="shared" si="12"/>
        <v>0</v>
      </c>
    </row>
    <row r="104" spans="1:17" x14ac:dyDescent="0.2">
      <c r="A104" s="4" t="s">
        <v>283</v>
      </c>
      <c r="B104" s="159"/>
      <c r="C104" s="159"/>
      <c r="D104" s="159"/>
      <c r="E104" s="159"/>
      <c r="F104" s="4" t="s">
        <v>283</v>
      </c>
      <c r="G104" s="5" t="s">
        <v>10</v>
      </c>
      <c r="H104" s="115"/>
      <c r="I104" s="118"/>
      <c r="J104" s="118"/>
      <c r="K104" s="125"/>
      <c r="L104" s="123"/>
      <c r="M104" s="161">
        <f t="shared" si="8"/>
        <v>0</v>
      </c>
      <c r="N104" s="161">
        <f t="shared" ref="N104:N113" si="16">J104*L104</f>
        <v>0</v>
      </c>
      <c r="O104" s="161">
        <f t="shared" si="12"/>
        <v>0</v>
      </c>
    </row>
    <row r="105" spans="1:17" x14ac:dyDescent="0.2">
      <c r="A105" s="6" t="s">
        <v>284</v>
      </c>
      <c r="B105" s="159" t="s">
        <v>193</v>
      </c>
      <c r="C105" s="159" t="s">
        <v>200</v>
      </c>
      <c r="D105" s="159" t="s">
        <v>202</v>
      </c>
      <c r="E105" s="159" t="s">
        <v>281</v>
      </c>
      <c r="F105" s="6" t="s">
        <v>284</v>
      </c>
      <c r="G105" s="160" t="s">
        <v>472</v>
      </c>
      <c r="H105" s="115"/>
      <c r="I105" s="118" t="s">
        <v>201</v>
      </c>
      <c r="J105" s="122">
        <f>3*8*1*8</f>
        <v>192</v>
      </c>
      <c r="K105" s="125">
        <v>200</v>
      </c>
      <c r="L105" s="123"/>
      <c r="M105" s="161">
        <f>J105*K105</f>
        <v>38400</v>
      </c>
      <c r="N105" s="161">
        <f t="shared" si="16"/>
        <v>0</v>
      </c>
      <c r="O105" s="161">
        <f t="shared" si="12"/>
        <v>38400</v>
      </c>
    </row>
    <row r="106" spans="1:17" x14ac:dyDescent="0.2">
      <c r="A106" s="6" t="s">
        <v>285</v>
      </c>
      <c r="B106" s="159" t="s">
        <v>193</v>
      </c>
      <c r="C106" s="159" t="s">
        <v>200</v>
      </c>
      <c r="D106" s="159" t="s">
        <v>202</v>
      </c>
      <c r="E106" s="159" t="s">
        <v>281</v>
      </c>
      <c r="F106" s="6" t="s">
        <v>285</v>
      </c>
      <c r="G106" s="160" t="s">
        <v>473</v>
      </c>
      <c r="H106" s="115"/>
      <c r="I106" s="118" t="s">
        <v>201</v>
      </c>
      <c r="J106" s="122">
        <f>3*8*0.5*8</f>
        <v>96</v>
      </c>
      <c r="K106" s="125">
        <v>200</v>
      </c>
      <c r="L106" s="123"/>
      <c r="M106" s="161">
        <f>J106*K106</f>
        <v>19200</v>
      </c>
      <c r="N106" s="161">
        <f t="shared" si="16"/>
        <v>0</v>
      </c>
      <c r="O106" s="161">
        <f t="shared" si="12"/>
        <v>19200</v>
      </c>
    </row>
    <row r="107" spans="1:17" x14ac:dyDescent="0.2">
      <c r="A107" s="6" t="s">
        <v>286</v>
      </c>
      <c r="B107" s="159" t="s">
        <v>193</v>
      </c>
      <c r="C107" s="159" t="s">
        <v>200</v>
      </c>
      <c r="D107" s="159" t="s">
        <v>202</v>
      </c>
      <c r="E107" s="159" t="s">
        <v>281</v>
      </c>
      <c r="F107" s="6" t="s">
        <v>286</v>
      </c>
      <c r="G107" s="160" t="s">
        <v>474</v>
      </c>
      <c r="H107" s="115"/>
      <c r="I107" s="118" t="s">
        <v>201</v>
      </c>
      <c r="J107" s="122">
        <f>3*8*2*8</f>
        <v>384</v>
      </c>
      <c r="K107" s="125">
        <v>200</v>
      </c>
      <c r="L107" s="123"/>
      <c r="M107" s="161">
        <f>J107*K107</f>
        <v>76800</v>
      </c>
      <c r="N107" s="161">
        <f t="shared" si="16"/>
        <v>0</v>
      </c>
      <c r="O107" s="161">
        <f t="shared" si="12"/>
        <v>76800</v>
      </c>
    </row>
    <row r="108" spans="1:17" x14ac:dyDescent="0.2">
      <c r="A108" s="4" t="s">
        <v>283</v>
      </c>
      <c r="B108" s="159"/>
      <c r="C108" s="159"/>
      <c r="D108" s="159"/>
      <c r="E108" s="159" t="s">
        <v>281</v>
      </c>
      <c r="F108" s="4" t="s">
        <v>283</v>
      </c>
      <c r="G108" s="5" t="s">
        <v>15</v>
      </c>
      <c r="H108" s="115"/>
      <c r="I108" s="125"/>
      <c r="J108" s="125"/>
      <c r="K108" s="125"/>
      <c r="L108" s="123"/>
      <c r="M108" s="161">
        <f t="shared" si="8"/>
        <v>0</v>
      </c>
      <c r="N108" s="161">
        <f t="shared" si="16"/>
        <v>0</v>
      </c>
      <c r="O108" s="161">
        <f t="shared" si="12"/>
        <v>0</v>
      </c>
    </row>
    <row r="109" spans="1:17" x14ac:dyDescent="0.2">
      <c r="A109" s="6" t="s">
        <v>284</v>
      </c>
      <c r="B109" s="159" t="s">
        <v>149</v>
      </c>
      <c r="C109" s="159" t="s">
        <v>210</v>
      </c>
      <c r="D109" s="159" t="s">
        <v>202</v>
      </c>
      <c r="E109" s="159" t="s">
        <v>281</v>
      </c>
      <c r="F109" s="6" t="s">
        <v>284</v>
      </c>
      <c r="G109" s="165" t="s">
        <v>715</v>
      </c>
      <c r="H109" s="163" t="s">
        <v>569</v>
      </c>
      <c r="I109" s="174" t="s">
        <v>509</v>
      </c>
      <c r="J109" s="174">
        <v>145.68</v>
      </c>
      <c r="K109" s="125"/>
      <c r="L109" s="123">
        <v>263</v>
      </c>
      <c r="M109" s="161">
        <f t="shared" si="8"/>
        <v>0</v>
      </c>
      <c r="N109" s="161">
        <f t="shared" si="16"/>
        <v>38313.840000000004</v>
      </c>
      <c r="O109" s="161">
        <f t="shared" si="12"/>
        <v>38313.840000000004</v>
      </c>
    </row>
    <row r="110" spans="1:17" x14ac:dyDescent="0.2">
      <c r="A110" s="6" t="s">
        <v>285</v>
      </c>
      <c r="B110" s="159" t="s">
        <v>149</v>
      </c>
      <c r="C110" s="159" t="s">
        <v>210</v>
      </c>
      <c r="D110" s="159" t="s">
        <v>202</v>
      </c>
      <c r="E110" s="159" t="s">
        <v>281</v>
      </c>
      <c r="F110" s="6" t="s">
        <v>285</v>
      </c>
      <c r="G110" s="165" t="s">
        <v>716</v>
      </c>
      <c r="H110" s="115" t="s">
        <v>569</v>
      </c>
      <c r="I110" s="174" t="s">
        <v>509</v>
      </c>
      <c r="J110" s="174">
        <v>75</v>
      </c>
      <c r="K110" s="125"/>
      <c r="L110" s="123">
        <v>261</v>
      </c>
      <c r="M110" s="161">
        <f t="shared" si="8"/>
        <v>0</v>
      </c>
      <c r="N110" s="161">
        <f t="shared" si="16"/>
        <v>19575</v>
      </c>
      <c r="O110" s="161">
        <f t="shared" si="12"/>
        <v>19575</v>
      </c>
    </row>
    <row r="111" spans="1:17" x14ac:dyDescent="0.2">
      <c r="A111" s="6" t="s">
        <v>286</v>
      </c>
      <c r="B111" s="159" t="s">
        <v>149</v>
      </c>
      <c r="C111" s="159" t="s">
        <v>210</v>
      </c>
      <c r="D111" s="159" t="s">
        <v>202</v>
      </c>
      <c r="E111" s="159" t="s">
        <v>281</v>
      </c>
      <c r="F111" s="6" t="s">
        <v>286</v>
      </c>
      <c r="G111" s="165" t="s">
        <v>717</v>
      </c>
      <c r="H111" s="115" t="s">
        <v>569</v>
      </c>
      <c r="I111" s="174" t="s">
        <v>509</v>
      </c>
      <c r="J111" s="174">
        <v>59.519999999999996</v>
      </c>
      <c r="K111" s="125"/>
      <c r="L111" s="123">
        <v>261</v>
      </c>
      <c r="M111" s="161">
        <f t="shared" si="8"/>
        <v>0</v>
      </c>
      <c r="N111" s="161">
        <f t="shared" si="16"/>
        <v>15534.72</v>
      </c>
      <c r="O111" s="161">
        <f t="shared" si="12"/>
        <v>15534.72</v>
      </c>
    </row>
    <row r="112" spans="1:17" x14ac:dyDescent="0.2">
      <c r="A112" s="114"/>
      <c r="B112" s="159"/>
      <c r="C112" s="159"/>
      <c r="D112" s="159"/>
      <c r="E112" s="159"/>
      <c r="F112" s="6" t="s">
        <v>287</v>
      </c>
      <c r="G112" s="165" t="s">
        <v>718</v>
      </c>
      <c r="H112" s="115" t="s">
        <v>595</v>
      </c>
      <c r="I112" s="174" t="s">
        <v>509</v>
      </c>
      <c r="J112" s="174">
        <v>73.5</v>
      </c>
      <c r="K112" s="130"/>
      <c r="L112" s="144">
        <v>249</v>
      </c>
      <c r="M112" s="161">
        <f t="shared" si="8"/>
        <v>0</v>
      </c>
      <c r="N112" s="161">
        <f t="shared" si="16"/>
        <v>18301.5</v>
      </c>
      <c r="O112" s="161">
        <f t="shared" si="12"/>
        <v>18301.5</v>
      </c>
    </row>
    <row r="113" spans="1:17" ht="15.75" x14ac:dyDescent="0.25">
      <c r="A113" s="6" t="s">
        <v>287</v>
      </c>
      <c r="B113" s="159" t="s">
        <v>149</v>
      </c>
      <c r="C113" s="159" t="s">
        <v>210</v>
      </c>
      <c r="D113" s="159" t="s">
        <v>202</v>
      </c>
      <c r="E113" s="159" t="s">
        <v>281</v>
      </c>
      <c r="F113" s="6" t="s">
        <v>720</v>
      </c>
      <c r="G113" s="165" t="s">
        <v>719</v>
      </c>
      <c r="H113" s="115" t="s">
        <v>569</v>
      </c>
      <c r="I113" s="118" t="s">
        <v>509</v>
      </c>
      <c r="J113" s="125">
        <v>132</v>
      </c>
      <c r="K113" s="125"/>
      <c r="L113" s="123">
        <v>260</v>
      </c>
      <c r="M113" s="161">
        <f t="shared" si="8"/>
        <v>0</v>
      </c>
      <c r="N113" s="161">
        <f t="shared" si="16"/>
        <v>34320</v>
      </c>
      <c r="O113" s="161">
        <f t="shared" si="12"/>
        <v>34320</v>
      </c>
      <c r="P113" s="217"/>
      <c r="Q113" s="156" t="s">
        <v>956</v>
      </c>
    </row>
    <row r="114" spans="1:17" x14ac:dyDescent="0.2">
      <c r="A114" s="8" t="s">
        <v>296</v>
      </c>
      <c r="B114" s="159" t="s">
        <v>21</v>
      </c>
      <c r="C114" s="159" t="s">
        <v>210</v>
      </c>
      <c r="D114" s="159" t="s">
        <v>202</v>
      </c>
      <c r="E114" s="159" t="s">
        <v>281</v>
      </c>
      <c r="F114" s="6" t="s">
        <v>721</v>
      </c>
      <c r="G114" s="7"/>
      <c r="H114" s="148"/>
      <c r="I114" s="127"/>
      <c r="J114" s="127"/>
      <c r="K114" s="127"/>
      <c r="L114" s="127"/>
      <c r="M114" s="175"/>
      <c r="N114" s="175"/>
      <c r="O114" s="175"/>
    </row>
    <row r="115" spans="1:17" x14ac:dyDescent="0.2">
      <c r="A115" s="173" t="s">
        <v>288</v>
      </c>
      <c r="B115" s="2"/>
      <c r="C115" s="2"/>
      <c r="D115" s="2"/>
      <c r="E115" s="2"/>
      <c r="F115" s="173" t="s">
        <v>288</v>
      </c>
      <c r="G115" s="2" t="s">
        <v>510</v>
      </c>
      <c r="H115" s="147" t="s">
        <v>570</v>
      </c>
      <c r="I115" s="126"/>
      <c r="J115" s="126"/>
      <c r="K115" s="126"/>
      <c r="L115" s="126"/>
      <c r="M115" s="126">
        <f t="shared" ref="M115:M116" si="17">J115*K115</f>
        <v>0</v>
      </c>
      <c r="N115" s="126">
        <f>J115*L115</f>
        <v>0</v>
      </c>
      <c r="O115" s="126">
        <f t="shared" ref="O115:O120" si="18">N115+M115</f>
        <v>0</v>
      </c>
    </row>
    <row r="116" spans="1:17" x14ac:dyDescent="0.2">
      <c r="A116" s="4" t="s">
        <v>290</v>
      </c>
      <c r="B116" s="159"/>
      <c r="C116" s="159"/>
      <c r="D116" s="159"/>
      <c r="E116" s="159"/>
      <c r="F116" s="4" t="s">
        <v>290</v>
      </c>
      <c r="G116" s="5" t="s">
        <v>10</v>
      </c>
      <c r="H116" s="115"/>
      <c r="I116" s="118"/>
      <c r="J116" s="118"/>
      <c r="K116" s="125"/>
      <c r="L116" s="123"/>
      <c r="M116" s="161">
        <f t="shared" si="17"/>
        <v>0</v>
      </c>
      <c r="N116" s="161">
        <f t="shared" ref="N116:N120" si="19">J116*L116</f>
        <v>0</v>
      </c>
      <c r="O116" s="161">
        <f t="shared" si="18"/>
        <v>0</v>
      </c>
    </row>
    <row r="117" spans="1:17" x14ac:dyDescent="0.2">
      <c r="A117" s="6" t="s">
        <v>291</v>
      </c>
      <c r="B117" s="159" t="s">
        <v>193</v>
      </c>
      <c r="C117" s="159" t="s">
        <v>200</v>
      </c>
      <c r="D117" s="159" t="s">
        <v>202</v>
      </c>
      <c r="E117" s="159" t="s">
        <v>289</v>
      </c>
      <c r="F117" s="6" t="s">
        <v>291</v>
      </c>
      <c r="G117" s="160" t="s">
        <v>475</v>
      </c>
      <c r="H117" s="115"/>
      <c r="I117" s="118" t="s">
        <v>201</v>
      </c>
      <c r="J117" s="122">
        <f>3*8*4</f>
        <v>96</v>
      </c>
      <c r="K117" s="125">
        <v>200</v>
      </c>
      <c r="L117" s="123"/>
      <c r="M117" s="161">
        <f>J117*K117</f>
        <v>19200</v>
      </c>
      <c r="N117" s="161">
        <f t="shared" si="19"/>
        <v>0</v>
      </c>
      <c r="O117" s="161">
        <f t="shared" si="18"/>
        <v>19200</v>
      </c>
    </row>
    <row r="118" spans="1:17" x14ac:dyDescent="0.2">
      <c r="A118" s="6" t="s">
        <v>292</v>
      </c>
      <c r="B118" s="159" t="s">
        <v>193</v>
      </c>
      <c r="C118" s="159" t="s">
        <v>200</v>
      </c>
      <c r="D118" s="159" t="s">
        <v>202</v>
      </c>
      <c r="E118" s="159" t="s">
        <v>289</v>
      </c>
      <c r="F118" s="6" t="s">
        <v>292</v>
      </c>
      <c r="G118" s="160" t="s">
        <v>476</v>
      </c>
      <c r="H118" s="115"/>
      <c r="I118" s="118" t="s">
        <v>201</v>
      </c>
      <c r="J118" s="122">
        <f>2*8*1</f>
        <v>16</v>
      </c>
      <c r="K118" s="125">
        <v>200</v>
      </c>
      <c r="L118" s="123"/>
      <c r="M118" s="161">
        <f>J118*K118</f>
        <v>3200</v>
      </c>
      <c r="N118" s="161">
        <f t="shared" si="19"/>
        <v>0</v>
      </c>
      <c r="O118" s="161">
        <f t="shared" si="18"/>
        <v>3200</v>
      </c>
    </row>
    <row r="119" spans="1:17" x14ac:dyDescent="0.2">
      <c r="A119" s="6" t="s">
        <v>293</v>
      </c>
      <c r="B119" s="159" t="s">
        <v>193</v>
      </c>
      <c r="C119" s="159" t="s">
        <v>200</v>
      </c>
      <c r="D119" s="159" t="s">
        <v>202</v>
      </c>
      <c r="E119" s="159" t="s">
        <v>289</v>
      </c>
      <c r="F119" s="6" t="s">
        <v>293</v>
      </c>
      <c r="G119" s="160" t="s">
        <v>477</v>
      </c>
      <c r="H119" s="115"/>
      <c r="I119" s="118" t="s">
        <v>201</v>
      </c>
      <c r="J119" s="122">
        <v>0</v>
      </c>
      <c r="K119" s="125">
        <v>200</v>
      </c>
      <c r="L119" s="123"/>
      <c r="M119" s="161">
        <f>J119*K119</f>
        <v>0</v>
      </c>
      <c r="N119" s="161">
        <f t="shared" si="19"/>
        <v>0</v>
      </c>
      <c r="O119" s="161">
        <f t="shared" si="18"/>
        <v>0</v>
      </c>
    </row>
    <row r="120" spans="1:17" x14ac:dyDescent="0.2">
      <c r="A120" s="6" t="s">
        <v>294</v>
      </c>
      <c r="B120" s="159" t="s">
        <v>193</v>
      </c>
      <c r="C120" s="159" t="s">
        <v>200</v>
      </c>
      <c r="D120" s="159" t="s">
        <v>202</v>
      </c>
      <c r="E120" s="159" t="s">
        <v>289</v>
      </c>
      <c r="F120" s="6" t="s">
        <v>294</v>
      </c>
      <c r="G120" s="160" t="s">
        <v>478</v>
      </c>
      <c r="H120" s="115"/>
      <c r="I120" s="118" t="s">
        <v>201</v>
      </c>
      <c r="J120" s="122">
        <f>3*8*4</f>
        <v>96</v>
      </c>
      <c r="K120" s="125">
        <v>200</v>
      </c>
      <c r="L120" s="123"/>
      <c r="M120" s="161">
        <f>J120*K120</f>
        <v>19200</v>
      </c>
      <c r="N120" s="161">
        <f t="shared" si="19"/>
        <v>0</v>
      </c>
      <c r="O120" s="161">
        <f t="shared" si="18"/>
        <v>19200</v>
      </c>
    </row>
    <row r="121" spans="1:17" x14ac:dyDescent="0.2">
      <c r="A121" s="4" t="s">
        <v>295</v>
      </c>
      <c r="B121" s="159"/>
      <c r="C121" s="159"/>
      <c r="D121" s="159"/>
      <c r="E121" s="159"/>
      <c r="F121" s="4" t="s">
        <v>295</v>
      </c>
      <c r="G121" s="5" t="s">
        <v>15</v>
      </c>
      <c r="H121" s="115"/>
      <c r="I121" s="125"/>
      <c r="J121" s="125"/>
      <c r="K121" s="125"/>
      <c r="L121" s="123"/>
      <c r="M121" s="161">
        <f t="shared" ref="M121:M133" si="20">J121*K121</f>
        <v>0</v>
      </c>
      <c r="N121" s="161">
        <f t="shared" ref="N121:N133" si="21">J121*L121</f>
        <v>0</v>
      </c>
      <c r="O121" s="161">
        <f t="shared" ref="O121:O133" si="22">N121+M121</f>
        <v>0</v>
      </c>
    </row>
    <row r="122" spans="1:17" ht="30" x14ac:dyDescent="0.2">
      <c r="A122" s="6" t="s">
        <v>305</v>
      </c>
      <c r="B122" s="159" t="s">
        <v>149</v>
      </c>
      <c r="C122" s="159" t="s">
        <v>210</v>
      </c>
      <c r="D122" s="159" t="s">
        <v>202</v>
      </c>
      <c r="E122" s="159" t="s">
        <v>289</v>
      </c>
      <c r="F122" s="6" t="s">
        <v>305</v>
      </c>
      <c r="G122" s="218" t="s">
        <v>722</v>
      </c>
      <c r="H122" s="219" t="s">
        <v>596</v>
      </c>
      <c r="I122" s="220" t="s">
        <v>20</v>
      </c>
      <c r="J122" s="221">
        <v>3</v>
      </c>
      <c r="K122" s="221"/>
      <c r="L122" s="222">
        <v>5604.86</v>
      </c>
      <c r="M122" s="161">
        <f t="shared" si="20"/>
        <v>0</v>
      </c>
      <c r="N122" s="161">
        <f t="shared" si="21"/>
        <v>16814.579999999998</v>
      </c>
      <c r="O122" s="161">
        <f t="shared" si="22"/>
        <v>16814.579999999998</v>
      </c>
    </row>
    <row r="123" spans="1:17" ht="30" x14ac:dyDescent="0.2">
      <c r="A123" s="6" t="s">
        <v>306</v>
      </c>
      <c r="B123" s="159" t="s">
        <v>149</v>
      </c>
      <c r="C123" s="159" t="s">
        <v>210</v>
      </c>
      <c r="D123" s="159" t="s">
        <v>202</v>
      </c>
      <c r="E123" s="159" t="s">
        <v>289</v>
      </c>
      <c r="F123" s="6" t="s">
        <v>306</v>
      </c>
      <c r="G123" s="218" t="s">
        <v>723</v>
      </c>
      <c r="H123" s="219" t="s">
        <v>596</v>
      </c>
      <c r="I123" s="220" t="s">
        <v>20</v>
      </c>
      <c r="J123" s="221">
        <v>4</v>
      </c>
      <c r="K123" s="221"/>
      <c r="L123" s="222">
        <v>5604.86</v>
      </c>
      <c r="M123" s="161">
        <f t="shared" si="20"/>
        <v>0</v>
      </c>
      <c r="N123" s="161">
        <f t="shared" si="21"/>
        <v>22419.439999999999</v>
      </c>
      <c r="O123" s="161">
        <f t="shared" si="22"/>
        <v>22419.439999999999</v>
      </c>
    </row>
    <row r="124" spans="1:17" ht="30" x14ac:dyDescent="0.2">
      <c r="A124" s="6" t="s">
        <v>307</v>
      </c>
      <c r="B124" s="159" t="s">
        <v>149</v>
      </c>
      <c r="C124" s="159" t="s">
        <v>210</v>
      </c>
      <c r="D124" s="159" t="s">
        <v>202</v>
      </c>
      <c r="E124" s="159" t="s">
        <v>289</v>
      </c>
      <c r="F124" s="6" t="s">
        <v>307</v>
      </c>
      <c r="G124" s="218" t="s">
        <v>724</v>
      </c>
      <c r="H124" s="219" t="s">
        <v>596</v>
      </c>
      <c r="I124" s="220" t="s">
        <v>20</v>
      </c>
      <c r="J124" s="221">
        <v>1</v>
      </c>
      <c r="K124" s="221"/>
      <c r="L124" s="222">
        <v>3940.13</v>
      </c>
      <c r="M124" s="161">
        <f t="shared" si="20"/>
        <v>0</v>
      </c>
      <c r="N124" s="161">
        <f t="shared" si="21"/>
        <v>3940.13</v>
      </c>
      <c r="O124" s="161">
        <f t="shared" si="22"/>
        <v>3940.13</v>
      </c>
    </row>
    <row r="125" spans="1:17" ht="30" x14ac:dyDescent="0.2">
      <c r="A125" s="6" t="s">
        <v>308</v>
      </c>
      <c r="B125" s="159" t="s">
        <v>149</v>
      </c>
      <c r="C125" s="159" t="s">
        <v>210</v>
      </c>
      <c r="D125" s="159" t="s">
        <v>202</v>
      </c>
      <c r="E125" s="159" t="s">
        <v>289</v>
      </c>
      <c r="F125" s="6" t="s">
        <v>308</v>
      </c>
      <c r="G125" s="218" t="s">
        <v>725</v>
      </c>
      <c r="H125" s="219" t="s">
        <v>596</v>
      </c>
      <c r="I125" s="220" t="s">
        <v>20</v>
      </c>
      <c r="J125" s="221">
        <v>2</v>
      </c>
      <c r="K125" s="221"/>
      <c r="L125" s="222">
        <v>3940.13</v>
      </c>
      <c r="M125" s="161">
        <f t="shared" si="20"/>
        <v>0</v>
      </c>
      <c r="N125" s="161">
        <f t="shared" si="21"/>
        <v>7880.26</v>
      </c>
      <c r="O125" s="161">
        <f t="shared" si="22"/>
        <v>7880.26</v>
      </c>
    </row>
    <row r="126" spans="1:17" ht="30" x14ac:dyDescent="0.2">
      <c r="A126" s="6" t="s">
        <v>309</v>
      </c>
      <c r="B126" s="159" t="s">
        <v>149</v>
      </c>
      <c r="C126" s="159" t="s">
        <v>210</v>
      </c>
      <c r="D126" s="159" t="s">
        <v>202</v>
      </c>
      <c r="E126" s="159" t="s">
        <v>289</v>
      </c>
      <c r="F126" s="6" t="s">
        <v>309</v>
      </c>
      <c r="G126" s="218" t="s">
        <v>726</v>
      </c>
      <c r="H126" s="219" t="s">
        <v>593</v>
      </c>
      <c r="I126" s="220" t="s">
        <v>20</v>
      </c>
      <c r="J126" s="221">
        <v>1</v>
      </c>
      <c r="K126" s="221"/>
      <c r="L126" s="222">
        <v>19600</v>
      </c>
      <c r="M126" s="161">
        <f t="shared" si="20"/>
        <v>0</v>
      </c>
      <c r="N126" s="161">
        <f t="shared" si="21"/>
        <v>19600</v>
      </c>
      <c r="O126" s="161">
        <f t="shared" si="22"/>
        <v>19600</v>
      </c>
    </row>
    <row r="127" spans="1:17" ht="15" x14ac:dyDescent="0.2">
      <c r="A127" s="114"/>
      <c r="B127" s="159" t="s">
        <v>149</v>
      </c>
      <c r="C127" s="159" t="s">
        <v>210</v>
      </c>
      <c r="D127" s="159" t="s">
        <v>202</v>
      </c>
      <c r="E127" s="159" t="s">
        <v>289</v>
      </c>
      <c r="F127" s="6" t="s">
        <v>310</v>
      </c>
      <c r="G127" s="218" t="s">
        <v>727</v>
      </c>
      <c r="H127" s="219" t="s">
        <v>728</v>
      </c>
      <c r="I127" s="220" t="s">
        <v>20</v>
      </c>
      <c r="J127" s="221">
        <v>1</v>
      </c>
      <c r="K127" s="221"/>
      <c r="L127" s="222">
        <v>12557</v>
      </c>
      <c r="M127" s="161">
        <f t="shared" si="20"/>
        <v>0</v>
      </c>
      <c r="N127" s="161">
        <f t="shared" si="21"/>
        <v>12557</v>
      </c>
      <c r="O127" s="161">
        <f t="shared" si="22"/>
        <v>12557</v>
      </c>
    </row>
    <row r="128" spans="1:17" ht="15" x14ac:dyDescent="0.2">
      <c r="A128" s="114"/>
      <c r="B128" s="159" t="s">
        <v>149</v>
      </c>
      <c r="C128" s="159" t="s">
        <v>210</v>
      </c>
      <c r="D128" s="159" t="s">
        <v>202</v>
      </c>
      <c r="E128" s="159" t="s">
        <v>289</v>
      </c>
      <c r="F128" s="6" t="s">
        <v>311</v>
      </c>
      <c r="G128" s="218" t="s">
        <v>729</v>
      </c>
      <c r="H128" s="219" t="s">
        <v>594</v>
      </c>
      <c r="I128" s="220" t="s">
        <v>20</v>
      </c>
      <c r="J128" s="221">
        <v>3</v>
      </c>
      <c r="K128" s="221"/>
      <c r="L128" s="222">
        <v>15143.33</v>
      </c>
      <c r="M128" s="161">
        <f t="shared" si="20"/>
        <v>0</v>
      </c>
      <c r="N128" s="161">
        <f t="shared" si="21"/>
        <v>45429.99</v>
      </c>
      <c r="O128" s="161">
        <f t="shared" si="22"/>
        <v>45429.99</v>
      </c>
    </row>
    <row r="129" spans="1:17" ht="30" x14ac:dyDescent="0.2">
      <c r="A129" s="114"/>
      <c r="B129" s="159" t="s">
        <v>149</v>
      </c>
      <c r="C129" s="159" t="s">
        <v>210</v>
      </c>
      <c r="D129" s="159" t="s">
        <v>202</v>
      </c>
      <c r="E129" s="159" t="s">
        <v>289</v>
      </c>
      <c r="F129" s="6" t="s">
        <v>735</v>
      </c>
      <c r="G129" s="218" t="s">
        <v>730</v>
      </c>
      <c r="H129" s="219" t="s">
        <v>594</v>
      </c>
      <c r="I129" s="220" t="s">
        <v>20</v>
      </c>
      <c r="J129" s="221">
        <v>3</v>
      </c>
      <c r="K129" s="221"/>
      <c r="L129" s="222">
        <v>13095.36</v>
      </c>
      <c r="M129" s="161">
        <f t="shared" si="20"/>
        <v>0</v>
      </c>
      <c r="N129" s="161">
        <f t="shared" si="21"/>
        <v>39286.080000000002</v>
      </c>
      <c r="O129" s="161">
        <f t="shared" si="22"/>
        <v>39286.080000000002</v>
      </c>
    </row>
    <row r="130" spans="1:17" ht="15" x14ac:dyDescent="0.2">
      <c r="A130" s="114"/>
      <c r="B130" s="159" t="s">
        <v>149</v>
      </c>
      <c r="C130" s="159" t="s">
        <v>210</v>
      </c>
      <c r="D130" s="159" t="s">
        <v>202</v>
      </c>
      <c r="E130" s="159" t="s">
        <v>289</v>
      </c>
      <c r="F130" s="6" t="s">
        <v>736</v>
      </c>
      <c r="G130" s="218" t="s">
        <v>731</v>
      </c>
      <c r="H130" s="219" t="s">
        <v>594</v>
      </c>
      <c r="I130" s="220" t="s">
        <v>20</v>
      </c>
      <c r="J130" s="221">
        <v>3</v>
      </c>
      <c r="K130" s="221"/>
      <c r="L130" s="222">
        <v>13275.92</v>
      </c>
      <c r="M130" s="161">
        <f t="shared" si="20"/>
        <v>0</v>
      </c>
      <c r="N130" s="161">
        <f t="shared" si="21"/>
        <v>39827.760000000002</v>
      </c>
      <c r="O130" s="161">
        <f t="shared" si="22"/>
        <v>39827.760000000002</v>
      </c>
    </row>
    <row r="131" spans="1:17" ht="15" x14ac:dyDescent="0.2">
      <c r="A131" s="114"/>
      <c r="B131" s="159" t="s">
        <v>149</v>
      </c>
      <c r="C131" s="159" t="s">
        <v>210</v>
      </c>
      <c r="D131" s="159" t="s">
        <v>202</v>
      </c>
      <c r="E131" s="159" t="s">
        <v>289</v>
      </c>
      <c r="F131" s="6" t="s">
        <v>737</v>
      </c>
      <c r="G131" s="218" t="s">
        <v>732</v>
      </c>
      <c r="H131" s="219" t="s">
        <v>594</v>
      </c>
      <c r="I131" s="220" t="s">
        <v>20</v>
      </c>
      <c r="J131" s="221">
        <v>1</v>
      </c>
      <c r="K131" s="221"/>
      <c r="L131" s="222">
        <v>13275.92</v>
      </c>
      <c r="M131" s="161">
        <f t="shared" si="20"/>
        <v>0</v>
      </c>
      <c r="N131" s="161">
        <f t="shared" si="21"/>
        <v>13275.92</v>
      </c>
      <c r="O131" s="161">
        <f t="shared" si="22"/>
        <v>13275.92</v>
      </c>
    </row>
    <row r="132" spans="1:17" ht="15" x14ac:dyDescent="0.2">
      <c r="A132" s="114"/>
      <c r="B132" s="159" t="s">
        <v>149</v>
      </c>
      <c r="C132" s="159" t="s">
        <v>210</v>
      </c>
      <c r="D132" s="159" t="s">
        <v>202</v>
      </c>
      <c r="E132" s="159" t="s">
        <v>289</v>
      </c>
      <c r="F132" s="6" t="s">
        <v>738</v>
      </c>
      <c r="G132" s="218" t="s">
        <v>733</v>
      </c>
      <c r="H132" s="219" t="s">
        <v>594</v>
      </c>
      <c r="I132" s="220" t="s">
        <v>20</v>
      </c>
      <c r="J132" s="223">
        <v>1</v>
      </c>
      <c r="K132" s="223"/>
      <c r="L132" s="222">
        <v>12797.15</v>
      </c>
      <c r="M132" s="161">
        <f t="shared" si="20"/>
        <v>0</v>
      </c>
      <c r="N132" s="161">
        <f t="shared" si="21"/>
        <v>12797.15</v>
      </c>
      <c r="O132" s="161">
        <f t="shared" si="22"/>
        <v>12797.15</v>
      </c>
    </row>
    <row r="133" spans="1:17" ht="15.75" x14ac:dyDescent="0.25">
      <c r="A133" s="114"/>
      <c r="B133" s="159" t="s">
        <v>149</v>
      </c>
      <c r="C133" s="159" t="s">
        <v>210</v>
      </c>
      <c r="D133" s="159" t="s">
        <v>202</v>
      </c>
      <c r="E133" s="159" t="s">
        <v>289</v>
      </c>
      <c r="F133" s="6" t="s">
        <v>739</v>
      </c>
      <c r="G133" s="218" t="s">
        <v>734</v>
      </c>
      <c r="H133" s="219" t="s">
        <v>594</v>
      </c>
      <c r="I133" s="220" t="s">
        <v>20</v>
      </c>
      <c r="J133" s="223">
        <v>2</v>
      </c>
      <c r="K133" s="223"/>
      <c r="L133" s="222">
        <v>12796.98</v>
      </c>
      <c r="M133" s="161">
        <f t="shared" si="20"/>
        <v>0</v>
      </c>
      <c r="N133" s="161">
        <f t="shared" si="21"/>
        <v>25593.96</v>
      </c>
      <c r="O133" s="161">
        <f t="shared" si="22"/>
        <v>25593.96</v>
      </c>
      <c r="P133" s="217"/>
      <c r="Q133" s="156" t="s">
        <v>957</v>
      </c>
    </row>
    <row r="134" spans="1:17" x14ac:dyDescent="0.2">
      <c r="A134" s="173" t="s">
        <v>298</v>
      </c>
      <c r="B134" s="173"/>
      <c r="C134" s="173"/>
      <c r="D134" s="173"/>
      <c r="E134" s="173"/>
      <c r="F134" s="173" t="s">
        <v>298</v>
      </c>
      <c r="G134" s="2" t="s">
        <v>297</v>
      </c>
      <c r="H134" s="147" t="s">
        <v>571</v>
      </c>
      <c r="I134" s="126"/>
      <c r="J134" s="126"/>
      <c r="K134" s="126"/>
      <c r="L134" s="126"/>
      <c r="M134" s="126">
        <f t="shared" ref="M134:M135" si="23">J134*K134</f>
        <v>0</v>
      </c>
      <c r="N134" s="126">
        <f>J134*L134</f>
        <v>0</v>
      </c>
      <c r="O134" s="126">
        <f t="shared" ref="O134:O138" si="24">N134+M134</f>
        <v>0</v>
      </c>
    </row>
    <row r="135" spans="1:17" x14ac:dyDescent="0.2">
      <c r="A135" s="4" t="s">
        <v>299</v>
      </c>
      <c r="B135" s="159"/>
      <c r="C135" s="159"/>
      <c r="D135" s="159"/>
      <c r="E135" s="159"/>
      <c r="F135" s="4" t="s">
        <v>299</v>
      </c>
      <c r="G135" s="5" t="s">
        <v>10</v>
      </c>
      <c r="H135" s="115"/>
      <c r="I135" s="118"/>
      <c r="J135" s="118"/>
      <c r="K135" s="125"/>
      <c r="L135" s="123"/>
      <c r="M135" s="161">
        <f t="shared" si="23"/>
        <v>0</v>
      </c>
      <c r="N135" s="161">
        <f t="shared" ref="N135:N138" si="25">J135*L135</f>
        <v>0</v>
      </c>
      <c r="O135" s="161">
        <f t="shared" si="24"/>
        <v>0</v>
      </c>
    </row>
    <row r="136" spans="1:17" x14ac:dyDescent="0.2">
      <c r="A136" s="6" t="s">
        <v>300</v>
      </c>
      <c r="B136" s="159" t="s">
        <v>193</v>
      </c>
      <c r="C136" s="159" t="s">
        <v>200</v>
      </c>
      <c r="D136" s="159" t="s">
        <v>202</v>
      </c>
      <c r="E136" s="159" t="s">
        <v>297</v>
      </c>
      <c r="F136" s="6" t="s">
        <v>300</v>
      </c>
      <c r="G136" s="160" t="s">
        <v>479</v>
      </c>
      <c r="H136" s="115"/>
      <c r="I136" s="118" t="s">
        <v>201</v>
      </c>
      <c r="J136" s="122">
        <v>0.7</v>
      </c>
      <c r="K136" s="125">
        <v>15000</v>
      </c>
      <c r="L136" s="123"/>
      <c r="M136" s="161">
        <f>J136*K136</f>
        <v>10500</v>
      </c>
      <c r="N136" s="161">
        <f t="shared" si="25"/>
        <v>0</v>
      </c>
      <c r="O136" s="161">
        <f t="shared" si="24"/>
        <v>10500</v>
      </c>
    </row>
    <row r="137" spans="1:17" x14ac:dyDescent="0.2">
      <c r="A137" s="6" t="s">
        <v>301</v>
      </c>
      <c r="B137" s="159" t="s">
        <v>193</v>
      </c>
      <c r="C137" s="159" t="s">
        <v>200</v>
      </c>
      <c r="D137" s="159" t="s">
        <v>202</v>
      </c>
      <c r="E137" s="159" t="s">
        <v>297</v>
      </c>
      <c r="F137" s="6" t="s">
        <v>301</v>
      </c>
      <c r="G137" s="160" t="s">
        <v>480</v>
      </c>
      <c r="H137" s="115"/>
      <c r="I137" s="118" t="s">
        <v>201</v>
      </c>
      <c r="J137" s="122">
        <v>0.7</v>
      </c>
      <c r="K137" s="125">
        <v>15000</v>
      </c>
      <c r="L137" s="123"/>
      <c r="M137" s="161">
        <f>J137*K137</f>
        <v>10500</v>
      </c>
      <c r="N137" s="161">
        <f t="shared" si="25"/>
        <v>0</v>
      </c>
      <c r="O137" s="161">
        <f t="shared" si="24"/>
        <v>10500</v>
      </c>
    </row>
    <row r="138" spans="1:17" x14ac:dyDescent="0.2">
      <c r="A138" s="6" t="s">
        <v>302</v>
      </c>
      <c r="B138" s="159" t="s">
        <v>193</v>
      </c>
      <c r="C138" s="159" t="s">
        <v>200</v>
      </c>
      <c r="D138" s="159" t="s">
        <v>202</v>
      </c>
      <c r="E138" s="159" t="s">
        <v>297</v>
      </c>
      <c r="F138" s="6" t="s">
        <v>302</v>
      </c>
      <c r="G138" s="160" t="s">
        <v>481</v>
      </c>
      <c r="H138" s="115"/>
      <c r="I138" s="118" t="s">
        <v>201</v>
      </c>
      <c r="J138" s="122">
        <v>0.7</v>
      </c>
      <c r="K138" s="125">
        <v>15000</v>
      </c>
      <c r="L138" s="123"/>
      <c r="M138" s="161">
        <f>J138*K138</f>
        <v>10500</v>
      </c>
      <c r="N138" s="161">
        <f t="shared" si="25"/>
        <v>0</v>
      </c>
      <c r="O138" s="161">
        <f t="shared" si="24"/>
        <v>10500</v>
      </c>
    </row>
    <row r="139" spans="1:17" x14ac:dyDescent="0.2">
      <c r="A139" s="4" t="s">
        <v>304</v>
      </c>
      <c r="B139" s="159"/>
      <c r="C139" s="159"/>
      <c r="D139" s="159"/>
      <c r="E139" s="159" t="s">
        <v>297</v>
      </c>
      <c r="F139" s="4" t="s">
        <v>304</v>
      </c>
      <c r="G139" s="5" t="s">
        <v>15</v>
      </c>
      <c r="H139" s="115"/>
      <c r="I139" s="125"/>
      <c r="J139" s="125"/>
      <c r="K139" s="125"/>
      <c r="L139" s="123"/>
      <c r="M139" s="161">
        <f t="shared" ref="M139:M183" si="26">J139*K139</f>
        <v>0</v>
      </c>
      <c r="N139" s="161">
        <f t="shared" ref="N139:N183" si="27">J139*L139</f>
        <v>0</v>
      </c>
      <c r="O139" s="161">
        <f t="shared" ref="O139:O183" si="28">N139+M139</f>
        <v>0</v>
      </c>
    </row>
    <row r="140" spans="1:17" x14ac:dyDescent="0.2">
      <c r="A140" s="6" t="s">
        <v>312</v>
      </c>
      <c r="B140" s="159" t="s">
        <v>149</v>
      </c>
      <c r="C140" s="159" t="s">
        <v>210</v>
      </c>
      <c r="D140" s="159" t="s">
        <v>202</v>
      </c>
      <c r="E140" s="159" t="s">
        <v>297</v>
      </c>
      <c r="F140" s="6" t="s">
        <v>312</v>
      </c>
      <c r="G140" s="176" t="s">
        <v>740</v>
      </c>
      <c r="H140" s="115" t="s">
        <v>741</v>
      </c>
      <c r="I140" s="118" t="s">
        <v>20</v>
      </c>
      <c r="J140" s="125">
        <v>1</v>
      </c>
      <c r="K140" s="125"/>
      <c r="L140" s="123">
        <v>457</v>
      </c>
      <c r="M140" s="161">
        <f t="shared" si="26"/>
        <v>0</v>
      </c>
      <c r="N140" s="161">
        <f t="shared" si="27"/>
        <v>457</v>
      </c>
      <c r="O140" s="161">
        <f t="shared" si="28"/>
        <v>457</v>
      </c>
    </row>
    <row r="141" spans="1:17" x14ac:dyDescent="0.2">
      <c r="A141" s="6" t="s">
        <v>313</v>
      </c>
      <c r="B141" s="159" t="s">
        <v>149</v>
      </c>
      <c r="C141" s="159" t="s">
        <v>210</v>
      </c>
      <c r="D141" s="159" t="s">
        <v>202</v>
      </c>
      <c r="E141" s="159" t="s">
        <v>297</v>
      </c>
      <c r="F141" s="6" t="s">
        <v>313</v>
      </c>
      <c r="G141" s="176" t="s">
        <v>742</v>
      </c>
      <c r="H141" s="178" t="s">
        <v>741</v>
      </c>
      <c r="I141" s="118" t="s">
        <v>20</v>
      </c>
      <c r="J141" s="125">
        <v>8</v>
      </c>
      <c r="K141" s="125"/>
      <c r="L141" s="123">
        <v>264</v>
      </c>
      <c r="M141" s="161">
        <f t="shared" si="26"/>
        <v>0</v>
      </c>
      <c r="N141" s="161">
        <f t="shared" si="27"/>
        <v>2112</v>
      </c>
      <c r="O141" s="161">
        <f t="shared" si="28"/>
        <v>2112</v>
      </c>
    </row>
    <row r="142" spans="1:17" x14ac:dyDescent="0.2">
      <c r="A142" s="6" t="s">
        <v>314</v>
      </c>
      <c r="B142" s="159" t="s">
        <v>149</v>
      </c>
      <c r="C142" s="159" t="s">
        <v>210</v>
      </c>
      <c r="D142" s="159" t="s">
        <v>202</v>
      </c>
      <c r="E142" s="159" t="s">
        <v>297</v>
      </c>
      <c r="F142" s="6" t="s">
        <v>314</v>
      </c>
      <c r="G142" s="176" t="s">
        <v>743</v>
      </c>
      <c r="H142" s="115" t="s">
        <v>572</v>
      </c>
      <c r="I142" s="118" t="s">
        <v>268</v>
      </c>
      <c r="J142" s="125">
        <v>192</v>
      </c>
      <c r="K142" s="125"/>
      <c r="L142" s="123">
        <v>74</v>
      </c>
      <c r="M142" s="161">
        <f t="shared" si="26"/>
        <v>0</v>
      </c>
      <c r="N142" s="161">
        <f t="shared" si="27"/>
        <v>14208</v>
      </c>
      <c r="O142" s="161">
        <f t="shared" si="28"/>
        <v>14208</v>
      </c>
    </row>
    <row r="143" spans="1:17" x14ac:dyDescent="0.2">
      <c r="A143" s="6" t="s">
        <v>315</v>
      </c>
      <c r="B143" s="159" t="s">
        <v>149</v>
      </c>
      <c r="C143" s="159" t="s">
        <v>210</v>
      </c>
      <c r="D143" s="159" t="s">
        <v>202</v>
      </c>
      <c r="E143" s="159" t="s">
        <v>297</v>
      </c>
      <c r="F143" s="6" t="s">
        <v>315</v>
      </c>
      <c r="G143" s="176" t="s">
        <v>744</v>
      </c>
      <c r="H143" s="115" t="s">
        <v>572</v>
      </c>
      <c r="I143" s="118" t="s">
        <v>268</v>
      </c>
      <c r="J143" s="125">
        <v>560</v>
      </c>
      <c r="K143" s="125"/>
      <c r="L143" s="123">
        <v>69</v>
      </c>
      <c r="M143" s="161">
        <f t="shared" si="26"/>
        <v>0</v>
      </c>
      <c r="N143" s="161">
        <f t="shared" si="27"/>
        <v>38640</v>
      </c>
      <c r="O143" s="161">
        <f t="shared" si="28"/>
        <v>38640</v>
      </c>
    </row>
    <row r="144" spans="1:17" x14ac:dyDescent="0.2">
      <c r="A144" s="6" t="s">
        <v>316</v>
      </c>
      <c r="B144" s="159" t="s">
        <v>149</v>
      </c>
      <c r="C144" s="159" t="s">
        <v>210</v>
      </c>
      <c r="D144" s="159" t="s">
        <v>202</v>
      </c>
      <c r="E144" s="159" t="s">
        <v>297</v>
      </c>
      <c r="F144" s="6" t="s">
        <v>316</v>
      </c>
      <c r="G144" s="176" t="s">
        <v>745</v>
      </c>
      <c r="H144" s="115" t="s">
        <v>572</v>
      </c>
      <c r="I144" s="118" t="s">
        <v>268</v>
      </c>
      <c r="J144" s="125">
        <v>320</v>
      </c>
      <c r="K144" s="125"/>
      <c r="L144" s="123">
        <v>57</v>
      </c>
      <c r="M144" s="161">
        <f t="shared" si="26"/>
        <v>0</v>
      </c>
      <c r="N144" s="161">
        <f t="shared" si="27"/>
        <v>18240</v>
      </c>
      <c r="O144" s="161">
        <f t="shared" si="28"/>
        <v>18240</v>
      </c>
    </row>
    <row r="145" spans="1:15" x14ac:dyDescent="0.2">
      <c r="A145" s="6" t="s">
        <v>317</v>
      </c>
      <c r="B145" s="159" t="s">
        <v>149</v>
      </c>
      <c r="C145" s="159" t="s">
        <v>210</v>
      </c>
      <c r="D145" s="159" t="s">
        <v>202</v>
      </c>
      <c r="E145" s="159" t="s">
        <v>297</v>
      </c>
      <c r="F145" s="6" t="s">
        <v>317</v>
      </c>
      <c r="G145" s="176" t="s">
        <v>746</v>
      </c>
      <c r="H145" s="115" t="s">
        <v>747</v>
      </c>
      <c r="I145" s="118" t="s">
        <v>303</v>
      </c>
      <c r="J145" s="125">
        <v>857.6</v>
      </c>
      <c r="K145" s="125"/>
      <c r="L145" s="123">
        <v>17</v>
      </c>
      <c r="M145" s="161">
        <f t="shared" si="26"/>
        <v>0</v>
      </c>
      <c r="N145" s="161">
        <f t="shared" si="27"/>
        <v>14579.2</v>
      </c>
      <c r="O145" s="161">
        <f t="shared" si="28"/>
        <v>14579.2</v>
      </c>
    </row>
    <row r="146" spans="1:15" x14ac:dyDescent="0.2">
      <c r="A146" s="6" t="s">
        <v>318</v>
      </c>
      <c r="B146" s="159" t="s">
        <v>149</v>
      </c>
      <c r="C146" s="159" t="s">
        <v>210</v>
      </c>
      <c r="D146" s="159" t="s">
        <v>202</v>
      </c>
      <c r="E146" s="159" t="s">
        <v>297</v>
      </c>
      <c r="F146" s="6" t="s">
        <v>318</v>
      </c>
      <c r="G146" s="176" t="s">
        <v>748</v>
      </c>
      <c r="H146" s="115" t="s">
        <v>601</v>
      </c>
      <c r="I146" s="118" t="s">
        <v>20</v>
      </c>
      <c r="J146" s="125">
        <v>1</v>
      </c>
      <c r="K146" s="125"/>
      <c r="L146" s="123">
        <v>134</v>
      </c>
      <c r="M146" s="161">
        <f t="shared" si="26"/>
        <v>0</v>
      </c>
      <c r="N146" s="161">
        <f t="shared" si="27"/>
        <v>134</v>
      </c>
      <c r="O146" s="161">
        <f t="shared" si="28"/>
        <v>134</v>
      </c>
    </row>
    <row r="147" spans="1:15" x14ac:dyDescent="0.2">
      <c r="A147" s="6" t="s">
        <v>319</v>
      </c>
      <c r="B147" s="159" t="s">
        <v>149</v>
      </c>
      <c r="C147" s="159" t="s">
        <v>210</v>
      </c>
      <c r="D147" s="159" t="s">
        <v>202</v>
      </c>
      <c r="E147" s="159" t="s">
        <v>297</v>
      </c>
      <c r="F147" s="6" t="s">
        <v>319</v>
      </c>
      <c r="G147" s="176" t="s">
        <v>749</v>
      </c>
      <c r="H147" s="115" t="s">
        <v>601</v>
      </c>
      <c r="I147" s="118" t="s">
        <v>20</v>
      </c>
      <c r="J147" s="125">
        <v>1</v>
      </c>
      <c r="K147" s="125"/>
      <c r="L147" s="123">
        <v>1540</v>
      </c>
      <c r="M147" s="161">
        <f t="shared" si="26"/>
        <v>0</v>
      </c>
      <c r="N147" s="161">
        <f t="shared" si="27"/>
        <v>1540</v>
      </c>
      <c r="O147" s="161">
        <f t="shared" si="28"/>
        <v>1540</v>
      </c>
    </row>
    <row r="148" spans="1:15" x14ac:dyDescent="0.2">
      <c r="A148" s="6" t="s">
        <v>320</v>
      </c>
      <c r="B148" s="159" t="s">
        <v>149</v>
      </c>
      <c r="C148" s="159" t="s">
        <v>210</v>
      </c>
      <c r="D148" s="159" t="s">
        <v>202</v>
      </c>
      <c r="E148" s="159" t="s">
        <v>297</v>
      </c>
      <c r="F148" s="6" t="s">
        <v>320</v>
      </c>
      <c r="G148" s="176" t="s">
        <v>750</v>
      </c>
      <c r="H148" s="115" t="s">
        <v>751</v>
      </c>
      <c r="I148" s="118" t="s">
        <v>20</v>
      </c>
      <c r="J148" s="125">
        <v>1</v>
      </c>
      <c r="K148" s="125"/>
      <c r="L148" s="123">
        <v>670</v>
      </c>
      <c r="M148" s="161">
        <f t="shared" si="26"/>
        <v>0</v>
      </c>
      <c r="N148" s="161">
        <f t="shared" si="27"/>
        <v>670</v>
      </c>
      <c r="O148" s="161">
        <f t="shared" si="28"/>
        <v>670</v>
      </c>
    </row>
    <row r="149" spans="1:15" x14ac:dyDescent="0.2">
      <c r="A149" s="6" t="s">
        <v>321</v>
      </c>
      <c r="B149" s="159" t="s">
        <v>149</v>
      </c>
      <c r="C149" s="159" t="s">
        <v>210</v>
      </c>
      <c r="D149" s="159" t="s">
        <v>202</v>
      </c>
      <c r="E149" s="159" t="s">
        <v>297</v>
      </c>
      <c r="F149" s="6" t="s">
        <v>321</v>
      </c>
      <c r="G149" s="176" t="s">
        <v>752</v>
      </c>
      <c r="H149" s="115" t="s">
        <v>601</v>
      </c>
      <c r="I149" s="118" t="s">
        <v>20</v>
      </c>
      <c r="J149" s="125">
        <v>8</v>
      </c>
      <c r="K149" s="125"/>
      <c r="L149" s="123">
        <v>8.23</v>
      </c>
      <c r="M149" s="161">
        <f t="shared" si="26"/>
        <v>0</v>
      </c>
      <c r="N149" s="161">
        <f t="shared" si="27"/>
        <v>65.84</v>
      </c>
      <c r="O149" s="161">
        <f t="shared" si="28"/>
        <v>65.84</v>
      </c>
    </row>
    <row r="150" spans="1:15" x14ac:dyDescent="0.2">
      <c r="A150" s="6" t="s">
        <v>322</v>
      </c>
      <c r="B150" s="159" t="s">
        <v>149</v>
      </c>
      <c r="C150" s="159" t="s">
        <v>210</v>
      </c>
      <c r="D150" s="159" t="s">
        <v>202</v>
      </c>
      <c r="E150" s="159" t="s">
        <v>297</v>
      </c>
      <c r="F150" s="6" t="s">
        <v>322</v>
      </c>
      <c r="G150" s="176" t="s">
        <v>753</v>
      </c>
      <c r="H150" s="178" t="s">
        <v>754</v>
      </c>
      <c r="I150" s="118" t="s">
        <v>20</v>
      </c>
      <c r="J150" s="125">
        <v>2</v>
      </c>
      <c r="K150" s="125"/>
      <c r="L150" s="123">
        <v>740</v>
      </c>
      <c r="M150" s="161">
        <f t="shared" si="26"/>
        <v>0</v>
      </c>
      <c r="N150" s="161">
        <f t="shared" si="27"/>
        <v>1480</v>
      </c>
      <c r="O150" s="161">
        <f t="shared" si="28"/>
        <v>1480</v>
      </c>
    </row>
    <row r="151" spans="1:15" x14ac:dyDescent="0.2">
      <c r="A151" s="6" t="s">
        <v>323</v>
      </c>
      <c r="B151" s="159" t="s">
        <v>149</v>
      </c>
      <c r="C151" s="159" t="s">
        <v>210</v>
      </c>
      <c r="D151" s="159" t="s">
        <v>202</v>
      </c>
      <c r="E151" s="159" t="s">
        <v>297</v>
      </c>
      <c r="F151" s="6" t="s">
        <v>323</v>
      </c>
      <c r="G151" s="176" t="s">
        <v>755</v>
      </c>
      <c r="H151" s="178" t="s">
        <v>601</v>
      </c>
      <c r="I151" s="118" t="s">
        <v>20</v>
      </c>
      <c r="J151" s="125">
        <v>8</v>
      </c>
      <c r="K151" s="125"/>
      <c r="L151" s="123">
        <v>240</v>
      </c>
      <c r="M151" s="161">
        <f t="shared" si="26"/>
        <v>0</v>
      </c>
      <c r="N151" s="161">
        <f t="shared" si="27"/>
        <v>1920</v>
      </c>
      <c r="O151" s="161">
        <f t="shared" si="28"/>
        <v>1920</v>
      </c>
    </row>
    <row r="152" spans="1:15" x14ac:dyDescent="0.2">
      <c r="A152" s="6" t="s">
        <v>324</v>
      </c>
      <c r="B152" s="159" t="s">
        <v>149</v>
      </c>
      <c r="C152" s="159" t="s">
        <v>210</v>
      </c>
      <c r="D152" s="159" t="s">
        <v>202</v>
      </c>
      <c r="E152" s="159" t="s">
        <v>297</v>
      </c>
      <c r="F152" s="6" t="s">
        <v>324</v>
      </c>
      <c r="G152" s="176" t="s">
        <v>756</v>
      </c>
      <c r="H152" s="115" t="s">
        <v>601</v>
      </c>
      <c r="I152" s="118" t="s">
        <v>20</v>
      </c>
      <c r="J152" s="125">
        <v>9</v>
      </c>
      <c r="K152" s="125"/>
      <c r="L152" s="123">
        <v>247</v>
      </c>
      <c r="M152" s="161">
        <f t="shared" si="26"/>
        <v>0</v>
      </c>
      <c r="N152" s="161">
        <f t="shared" si="27"/>
        <v>2223</v>
      </c>
      <c r="O152" s="161">
        <f t="shared" si="28"/>
        <v>2223</v>
      </c>
    </row>
    <row r="153" spans="1:15" x14ac:dyDescent="0.2">
      <c r="A153" s="6" t="s">
        <v>325</v>
      </c>
      <c r="B153" s="159" t="s">
        <v>149</v>
      </c>
      <c r="C153" s="159" t="s">
        <v>210</v>
      </c>
      <c r="D153" s="159" t="s">
        <v>202</v>
      </c>
      <c r="E153" s="159" t="s">
        <v>297</v>
      </c>
      <c r="F153" s="6" t="s">
        <v>325</v>
      </c>
      <c r="G153" s="176" t="s">
        <v>511</v>
      </c>
      <c r="H153" s="115" t="s">
        <v>575</v>
      </c>
      <c r="I153" s="118" t="s">
        <v>20</v>
      </c>
      <c r="J153" s="125">
        <v>10</v>
      </c>
      <c r="K153" s="125"/>
      <c r="L153" s="123">
        <v>125</v>
      </c>
      <c r="M153" s="161">
        <f t="shared" si="26"/>
        <v>0</v>
      </c>
      <c r="N153" s="161">
        <f t="shared" si="27"/>
        <v>1250</v>
      </c>
      <c r="O153" s="161">
        <f t="shared" si="28"/>
        <v>1250</v>
      </c>
    </row>
    <row r="154" spans="1:15" x14ac:dyDescent="0.2">
      <c r="A154" s="6" t="s">
        <v>326</v>
      </c>
      <c r="B154" s="159" t="s">
        <v>149</v>
      </c>
      <c r="C154" s="159" t="s">
        <v>210</v>
      </c>
      <c r="D154" s="159" t="s">
        <v>202</v>
      </c>
      <c r="E154" s="159" t="s">
        <v>297</v>
      </c>
      <c r="F154" s="6" t="s">
        <v>326</v>
      </c>
      <c r="G154" s="176" t="s">
        <v>757</v>
      </c>
      <c r="H154" s="115" t="s">
        <v>758</v>
      </c>
      <c r="I154" s="118" t="s">
        <v>20</v>
      </c>
      <c r="J154" s="125">
        <v>26</v>
      </c>
      <c r="K154" s="125"/>
      <c r="L154" s="123">
        <v>96</v>
      </c>
      <c r="M154" s="161">
        <f t="shared" si="26"/>
        <v>0</v>
      </c>
      <c r="N154" s="161">
        <f t="shared" si="27"/>
        <v>2496</v>
      </c>
      <c r="O154" s="161">
        <f t="shared" si="28"/>
        <v>2496</v>
      </c>
    </row>
    <row r="155" spans="1:15" x14ac:dyDescent="0.2">
      <c r="A155" s="6" t="s">
        <v>327</v>
      </c>
      <c r="B155" s="159" t="s">
        <v>149</v>
      </c>
      <c r="C155" s="159" t="s">
        <v>210</v>
      </c>
      <c r="D155" s="159" t="s">
        <v>202</v>
      </c>
      <c r="E155" s="159" t="s">
        <v>297</v>
      </c>
      <c r="F155" s="6" t="s">
        <v>327</v>
      </c>
      <c r="G155" s="176" t="s">
        <v>512</v>
      </c>
      <c r="H155" s="115" t="s">
        <v>576</v>
      </c>
      <c r="I155" s="118" t="s">
        <v>20</v>
      </c>
      <c r="J155" s="125">
        <v>50</v>
      </c>
      <c r="K155" s="125"/>
      <c r="L155" s="123">
        <v>8.6</v>
      </c>
      <c r="M155" s="161">
        <f t="shared" si="26"/>
        <v>0</v>
      </c>
      <c r="N155" s="161">
        <f t="shared" si="27"/>
        <v>430</v>
      </c>
      <c r="O155" s="161">
        <f t="shared" si="28"/>
        <v>430</v>
      </c>
    </row>
    <row r="156" spans="1:15" x14ac:dyDescent="0.2">
      <c r="A156" s="6" t="s">
        <v>328</v>
      </c>
      <c r="B156" s="159" t="s">
        <v>149</v>
      </c>
      <c r="C156" s="159" t="s">
        <v>210</v>
      </c>
      <c r="D156" s="159" t="s">
        <v>202</v>
      </c>
      <c r="E156" s="159" t="s">
        <v>297</v>
      </c>
      <c r="F156" s="6" t="s">
        <v>328</v>
      </c>
      <c r="G156" s="176" t="s">
        <v>513</v>
      </c>
      <c r="H156" s="115" t="s">
        <v>576</v>
      </c>
      <c r="I156" s="118" t="s">
        <v>20</v>
      </c>
      <c r="J156" s="125">
        <v>75</v>
      </c>
      <c r="K156" s="125"/>
      <c r="L156" s="123">
        <v>11</v>
      </c>
      <c r="M156" s="161">
        <f t="shared" si="26"/>
        <v>0</v>
      </c>
      <c r="N156" s="161">
        <f t="shared" si="27"/>
        <v>825</v>
      </c>
      <c r="O156" s="161">
        <f t="shared" si="28"/>
        <v>825</v>
      </c>
    </row>
    <row r="157" spans="1:15" x14ac:dyDescent="0.2">
      <c r="A157" s="6" t="s">
        <v>329</v>
      </c>
      <c r="B157" s="159" t="s">
        <v>149</v>
      </c>
      <c r="C157" s="159" t="s">
        <v>210</v>
      </c>
      <c r="D157" s="159" t="s">
        <v>202</v>
      </c>
      <c r="E157" s="159" t="s">
        <v>297</v>
      </c>
      <c r="F157" s="6" t="s">
        <v>329</v>
      </c>
      <c r="G157" s="176" t="s">
        <v>514</v>
      </c>
      <c r="H157" s="115" t="s">
        <v>576</v>
      </c>
      <c r="I157" s="118" t="s">
        <v>20</v>
      </c>
      <c r="J157" s="125">
        <v>30</v>
      </c>
      <c r="K157" s="125"/>
      <c r="L157" s="123">
        <v>15.6</v>
      </c>
      <c r="M157" s="161">
        <f t="shared" si="26"/>
        <v>0</v>
      </c>
      <c r="N157" s="161">
        <f t="shared" si="27"/>
        <v>468</v>
      </c>
      <c r="O157" s="161">
        <f t="shared" si="28"/>
        <v>468</v>
      </c>
    </row>
    <row r="158" spans="1:15" x14ac:dyDescent="0.2">
      <c r="A158" s="6" t="s">
        <v>330</v>
      </c>
      <c r="B158" s="159" t="s">
        <v>149</v>
      </c>
      <c r="C158" s="159" t="s">
        <v>210</v>
      </c>
      <c r="D158" s="159" t="s">
        <v>202</v>
      </c>
      <c r="E158" s="159" t="s">
        <v>297</v>
      </c>
      <c r="F158" s="6" t="s">
        <v>330</v>
      </c>
      <c r="G158" s="176" t="s">
        <v>759</v>
      </c>
      <c r="H158" s="115" t="s">
        <v>758</v>
      </c>
      <c r="I158" s="118" t="s">
        <v>20</v>
      </c>
      <c r="J158" s="125">
        <v>20</v>
      </c>
      <c r="K158" s="125"/>
      <c r="L158" s="123">
        <v>27</v>
      </c>
      <c r="M158" s="161">
        <f t="shared" si="26"/>
        <v>0</v>
      </c>
      <c r="N158" s="161">
        <f t="shared" si="27"/>
        <v>540</v>
      </c>
      <c r="O158" s="161">
        <f t="shared" si="28"/>
        <v>540</v>
      </c>
    </row>
    <row r="159" spans="1:15" x14ac:dyDescent="0.2">
      <c r="A159" s="6" t="s">
        <v>331</v>
      </c>
      <c r="B159" s="159" t="s">
        <v>149</v>
      </c>
      <c r="C159" s="159" t="s">
        <v>210</v>
      </c>
      <c r="D159" s="159" t="s">
        <v>202</v>
      </c>
      <c r="E159" s="159" t="s">
        <v>297</v>
      </c>
      <c r="F159" s="6" t="s">
        <v>331</v>
      </c>
      <c r="G159" s="176" t="s">
        <v>760</v>
      </c>
      <c r="H159" s="115" t="s">
        <v>761</v>
      </c>
      <c r="I159" s="118" t="s">
        <v>20</v>
      </c>
      <c r="J159" s="125">
        <v>11</v>
      </c>
      <c r="K159" s="125"/>
      <c r="L159" s="123">
        <v>137</v>
      </c>
      <c r="M159" s="161">
        <f t="shared" si="26"/>
        <v>0</v>
      </c>
      <c r="N159" s="161">
        <f t="shared" si="27"/>
        <v>1507</v>
      </c>
      <c r="O159" s="161">
        <f t="shared" si="28"/>
        <v>1507</v>
      </c>
    </row>
    <row r="160" spans="1:15" x14ac:dyDescent="0.2">
      <c r="A160" s="6" t="s">
        <v>332</v>
      </c>
      <c r="B160" s="159" t="s">
        <v>149</v>
      </c>
      <c r="C160" s="159" t="s">
        <v>210</v>
      </c>
      <c r="D160" s="159" t="s">
        <v>202</v>
      </c>
      <c r="E160" s="159" t="s">
        <v>297</v>
      </c>
      <c r="F160" s="6" t="s">
        <v>332</v>
      </c>
      <c r="G160" s="176" t="s">
        <v>762</v>
      </c>
      <c r="H160" s="115" t="s">
        <v>577</v>
      </c>
      <c r="I160" s="118" t="s">
        <v>20</v>
      </c>
      <c r="J160" s="125">
        <v>11</v>
      </c>
      <c r="K160" s="125"/>
      <c r="L160" s="123">
        <v>214</v>
      </c>
      <c r="M160" s="161">
        <f t="shared" si="26"/>
        <v>0</v>
      </c>
      <c r="N160" s="161">
        <f t="shared" si="27"/>
        <v>2354</v>
      </c>
      <c r="O160" s="161">
        <f t="shared" si="28"/>
        <v>2354</v>
      </c>
    </row>
    <row r="161" spans="1:15" x14ac:dyDescent="0.2">
      <c r="A161" s="6" t="s">
        <v>333</v>
      </c>
      <c r="B161" s="159" t="s">
        <v>149</v>
      </c>
      <c r="C161" s="159" t="s">
        <v>210</v>
      </c>
      <c r="D161" s="159" t="s">
        <v>202</v>
      </c>
      <c r="E161" s="159" t="s">
        <v>297</v>
      </c>
      <c r="F161" s="6" t="s">
        <v>333</v>
      </c>
      <c r="G161" s="176" t="s">
        <v>763</v>
      </c>
      <c r="H161" s="115" t="s">
        <v>574</v>
      </c>
      <c r="I161" s="118" t="s">
        <v>20</v>
      </c>
      <c r="J161" s="125">
        <v>13</v>
      </c>
      <c r="K161" s="125"/>
      <c r="L161" s="123">
        <v>204</v>
      </c>
      <c r="M161" s="161">
        <f t="shared" si="26"/>
        <v>0</v>
      </c>
      <c r="N161" s="161">
        <f t="shared" si="27"/>
        <v>2652</v>
      </c>
      <c r="O161" s="161">
        <f t="shared" si="28"/>
        <v>2652</v>
      </c>
    </row>
    <row r="162" spans="1:15" x14ac:dyDescent="0.2">
      <c r="A162" s="6" t="s">
        <v>334</v>
      </c>
      <c r="B162" s="159" t="s">
        <v>149</v>
      </c>
      <c r="C162" s="159" t="s">
        <v>210</v>
      </c>
      <c r="D162" s="159" t="s">
        <v>202</v>
      </c>
      <c r="E162" s="159" t="s">
        <v>297</v>
      </c>
      <c r="F162" s="6" t="s">
        <v>334</v>
      </c>
      <c r="G162" s="176" t="s">
        <v>764</v>
      </c>
      <c r="H162" s="115" t="s">
        <v>574</v>
      </c>
      <c r="I162" s="118" t="s">
        <v>20</v>
      </c>
      <c r="J162" s="125">
        <v>20</v>
      </c>
      <c r="K162" s="125"/>
      <c r="L162" s="123">
        <v>677</v>
      </c>
      <c r="M162" s="161">
        <f t="shared" si="26"/>
        <v>0</v>
      </c>
      <c r="N162" s="161">
        <f t="shared" si="27"/>
        <v>13540</v>
      </c>
      <c r="O162" s="161">
        <f t="shared" si="28"/>
        <v>13540</v>
      </c>
    </row>
    <row r="163" spans="1:15" x14ac:dyDescent="0.2">
      <c r="A163" s="6" t="s">
        <v>335</v>
      </c>
      <c r="B163" s="159" t="s">
        <v>149</v>
      </c>
      <c r="C163" s="159" t="s">
        <v>210</v>
      </c>
      <c r="D163" s="159" t="s">
        <v>202</v>
      </c>
      <c r="E163" s="159" t="s">
        <v>297</v>
      </c>
      <c r="F163" s="6" t="s">
        <v>335</v>
      </c>
      <c r="G163" s="176" t="s">
        <v>765</v>
      </c>
      <c r="H163" s="115" t="s">
        <v>602</v>
      </c>
      <c r="I163" s="118" t="s">
        <v>20</v>
      </c>
      <c r="J163" s="125">
        <v>20</v>
      </c>
      <c r="K163" s="125"/>
      <c r="L163" s="123">
        <v>593</v>
      </c>
      <c r="M163" s="161">
        <f t="shared" si="26"/>
        <v>0</v>
      </c>
      <c r="N163" s="161">
        <f t="shared" si="27"/>
        <v>11860</v>
      </c>
      <c r="O163" s="161">
        <f t="shared" si="28"/>
        <v>11860</v>
      </c>
    </row>
    <row r="164" spans="1:15" x14ac:dyDescent="0.2">
      <c r="A164" s="6" t="s">
        <v>336</v>
      </c>
      <c r="B164" s="159" t="s">
        <v>149</v>
      </c>
      <c r="C164" s="159" t="s">
        <v>210</v>
      </c>
      <c r="D164" s="159" t="s">
        <v>202</v>
      </c>
      <c r="E164" s="159" t="s">
        <v>297</v>
      </c>
      <c r="F164" s="6" t="s">
        <v>336</v>
      </c>
      <c r="G164" s="176" t="s">
        <v>515</v>
      </c>
      <c r="H164" s="115" t="s">
        <v>574</v>
      </c>
      <c r="I164" s="118" t="s">
        <v>20</v>
      </c>
      <c r="J164" s="125">
        <v>2</v>
      </c>
      <c r="K164" s="125"/>
      <c r="L164" s="123">
        <v>372</v>
      </c>
      <c r="M164" s="161">
        <f t="shared" si="26"/>
        <v>0</v>
      </c>
      <c r="N164" s="161">
        <f t="shared" si="27"/>
        <v>744</v>
      </c>
      <c r="O164" s="161">
        <f t="shared" si="28"/>
        <v>744</v>
      </c>
    </row>
    <row r="165" spans="1:15" x14ac:dyDescent="0.2">
      <c r="A165" s="6" t="s">
        <v>337</v>
      </c>
      <c r="B165" s="159" t="s">
        <v>149</v>
      </c>
      <c r="C165" s="159" t="s">
        <v>210</v>
      </c>
      <c r="D165" s="159" t="s">
        <v>202</v>
      </c>
      <c r="E165" s="159" t="s">
        <v>297</v>
      </c>
      <c r="F165" s="6" t="s">
        <v>337</v>
      </c>
      <c r="G165" s="176" t="s">
        <v>766</v>
      </c>
      <c r="H165" s="115" t="s">
        <v>574</v>
      </c>
      <c r="I165" s="118" t="s">
        <v>20</v>
      </c>
      <c r="J165" s="125">
        <v>4</v>
      </c>
      <c r="K165" s="125"/>
      <c r="L165" s="123">
        <v>423</v>
      </c>
      <c r="M165" s="161">
        <f t="shared" si="26"/>
        <v>0</v>
      </c>
      <c r="N165" s="161">
        <f t="shared" si="27"/>
        <v>1692</v>
      </c>
      <c r="O165" s="161">
        <f t="shared" si="28"/>
        <v>1692</v>
      </c>
    </row>
    <row r="166" spans="1:15" x14ac:dyDescent="0.2">
      <c r="A166" s="114"/>
      <c r="B166" s="159" t="s">
        <v>149</v>
      </c>
      <c r="C166" s="159" t="s">
        <v>210</v>
      </c>
      <c r="D166" s="159" t="s">
        <v>202</v>
      </c>
      <c r="E166" s="159" t="s">
        <v>297</v>
      </c>
      <c r="F166" s="6" t="s">
        <v>338</v>
      </c>
      <c r="G166" s="176" t="s">
        <v>767</v>
      </c>
      <c r="H166" s="115" t="s">
        <v>768</v>
      </c>
      <c r="I166" s="128" t="s">
        <v>20</v>
      </c>
      <c r="J166" s="130">
        <v>4</v>
      </c>
      <c r="K166" s="130"/>
      <c r="L166" s="144">
        <v>204</v>
      </c>
      <c r="M166" s="161">
        <f t="shared" si="26"/>
        <v>0</v>
      </c>
      <c r="N166" s="161">
        <f t="shared" si="27"/>
        <v>816</v>
      </c>
      <c r="O166" s="161">
        <f t="shared" si="28"/>
        <v>816</v>
      </c>
    </row>
    <row r="167" spans="1:15" x14ac:dyDescent="0.2">
      <c r="A167" s="114"/>
      <c r="B167" s="159" t="s">
        <v>149</v>
      </c>
      <c r="C167" s="159" t="s">
        <v>210</v>
      </c>
      <c r="D167" s="159" t="s">
        <v>202</v>
      </c>
      <c r="E167" s="159" t="s">
        <v>297</v>
      </c>
      <c r="F167" s="6" t="s">
        <v>339</v>
      </c>
      <c r="G167" s="176" t="s">
        <v>769</v>
      </c>
      <c r="H167" s="115" t="s">
        <v>601</v>
      </c>
      <c r="I167" s="128" t="s">
        <v>20</v>
      </c>
      <c r="J167" s="130">
        <v>6</v>
      </c>
      <c r="K167" s="130"/>
      <c r="L167" s="144">
        <v>136</v>
      </c>
      <c r="M167" s="161">
        <f t="shared" si="26"/>
        <v>0</v>
      </c>
      <c r="N167" s="161">
        <f t="shared" si="27"/>
        <v>816</v>
      </c>
      <c r="O167" s="161">
        <f t="shared" si="28"/>
        <v>816</v>
      </c>
    </row>
    <row r="168" spans="1:15" x14ac:dyDescent="0.2">
      <c r="A168" s="114"/>
      <c r="B168" s="159" t="s">
        <v>149</v>
      </c>
      <c r="C168" s="159" t="s">
        <v>210</v>
      </c>
      <c r="D168" s="159" t="s">
        <v>202</v>
      </c>
      <c r="E168" s="159" t="s">
        <v>297</v>
      </c>
      <c r="F168" s="6" t="s">
        <v>791</v>
      </c>
      <c r="G168" s="176" t="s">
        <v>770</v>
      </c>
      <c r="H168" s="115" t="s">
        <v>602</v>
      </c>
      <c r="I168" s="128" t="s">
        <v>20</v>
      </c>
      <c r="J168" s="130">
        <v>6</v>
      </c>
      <c r="K168" s="130"/>
      <c r="L168" s="144">
        <v>24</v>
      </c>
      <c r="M168" s="161">
        <f t="shared" si="26"/>
        <v>0</v>
      </c>
      <c r="N168" s="161">
        <f t="shared" si="27"/>
        <v>144</v>
      </c>
      <c r="O168" s="161">
        <f t="shared" si="28"/>
        <v>144</v>
      </c>
    </row>
    <row r="169" spans="1:15" x14ac:dyDescent="0.2">
      <c r="A169" s="114"/>
      <c r="B169" s="159" t="s">
        <v>149</v>
      </c>
      <c r="C169" s="159" t="s">
        <v>210</v>
      </c>
      <c r="D169" s="159" t="s">
        <v>202</v>
      </c>
      <c r="E169" s="159" t="s">
        <v>297</v>
      </c>
      <c r="F169" s="6" t="s">
        <v>792</v>
      </c>
      <c r="G169" s="176" t="s">
        <v>771</v>
      </c>
      <c r="H169" s="115" t="s">
        <v>601</v>
      </c>
      <c r="I169" s="128" t="s">
        <v>20</v>
      </c>
      <c r="J169" s="130">
        <v>5</v>
      </c>
      <c r="K169" s="130"/>
      <c r="L169" s="144">
        <v>137</v>
      </c>
      <c r="M169" s="161">
        <f t="shared" si="26"/>
        <v>0</v>
      </c>
      <c r="N169" s="161">
        <f t="shared" si="27"/>
        <v>685</v>
      </c>
      <c r="O169" s="161">
        <f t="shared" si="28"/>
        <v>685</v>
      </c>
    </row>
    <row r="170" spans="1:15" x14ac:dyDescent="0.2">
      <c r="A170" s="114"/>
      <c r="B170" s="159" t="s">
        <v>149</v>
      </c>
      <c r="C170" s="159" t="s">
        <v>210</v>
      </c>
      <c r="D170" s="159" t="s">
        <v>202</v>
      </c>
      <c r="E170" s="159" t="s">
        <v>297</v>
      </c>
      <c r="F170" s="6" t="s">
        <v>793</v>
      </c>
      <c r="G170" s="176" t="s">
        <v>772</v>
      </c>
      <c r="H170" s="115" t="s">
        <v>573</v>
      </c>
      <c r="I170" s="128" t="s">
        <v>20</v>
      </c>
      <c r="J170" s="130">
        <v>24</v>
      </c>
      <c r="K170" s="130"/>
      <c r="L170" s="144">
        <v>167</v>
      </c>
      <c r="M170" s="161">
        <f t="shared" si="26"/>
        <v>0</v>
      </c>
      <c r="N170" s="161">
        <f t="shared" si="27"/>
        <v>4008</v>
      </c>
      <c r="O170" s="161">
        <f t="shared" si="28"/>
        <v>4008</v>
      </c>
    </row>
    <row r="171" spans="1:15" x14ac:dyDescent="0.2">
      <c r="A171" s="114"/>
      <c r="B171" s="159" t="s">
        <v>149</v>
      </c>
      <c r="C171" s="159" t="s">
        <v>210</v>
      </c>
      <c r="D171" s="159" t="s">
        <v>202</v>
      </c>
      <c r="E171" s="159" t="s">
        <v>297</v>
      </c>
      <c r="F171" s="6" t="s">
        <v>794</v>
      </c>
      <c r="G171" s="176" t="s">
        <v>773</v>
      </c>
      <c r="H171" s="115" t="s">
        <v>573</v>
      </c>
      <c r="I171" s="128" t="s">
        <v>20</v>
      </c>
      <c r="J171" s="130">
        <v>4</v>
      </c>
      <c r="K171" s="130"/>
      <c r="L171" s="144">
        <v>25</v>
      </c>
      <c r="M171" s="161">
        <f t="shared" si="26"/>
        <v>0</v>
      </c>
      <c r="N171" s="161">
        <f t="shared" si="27"/>
        <v>100</v>
      </c>
      <c r="O171" s="161">
        <f t="shared" si="28"/>
        <v>100</v>
      </c>
    </row>
    <row r="172" spans="1:15" x14ac:dyDescent="0.2">
      <c r="A172" s="114"/>
      <c r="B172" s="159" t="s">
        <v>149</v>
      </c>
      <c r="C172" s="159" t="s">
        <v>210</v>
      </c>
      <c r="D172" s="159" t="s">
        <v>202</v>
      </c>
      <c r="E172" s="159" t="s">
        <v>297</v>
      </c>
      <c r="F172" s="6" t="s">
        <v>795</v>
      </c>
      <c r="G172" s="176" t="s">
        <v>774</v>
      </c>
      <c r="H172" s="115" t="s">
        <v>573</v>
      </c>
      <c r="I172" s="128" t="s">
        <v>20</v>
      </c>
      <c r="J172" s="130">
        <v>18</v>
      </c>
      <c r="K172" s="130"/>
      <c r="L172" s="144">
        <v>139</v>
      </c>
      <c r="M172" s="161">
        <f t="shared" si="26"/>
        <v>0</v>
      </c>
      <c r="N172" s="161">
        <f t="shared" si="27"/>
        <v>2502</v>
      </c>
      <c r="O172" s="161">
        <f t="shared" si="28"/>
        <v>2502</v>
      </c>
    </row>
    <row r="173" spans="1:15" x14ac:dyDescent="0.2">
      <c r="A173" s="114"/>
      <c r="B173" s="159" t="s">
        <v>149</v>
      </c>
      <c r="C173" s="159" t="s">
        <v>210</v>
      </c>
      <c r="D173" s="159" t="s">
        <v>202</v>
      </c>
      <c r="E173" s="159" t="s">
        <v>297</v>
      </c>
      <c r="F173" s="6" t="s">
        <v>796</v>
      </c>
      <c r="G173" s="176" t="s">
        <v>775</v>
      </c>
      <c r="H173" s="115" t="s">
        <v>573</v>
      </c>
      <c r="I173" s="128" t="s">
        <v>20</v>
      </c>
      <c r="J173" s="130">
        <v>2</v>
      </c>
      <c r="K173" s="130"/>
      <c r="L173" s="144">
        <v>189</v>
      </c>
      <c r="M173" s="161">
        <f t="shared" si="26"/>
        <v>0</v>
      </c>
      <c r="N173" s="161">
        <f t="shared" si="27"/>
        <v>378</v>
      </c>
      <c r="O173" s="161">
        <f t="shared" si="28"/>
        <v>378</v>
      </c>
    </row>
    <row r="174" spans="1:15" x14ac:dyDescent="0.2">
      <c r="A174" s="114"/>
      <c r="B174" s="159" t="s">
        <v>149</v>
      </c>
      <c r="C174" s="159" t="s">
        <v>210</v>
      </c>
      <c r="D174" s="159" t="s">
        <v>202</v>
      </c>
      <c r="E174" s="159" t="s">
        <v>297</v>
      </c>
      <c r="F174" s="6" t="s">
        <v>797</v>
      </c>
      <c r="G174" s="176" t="s">
        <v>776</v>
      </c>
      <c r="H174" s="115" t="s">
        <v>777</v>
      </c>
      <c r="I174" s="128" t="s">
        <v>20</v>
      </c>
      <c r="J174" s="130">
        <v>1</v>
      </c>
      <c r="K174" s="130"/>
      <c r="L174" s="144">
        <v>2740</v>
      </c>
      <c r="M174" s="161">
        <f t="shared" si="26"/>
        <v>0</v>
      </c>
      <c r="N174" s="161">
        <f t="shared" si="27"/>
        <v>2740</v>
      </c>
      <c r="O174" s="161">
        <f t="shared" si="28"/>
        <v>2740</v>
      </c>
    </row>
    <row r="175" spans="1:15" x14ac:dyDescent="0.2">
      <c r="A175" s="114"/>
      <c r="B175" s="159" t="s">
        <v>149</v>
      </c>
      <c r="C175" s="159" t="s">
        <v>210</v>
      </c>
      <c r="D175" s="159" t="s">
        <v>202</v>
      </c>
      <c r="E175" s="159" t="s">
        <v>297</v>
      </c>
      <c r="F175" s="6" t="s">
        <v>798</v>
      </c>
      <c r="G175" s="176" t="s">
        <v>778</v>
      </c>
      <c r="H175" s="115" t="s">
        <v>588</v>
      </c>
      <c r="I175" s="128" t="s">
        <v>20</v>
      </c>
      <c r="J175" s="130">
        <v>8</v>
      </c>
      <c r="K175" s="130"/>
      <c r="L175" s="144">
        <v>436</v>
      </c>
      <c r="M175" s="161">
        <f t="shared" si="26"/>
        <v>0</v>
      </c>
      <c r="N175" s="161">
        <f t="shared" si="27"/>
        <v>3488</v>
      </c>
      <c r="O175" s="161">
        <f t="shared" si="28"/>
        <v>3488</v>
      </c>
    </row>
    <row r="176" spans="1:15" x14ac:dyDescent="0.2">
      <c r="A176" s="114"/>
      <c r="B176" s="159" t="s">
        <v>149</v>
      </c>
      <c r="C176" s="159" t="s">
        <v>210</v>
      </c>
      <c r="D176" s="159" t="s">
        <v>202</v>
      </c>
      <c r="E176" s="159" t="s">
        <v>297</v>
      </c>
      <c r="F176" s="6" t="s">
        <v>799</v>
      </c>
      <c r="G176" s="176" t="s">
        <v>779</v>
      </c>
      <c r="H176" s="115" t="s">
        <v>780</v>
      </c>
      <c r="I176" s="128" t="s">
        <v>20</v>
      </c>
      <c r="J176" s="130">
        <v>3</v>
      </c>
      <c r="K176" s="130"/>
      <c r="L176" s="144">
        <v>255</v>
      </c>
      <c r="M176" s="161">
        <f t="shared" si="26"/>
        <v>0</v>
      </c>
      <c r="N176" s="161">
        <f t="shared" si="27"/>
        <v>765</v>
      </c>
      <c r="O176" s="161">
        <f t="shared" si="28"/>
        <v>765</v>
      </c>
    </row>
    <row r="177" spans="1:17" x14ac:dyDescent="0.2">
      <c r="A177" s="114"/>
      <c r="B177" s="159" t="s">
        <v>149</v>
      </c>
      <c r="C177" s="159" t="s">
        <v>210</v>
      </c>
      <c r="D177" s="159" t="s">
        <v>202</v>
      </c>
      <c r="E177" s="159" t="s">
        <v>297</v>
      </c>
      <c r="F177" s="6" t="s">
        <v>800</v>
      </c>
      <c r="G177" s="176" t="s">
        <v>781</v>
      </c>
      <c r="H177" s="115" t="s">
        <v>782</v>
      </c>
      <c r="I177" s="128" t="s">
        <v>20</v>
      </c>
      <c r="J177" s="130">
        <v>8</v>
      </c>
      <c r="K177" s="130"/>
      <c r="L177" s="144">
        <v>196</v>
      </c>
      <c r="M177" s="161">
        <f t="shared" si="26"/>
        <v>0</v>
      </c>
      <c r="N177" s="161">
        <f t="shared" si="27"/>
        <v>1568</v>
      </c>
      <c r="O177" s="161">
        <f t="shared" si="28"/>
        <v>1568</v>
      </c>
    </row>
    <row r="178" spans="1:17" x14ac:dyDescent="0.2">
      <c r="A178" s="114"/>
      <c r="B178" s="159" t="s">
        <v>149</v>
      </c>
      <c r="C178" s="159" t="s">
        <v>210</v>
      </c>
      <c r="D178" s="159" t="s">
        <v>202</v>
      </c>
      <c r="E178" s="159" t="s">
        <v>297</v>
      </c>
      <c r="F178" s="6" t="s">
        <v>801</v>
      </c>
      <c r="G178" s="176" t="s">
        <v>516</v>
      </c>
      <c r="H178" s="115" t="s">
        <v>603</v>
      </c>
      <c r="I178" s="128" t="s">
        <v>20</v>
      </c>
      <c r="J178" s="130">
        <v>10</v>
      </c>
      <c r="K178" s="130"/>
      <c r="L178" s="144">
        <v>26</v>
      </c>
      <c r="M178" s="161">
        <f t="shared" si="26"/>
        <v>0</v>
      </c>
      <c r="N178" s="161">
        <f t="shared" si="27"/>
        <v>260</v>
      </c>
      <c r="O178" s="161">
        <f t="shared" si="28"/>
        <v>260</v>
      </c>
    </row>
    <row r="179" spans="1:17" x14ac:dyDescent="0.2">
      <c r="A179" s="114"/>
      <c r="B179" s="159" t="s">
        <v>149</v>
      </c>
      <c r="C179" s="159" t="s">
        <v>210</v>
      </c>
      <c r="D179" s="159" t="s">
        <v>202</v>
      </c>
      <c r="E179" s="159" t="s">
        <v>297</v>
      </c>
      <c r="F179" s="6" t="s">
        <v>802</v>
      </c>
      <c r="G179" s="176" t="s">
        <v>783</v>
      </c>
      <c r="H179" s="115" t="s">
        <v>577</v>
      </c>
      <c r="I179" s="128" t="s">
        <v>20</v>
      </c>
      <c r="J179" s="130">
        <v>2</v>
      </c>
      <c r="K179" s="130"/>
      <c r="L179" s="144">
        <v>51</v>
      </c>
      <c r="M179" s="161">
        <f t="shared" si="26"/>
        <v>0</v>
      </c>
      <c r="N179" s="161">
        <f t="shared" si="27"/>
        <v>102</v>
      </c>
      <c r="O179" s="161">
        <f t="shared" si="28"/>
        <v>102</v>
      </c>
    </row>
    <row r="180" spans="1:17" x14ac:dyDescent="0.2">
      <c r="A180" s="114"/>
      <c r="B180" s="159" t="s">
        <v>149</v>
      </c>
      <c r="C180" s="159" t="s">
        <v>210</v>
      </c>
      <c r="D180" s="159" t="s">
        <v>202</v>
      </c>
      <c r="E180" s="159" t="s">
        <v>297</v>
      </c>
      <c r="F180" s="6" t="s">
        <v>803</v>
      </c>
      <c r="G180" s="176" t="s">
        <v>784</v>
      </c>
      <c r="H180" s="115" t="s">
        <v>572</v>
      </c>
      <c r="I180" s="128" t="s">
        <v>517</v>
      </c>
      <c r="J180" s="130">
        <v>10</v>
      </c>
      <c r="K180" s="130"/>
      <c r="L180" s="144">
        <v>96</v>
      </c>
      <c r="M180" s="161">
        <f t="shared" si="26"/>
        <v>0</v>
      </c>
      <c r="N180" s="161">
        <f t="shared" si="27"/>
        <v>960</v>
      </c>
      <c r="O180" s="161">
        <f t="shared" si="28"/>
        <v>960</v>
      </c>
    </row>
    <row r="181" spans="1:17" x14ac:dyDescent="0.2">
      <c r="A181" s="114"/>
      <c r="B181" s="159" t="s">
        <v>149</v>
      </c>
      <c r="C181" s="159" t="s">
        <v>210</v>
      </c>
      <c r="D181" s="159" t="s">
        <v>202</v>
      </c>
      <c r="E181" s="159" t="s">
        <v>297</v>
      </c>
      <c r="F181" s="6" t="s">
        <v>804</v>
      </c>
      <c r="G181" s="176" t="s">
        <v>785</v>
      </c>
      <c r="H181" s="115" t="s">
        <v>786</v>
      </c>
      <c r="I181" s="128" t="s">
        <v>20</v>
      </c>
      <c r="J181" s="130">
        <v>9</v>
      </c>
      <c r="K181" s="130"/>
      <c r="L181" s="144">
        <v>1640</v>
      </c>
      <c r="M181" s="161">
        <f t="shared" si="26"/>
        <v>0</v>
      </c>
      <c r="N181" s="161">
        <f t="shared" si="27"/>
        <v>14760</v>
      </c>
      <c r="O181" s="161">
        <f t="shared" si="28"/>
        <v>14760</v>
      </c>
    </row>
    <row r="182" spans="1:17" x14ac:dyDescent="0.2">
      <c r="A182" s="114"/>
      <c r="B182" s="159" t="s">
        <v>149</v>
      </c>
      <c r="C182" s="159" t="s">
        <v>210</v>
      </c>
      <c r="D182" s="159" t="s">
        <v>202</v>
      </c>
      <c r="E182" s="159" t="s">
        <v>297</v>
      </c>
      <c r="F182" s="6" t="s">
        <v>805</v>
      </c>
      <c r="G182" s="176" t="s">
        <v>787</v>
      </c>
      <c r="H182" s="115" t="s">
        <v>788</v>
      </c>
      <c r="I182" s="128" t="s">
        <v>20</v>
      </c>
      <c r="J182" s="130">
        <v>9</v>
      </c>
      <c r="K182" s="130"/>
      <c r="L182" s="144">
        <v>720</v>
      </c>
      <c r="M182" s="161">
        <f t="shared" si="26"/>
        <v>0</v>
      </c>
      <c r="N182" s="161">
        <f t="shared" si="27"/>
        <v>6480</v>
      </c>
      <c r="O182" s="161">
        <f t="shared" si="28"/>
        <v>6480</v>
      </c>
    </row>
    <row r="183" spans="1:17" ht="15.75" x14ac:dyDescent="0.25">
      <c r="A183" s="114"/>
      <c r="B183" s="159" t="s">
        <v>149</v>
      </c>
      <c r="C183" s="159" t="s">
        <v>210</v>
      </c>
      <c r="D183" s="159" t="s">
        <v>202</v>
      </c>
      <c r="E183" s="159" t="s">
        <v>297</v>
      </c>
      <c r="F183" s="6" t="s">
        <v>806</v>
      </c>
      <c r="G183" s="176" t="s">
        <v>789</v>
      </c>
      <c r="H183" s="115" t="s">
        <v>790</v>
      </c>
      <c r="I183" s="128" t="s">
        <v>20</v>
      </c>
      <c r="J183" s="130">
        <v>5</v>
      </c>
      <c r="K183" s="130"/>
      <c r="L183" s="144">
        <v>21000</v>
      </c>
      <c r="M183" s="161">
        <f t="shared" si="26"/>
        <v>0</v>
      </c>
      <c r="N183" s="161">
        <f t="shared" si="27"/>
        <v>105000</v>
      </c>
      <c r="O183" s="161">
        <f t="shared" si="28"/>
        <v>105000</v>
      </c>
      <c r="P183" s="217"/>
      <c r="Q183" s="156" t="s">
        <v>956</v>
      </c>
    </row>
    <row r="184" spans="1:17" x14ac:dyDescent="0.2">
      <c r="A184" s="173" t="s">
        <v>341</v>
      </c>
      <c r="B184" s="173"/>
      <c r="C184" s="173"/>
      <c r="D184" s="173"/>
      <c r="E184" s="173"/>
      <c r="F184" s="173" t="s">
        <v>341</v>
      </c>
      <c r="G184" s="2" t="s">
        <v>340</v>
      </c>
      <c r="H184" s="147"/>
      <c r="I184" s="126"/>
      <c r="J184" s="126"/>
      <c r="K184" s="126"/>
      <c r="L184" s="126"/>
      <c r="M184" s="126">
        <f t="shared" ref="M184:M185" si="29">J184*K184</f>
        <v>0</v>
      </c>
      <c r="N184" s="126">
        <f>J184*L184</f>
        <v>0</v>
      </c>
      <c r="O184" s="126">
        <f t="shared" ref="O184:O189" si="30">N184+M184</f>
        <v>0</v>
      </c>
    </row>
    <row r="185" spans="1:17" x14ac:dyDescent="0.2">
      <c r="A185" s="4" t="s">
        <v>342</v>
      </c>
      <c r="B185" s="159"/>
      <c r="C185" s="159"/>
      <c r="D185" s="159"/>
      <c r="E185" s="159"/>
      <c r="F185" s="4" t="s">
        <v>342</v>
      </c>
      <c r="G185" s="5" t="s">
        <v>10</v>
      </c>
      <c r="H185" s="115"/>
      <c r="I185" s="118"/>
      <c r="J185" s="118"/>
      <c r="K185" s="125"/>
      <c r="L185" s="123"/>
      <c r="M185" s="161">
        <f t="shared" si="29"/>
        <v>0</v>
      </c>
      <c r="N185" s="161">
        <f t="shared" ref="N185:N189" si="31">J185*L185</f>
        <v>0</v>
      </c>
      <c r="O185" s="161">
        <f t="shared" si="30"/>
        <v>0</v>
      </c>
    </row>
    <row r="186" spans="1:17" x14ac:dyDescent="0.2">
      <c r="A186" s="6" t="s">
        <v>343</v>
      </c>
      <c r="B186" s="159" t="s">
        <v>193</v>
      </c>
      <c r="C186" s="159" t="s">
        <v>200</v>
      </c>
      <c r="D186" s="159" t="s">
        <v>202</v>
      </c>
      <c r="E186" s="159" t="s">
        <v>340</v>
      </c>
      <c r="F186" s="6" t="s">
        <v>343</v>
      </c>
      <c r="G186" s="160" t="s">
        <v>482</v>
      </c>
      <c r="H186" s="115"/>
      <c r="I186" s="118" t="s">
        <v>201</v>
      </c>
      <c r="J186" s="122">
        <f>100/4</f>
        <v>25</v>
      </c>
      <c r="K186" s="125">
        <v>200</v>
      </c>
      <c r="L186" s="123"/>
      <c r="M186" s="161">
        <f>J186*K186</f>
        <v>5000</v>
      </c>
      <c r="N186" s="161">
        <f t="shared" si="31"/>
        <v>0</v>
      </c>
      <c r="O186" s="161">
        <f t="shared" si="30"/>
        <v>5000</v>
      </c>
    </row>
    <row r="187" spans="1:17" x14ac:dyDescent="0.2">
      <c r="A187" s="6" t="s">
        <v>344</v>
      </c>
      <c r="B187" s="159" t="s">
        <v>193</v>
      </c>
      <c r="C187" s="159" t="s">
        <v>200</v>
      </c>
      <c r="D187" s="159" t="s">
        <v>202</v>
      </c>
      <c r="E187" s="159" t="s">
        <v>340</v>
      </c>
      <c r="F187" s="6" t="s">
        <v>344</v>
      </c>
      <c r="G187" s="160" t="s">
        <v>483</v>
      </c>
      <c r="H187" s="115"/>
      <c r="I187" s="118" t="s">
        <v>201</v>
      </c>
      <c r="J187" s="122">
        <f t="shared" ref="J187:J189" si="32">100/4</f>
        <v>25</v>
      </c>
      <c r="K187" s="125">
        <v>200</v>
      </c>
      <c r="L187" s="123"/>
      <c r="M187" s="161">
        <f>J187*K187</f>
        <v>5000</v>
      </c>
      <c r="N187" s="161">
        <f t="shared" si="31"/>
        <v>0</v>
      </c>
      <c r="O187" s="161">
        <f t="shared" si="30"/>
        <v>5000</v>
      </c>
    </row>
    <row r="188" spans="1:17" x14ac:dyDescent="0.2">
      <c r="A188" s="6" t="s">
        <v>347</v>
      </c>
      <c r="B188" s="159" t="s">
        <v>193</v>
      </c>
      <c r="C188" s="159" t="s">
        <v>200</v>
      </c>
      <c r="D188" s="159" t="s">
        <v>202</v>
      </c>
      <c r="E188" s="159" t="s">
        <v>340</v>
      </c>
      <c r="F188" s="6" t="s">
        <v>347</v>
      </c>
      <c r="G188" s="160" t="s">
        <v>484</v>
      </c>
      <c r="H188" s="115"/>
      <c r="I188" s="118" t="s">
        <v>201</v>
      </c>
      <c r="J188" s="122">
        <f t="shared" si="32"/>
        <v>25</v>
      </c>
      <c r="K188" s="125">
        <v>200</v>
      </c>
      <c r="L188" s="123"/>
      <c r="M188" s="161">
        <f>J188*K188</f>
        <v>5000</v>
      </c>
      <c r="N188" s="161">
        <f t="shared" si="31"/>
        <v>0</v>
      </c>
      <c r="O188" s="161">
        <f t="shared" si="30"/>
        <v>5000</v>
      </c>
    </row>
    <row r="189" spans="1:17" x14ac:dyDescent="0.2">
      <c r="A189" s="6" t="s">
        <v>348</v>
      </c>
      <c r="B189" s="159" t="s">
        <v>193</v>
      </c>
      <c r="C189" s="159" t="s">
        <v>200</v>
      </c>
      <c r="D189" s="159" t="s">
        <v>202</v>
      </c>
      <c r="E189" s="159" t="s">
        <v>340</v>
      </c>
      <c r="F189" s="6" t="s">
        <v>348</v>
      </c>
      <c r="G189" s="160" t="s">
        <v>485</v>
      </c>
      <c r="H189" s="115"/>
      <c r="I189" s="118" t="s">
        <v>201</v>
      </c>
      <c r="J189" s="122">
        <f t="shared" si="32"/>
        <v>25</v>
      </c>
      <c r="K189" s="125">
        <v>200</v>
      </c>
      <c r="L189" s="123"/>
      <c r="M189" s="161">
        <f>J189*K189</f>
        <v>5000</v>
      </c>
      <c r="N189" s="161">
        <f t="shared" si="31"/>
        <v>0</v>
      </c>
      <c r="O189" s="161">
        <f t="shared" si="30"/>
        <v>5000</v>
      </c>
    </row>
    <row r="190" spans="1:17" x14ac:dyDescent="0.2">
      <c r="A190" s="4" t="s">
        <v>345</v>
      </c>
      <c r="B190" s="159"/>
      <c r="C190" s="159"/>
      <c r="D190" s="159"/>
      <c r="E190" s="159"/>
      <c r="F190" s="4" t="s">
        <v>345</v>
      </c>
      <c r="G190" s="5" t="s">
        <v>15</v>
      </c>
      <c r="H190" s="115"/>
      <c r="I190" s="125"/>
      <c r="J190" s="125"/>
      <c r="K190" s="125"/>
      <c r="L190" s="123"/>
      <c r="M190" s="161">
        <f t="shared" ref="M190:M253" si="33">J190*K190</f>
        <v>0</v>
      </c>
      <c r="N190" s="161">
        <f t="shared" ref="N190:N253" si="34">J190*L190</f>
        <v>0</v>
      </c>
      <c r="O190" s="161">
        <f t="shared" ref="O190:O253" si="35">N190+M190</f>
        <v>0</v>
      </c>
    </row>
    <row r="191" spans="1:17" x14ac:dyDescent="0.2">
      <c r="A191" s="6" t="s">
        <v>346</v>
      </c>
      <c r="B191" s="159" t="s">
        <v>149</v>
      </c>
      <c r="C191" s="159" t="s">
        <v>210</v>
      </c>
      <c r="D191" s="159" t="s">
        <v>202</v>
      </c>
      <c r="E191" s="159" t="s">
        <v>340</v>
      </c>
      <c r="F191" s="6" t="s">
        <v>346</v>
      </c>
      <c r="G191" s="165" t="s">
        <v>807</v>
      </c>
      <c r="H191" s="115" t="s">
        <v>808</v>
      </c>
      <c r="I191" s="118" t="s">
        <v>20</v>
      </c>
      <c r="J191" s="125">
        <v>1</v>
      </c>
      <c r="K191" s="125"/>
      <c r="L191" s="123">
        <v>104</v>
      </c>
      <c r="M191" s="161">
        <f t="shared" si="33"/>
        <v>0</v>
      </c>
      <c r="N191" s="161">
        <f t="shared" si="34"/>
        <v>104</v>
      </c>
      <c r="O191" s="161">
        <f t="shared" si="35"/>
        <v>104</v>
      </c>
    </row>
    <row r="192" spans="1:17" x14ac:dyDescent="0.2">
      <c r="A192" s="6" t="s">
        <v>349</v>
      </c>
      <c r="B192" s="159" t="s">
        <v>149</v>
      </c>
      <c r="C192" s="159" t="s">
        <v>210</v>
      </c>
      <c r="D192" s="159" t="s">
        <v>202</v>
      </c>
      <c r="E192" s="159" t="s">
        <v>340</v>
      </c>
      <c r="F192" s="6" t="s">
        <v>349</v>
      </c>
      <c r="G192" s="165" t="s">
        <v>809</v>
      </c>
      <c r="H192" s="178" t="s">
        <v>587</v>
      </c>
      <c r="I192" s="118" t="s">
        <v>20</v>
      </c>
      <c r="J192" s="125">
        <v>9</v>
      </c>
      <c r="K192" s="125"/>
      <c r="L192" s="123">
        <v>127</v>
      </c>
      <c r="M192" s="161">
        <f t="shared" si="33"/>
        <v>0</v>
      </c>
      <c r="N192" s="161">
        <f t="shared" si="34"/>
        <v>1143</v>
      </c>
      <c r="O192" s="161">
        <f t="shared" si="35"/>
        <v>1143</v>
      </c>
    </row>
    <row r="193" spans="1:15" x14ac:dyDescent="0.2">
      <c r="A193" s="6" t="s">
        <v>350</v>
      </c>
      <c r="B193" s="159" t="s">
        <v>149</v>
      </c>
      <c r="C193" s="159" t="s">
        <v>210</v>
      </c>
      <c r="D193" s="159" t="s">
        <v>202</v>
      </c>
      <c r="E193" s="159" t="s">
        <v>340</v>
      </c>
      <c r="F193" s="6" t="s">
        <v>350</v>
      </c>
      <c r="G193" s="165" t="s">
        <v>810</v>
      </c>
      <c r="H193" s="178" t="s">
        <v>587</v>
      </c>
      <c r="I193" s="118" t="s">
        <v>20</v>
      </c>
      <c r="J193" s="125">
        <v>6</v>
      </c>
      <c r="K193" s="125"/>
      <c r="L193" s="123">
        <v>97</v>
      </c>
      <c r="M193" s="161">
        <f t="shared" si="33"/>
        <v>0</v>
      </c>
      <c r="N193" s="161">
        <f t="shared" si="34"/>
        <v>582</v>
      </c>
      <c r="O193" s="161">
        <f t="shared" si="35"/>
        <v>582</v>
      </c>
    </row>
    <row r="194" spans="1:15" x14ac:dyDescent="0.2">
      <c r="A194" s="6" t="s">
        <v>351</v>
      </c>
      <c r="B194" s="159" t="s">
        <v>149</v>
      </c>
      <c r="C194" s="159" t="s">
        <v>210</v>
      </c>
      <c r="D194" s="159" t="s">
        <v>202</v>
      </c>
      <c r="E194" s="159" t="s">
        <v>340</v>
      </c>
      <c r="F194" s="6" t="s">
        <v>351</v>
      </c>
      <c r="G194" s="165" t="s">
        <v>811</v>
      </c>
      <c r="H194" s="178" t="s">
        <v>812</v>
      </c>
      <c r="I194" s="118" t="s">
        <v>20</v>
      </c>
      <c r="J194" s="125">
        <v>2</v>
      </c>
      <c r="K194" s="125"/>
      <c r="L194" s="123">
        <v>16400</v>
      </c>
      <c r="M194" s="161">
        <f t="shared" si="33"/>
        <v>0</v>
      </c>
      <c r="N194" s="161">
        <f t="shared" si="34"/>
        <v>32800</v>
      </c>
      <c r="O194" s="161">
        <f t="shared" si="35"/>
        <v>32800</v>
      </c>
    </row>
    <row r="195" spans="1:15" x14ac:dyDescent="0.2">
      <c r="A195" s="6" t="s">
        <v>352</v>
      </c>
      <c r="B195" s="159" t="s">
        <v>149</v>
      </c>
      <c r="C195" s="159" t="s">
        <v>210</v>
      </c>
      <c r="D195" s="159" t="s">
        <v>202</v>
      </c>
      <c r="E195" s="159" t="s">
        <v>340</v>
      </c>
      <c r="F195" s="6" t="s">
        <v>352</v>
      </c>
      <c r="G195" s="165" t="s">
        <v>813</v>
      </c>
      <c r="H195" s="178" t="s">
        <v>814</v>
      </c>
      <c r="I195" s="118" t="s">
        <v>20</v>
      </c>
      <c r="J195" s="125">
        <v>2</v>
      </c>
      <c r="K195" s="125"/>
      <c r="L195" s="123">
        <v>96</v>
      </c>
      <c r="M195" s="161">
        <f t="shared" si="33"/>
        <v>0</v>
      </c>
      <c r="N195" s="161">
        <f t="shared" si="34"/>
        <v>192</v>
      </c>
      <c r="O195" s="161">
        <f t="shared" si="35"/>
        <v>192</v>
      </c>
    </row>
    <row r="196" spans="1:15" x14ac:dyDescent="0.2">
      <c r="A196" s="6" t="s">
        <v>353</v>
      </c>
      <c r="B196" s="159" t="s">
        <v>149</v>
      </c>
      <c r="C196" s="159" t="s">
        <v>210</v>
      </c>
      <c r="D196" s="159" t="s">
        <v>202</v>
      </c>
      <c r="E196" s="159" t="s">
        <v>340</v>
      </c>
      <c r="F196" s="6" t="s">
        <v>353</v>
      </c>
      <c r="G196" s="165" t="s">
        <v>815</v>
      </c>
      <c r="H196" s="178" t="s">
        <v>816</v>
      </c>
      <c r="I196" s="118" t="s">
        <v>20</v>
      </c>
      <c r="J196" s="125">
        <v>2</v>
      </c>
      <c r="K196" s="125"/>
      <c r="L196" s="123">
        <v>8740</v>
      </c>
      <c r="M196" s="161">
        <f t="shared" si="33"/>
        <v>0</v>
      </c>
      <c r="N196" s="161">
        <f t="shared" si="34"/>
        <v>17480</v>
      </c>
      <c r="O196" s="161">
        <f t="shared" si="35"/>
        <v>17480</v>
      </c>
    </row>
    <row r="197" spans="1:15" x14ac:dyDescent="0.2">
      <c r="A197" s="6" t="s">
        <v>354</v>
      </c>
      <c r="B197" s="159" t="s">
        <v>149</v>
      </c>
      <c r="C197" s="159" t="s">
        <v>210</v>
      </c>
      <c r="D197" s="159" t="s">
        <v>202</v>
      </c>
      <c r="E197" s="159" t="s">
        <v>340</v>
      </c>
      <c r="F197" s="6" t="s">
        <v>354</v>
      </c>
      <c r="G197" s="165" t="s">
        <v>817</v>
      </c>
      <c r="H197" s="115" t="s">
        <v>818</v>
      </c>
      <c r="I197" s="118" t="s">
        <v>20</v>
      </c>
      <c r="J197" s="125">
        <v>1</v>
      </c>
      <c r="K197" s="125"/>
      <c r="L197" s="123">
        <v>7700</v>
      </c>
      <c r="M197" s="161">
        <f t="shared" si="33"/>
        <v>0</v>
      </c>
      <c r="N197" s="161">
        <f t="shared" si="34"/>
        <v>7700</v>
      </c>
      <c r="O197" s="161">
        <f t="shared" si="35"/>
        <v>7700</v>
      </c>
    </row>
    <row r="198" spans="1:15" x14ac:dyDescent="0.2">
      <c r="A198" s="6" t="s">
        <v>355</v>
      </c>
      <c r="B198" s="159" t="s">
        <v>149</v>
      </c>
      <c r="C198" s="159" t="s">
        <v>210</v>
      </c>
      <c r="D198" s="159" t="s">
        <v>202</v>
      </c>
      <c r="E198" s="159" t="s">
        <v>340</v>
      </c>
      <c r="F198" s="6" t="s">
        <v>355</v>
      </c>
      <c r="G198" s="165" t="s">
        <v>819</v>
      </c>
      <c r="H198" s="115" t="s">
        <v>820</v>
      </c>
      <c r="I198" s="118" t="s">
        <v>20</v>
      </c>
      <c r="J198" s="125">
        <v>10</v>
      </c>
      <c r="K198" s="125"/>
      <c r="L198" s="123">
        <v>66</v>
      </c>
      <c r="M198" s="161">
        <f t="shared" si="33"/>
        <v>0</v>
      </c>
      <c r="N198" s="161">
        <f t="shared" si="34"/>
        <v>660</v>
      </c>
      <c r="O198" s="161">
        <f t="shared" si="35"/>
        <v>660</v>
      </c>
    </row>
    <row r="199" spans="1:15" x14ac:dyDescent="0.2">
      <c r="A199" s="6" t="s">
        <v>356</v>
      </c>
      <c r="B199" s="159" t="s">
        <v>149</v>
      </c>
      <c r="C199" s="159" t="s">
        <v>210</v>
      </c>
      <c r="D199" s="159" t="s">
        <v>202</v>
      </c>
      <c r="E199" s="159" t="s">
        <v>340</v>
      </c>
      <c r="F199" s="6" t="s">
        <v>356</v>
      </c>
      <c r="G199" s="165" t="s">
        <v>821</v>
      </c>
      <c r="H199" s="115" t="s">
        <v>820</v>
      </c>
      <c r="I199" s="118" t="s">
        <v>20</v>
      </c>
      <c r="J199" s="125">
        <v>2</v>
      </c>
      <c r="K199" s="125"/>
      <c r="L199" s="123">
        <v>129</v>
      </c>
      <c r="M199" s="161">
        <f t="shared" si="33"/>
        <v>0</v>
      </c>
      <c r="N199" s="161">
        <f t="shared" si="34"/>
        <v>258</v>
      </c>
      <c r="O199" s="161">
        <f t="shared" si="35"/>
        <v>258</v>
      </c>
    </row>
    <row r="200" spans="1:15" x14ac:dyDescent="0.2">
      <c r="A200" s="6" t="s">
        <v>357</v>
      </c>
      <c r="B200" s="159" t="s">
        <v>149</v>
      </c>
      <c r="C200" s="159" t="s">
        <v>210</v>
      </c>
      <c r="D200" s="159" t="s">
        <v>202</v>
      </c>
      <c r="E200" s="159" t="s">
        <v>340</v>
      </c>
      <c r="F200" s="6" t="s">
        <v>357</v>
      </c>
      <c r="G200" s="165" t="s">
        <v>822</v>
      </c>
      <c r="H200" s="115" t="s">
        <v>578</v>
      </c>
      <c r="I200" s="118" t="s">
        <v>20</v>
      </c>
      <c r="J200" s="125">
        <v>3</v>
      </c>
      <c r="K200" s="125"/>
      <c r="L200" s="123">
        <v>1740</v>
      </c>
      <c r="M200" s="161">
        <f t="shared" si="33"/>
        <v>0</v>
      </c>
      <c r="N200" s="161">
        <f t="shared" si="34"/>
        <v>5220</v>
      </c>
      <c r="O200" s="161">
        <f t="shared" si="35"/>
        <v>5220</v>
      </c>
    </row>
    <row r="201" spans="1:15" x14ac:dyDescent="0.2">
      <c r="A201" s="6" t="s">
        <v>358</v>
      </c>
      <c r="B201" s="159" t="s">
        <v>149</v>
      </c>
      <c r="C201" s="159" t="s">
        <v>210</v>
      </c>
      <c r="D201" s="159" t="s">
        <v>202</v>
      </c>
      <c r="E201" s="159" t="s">
        <v>340</v>
      </c>
      <c r="F201" s="6" t="s">
        <v>358</v>
      </c>
      <c r="G201" s="165" t="s">
        <v>823</v>
      </c>
      <c r="H201" s="115" t="s">
        <v>824</v>
      </c>
      <c r="I201" s="118" t="s">
        <v>20</v>
      </c>
      <c r="J201" s="125">
        <v>1</v>
      </c>
      <c r="K201" s="125"/>
      <c r="L201" s="123">
        <v>172</v>
      </c>
      <c r="M201" s="161">
        <f t="shared" si="33"/>
        <v>0</v>
      </c>
      <c r="N201" s="161">
        <f t="shared" si="34"/>
        <v>172</v>
      </c>
      <c r="O201" s="161">
        <f t="shared" si="35"/>
        <v>172</v>
      </c>
    </row>
    <row r="202" spans="1:15" x14ac:dyDescent="0.2">
      <c r="A202" s="6" t="s">
        <v>359</v>
      </c>
      <c r="B202" s="159" t="s">
        <v>149</v>
      </c>
      <c r="C202" s="159" t="s">
        <v>210</v>
      </c>
      <c r="D202" s="159" t="s">
        <v>202</v>
      </c>
      <c r="E202" s="159" t="s">
        <v>340</v>
      </c>
      <c r="F202" s="6" t="s">
        <v>359</v>
      </c>
      <c r="G202" s="165" t="s">
        <v>825</v>
      </c>
      <c r="H202" s="115" t="s">
        <v>590</v>
      </c>
      <c r="I202" s="118" t="s">
        <v>20</v>
      </c>
      <c r="J202" s="125">
        <v>2</v>
      </c>
      <c r="K202" s="125"/>
      <c r="L202" s="123">
        <v>126</v>
      </c>
      <c r="M202" s="161">
        <f t="shared" si="33"/>
        <v>0</v>
      </c>
      <c r="N202" s="161">
        <f t="shared" si="34"/>
        <v>252</v>
      </c>
      <c r="O202" s="161">
        <f t="shared" si="35"/>
        <v>252</v>
      </c>
    </row>
    <row r="203" spans="1:15" ht="25.5" x14ac:dyDescent="0.2">
      <c r="A203" s="6" t="s">
        <v>360</v>
      </c>
      <c r="B203" s="159" t="s">
        <v>149</v>
      </c>
      <c r="C203" s="159" t="s">
        <v>210</v>
      </c>
      <c r="D203" s="159" t="s">
        <v>202</v>
      </c>
      <c r="E203" s="159" t="s">
        <v>340</v>
      </c>
      <c r="F203" s="6" t="s">
        <v>360</v>
      </c>
      <c r="G203" s="165" t="s">
        <v>826</v>
      </c>
      <c r="H203" s="115" t="s">
        <v>827</v>
      </c>
      <c r="I203" s="118" t="s">
        <v>20</v>
      </c>
      <c r="J203" s="125">
        <v>2</v>
      </c>
      <c r="K203" s="125"/>
      <c r="L203" s="123">
        <v>56</v>
      </c>
      <c r="M203" s="161">
        <f t="shared" si="33"/>
        <v>0</v>
      </c>
      <c r="N203" s="161">
        <f t="shared" si="34"/>
        <v>112</v>
      </c>
      <c r="O203" s="161">
        <f t="shared" si="35"/>
        <v>112</v>
      </c>
    </row>
    <row r="204" spans="1:15" x14ac:dyDescent="0.2">
      <c r="A204" s="6" t="s">
        <v>361</v>
      </c>
      <c r="B204" s="159" t="s">
        <v>149</v>
      </c>
      <c r="C204" s="159" t="s">
        <v>210</v>
      </c>
      <c r="D204" s="159" t="s">
        <v>202</v>
      </c>
      <c r="E204" s="159" t="s">
        <v>340</v>
      </c>
      <c r="F204" s="6" t="s">
        <v>361</v>
      </c>
      <c r="G204" s="165" t="s">
        <v>828</v>
      </c>
      <c r="H204" s="178" t="s">
        <v>584</v>
      </c>
      <c r="I204" s="118" t="s">
        <v>20</v>
      </c>
      <c r="J204" s="125">
        <v>4</v>
      </c>
      <c r="K204" s="125"/>
      <c r="L204" s="123">
        <v>86</v>
      </c>
      <c r="M204" s="161">
        <f t="shared" si="33"/>
        <v>0</v>
      </c>
      <c r="N204" s="161">
        <f t="shared" si="34"/>
        <v>344</v>
      </c>
      <c r="O204" s="161">
        <f t="shared" si="35"/>
        <v>344</v>
      </c>
    </row>
    <row r="205" spans="1:15" x14ac:dyDescent="0.2">
      <c r="A205" s="6" t="s">
        <v>362</v>
      </c>
      <c r="B205" s="159" t="s">
        <v>149</v>
      </c>
      <c r="C205" s="159" t="s">
        <v>210</v>
      </c>
      <c r="D205" s="159" t="s">
        <v>202</v>
      </c>
      <c r="E205" s="159" t="s">
        <v>340</v>
      </c>
      <c r="F205" s="6" t="s">
        <v>362</v>
      </c>
      <c r="G205" s="165" t="s">
        <v>829</v>
      </c>
      <c r="H205" s="115" t="s">
        <v>584</v>
      </c>
      <c r="I205" s="118" t="s">
        <v>20</v>
      </c>
      <c r="J205" s="125">
        <v>10</v>
      </c>
      <c r="K205" s="125"/>
      <c r="L205" s="123">
        <v>102</v>
      </c>
      <c r="M205" s="161">
        <f t="shared" si="33"/>
        <v>0</v>
      </c>
      <c r="N205" s="161">
        <f t="shared" si="34"/>
        <v>1020</v>
      </c>
      <c r="O205" s="161">
        <f t="shared" si="35"/>
        <v>1020</v>
      </c>
    </row>
    <row r="206" spans="1:15" x14ac:dyDescent="0.2">
      <c r="A206" s="6" t="s">
        <v>363</v>
      </c>
      <c r="B206" s="159" t="s">
        <v>149</v>
      </c>
      <c r="C206" s="159" t="s">
        <v>210</v>
      </c>
      <c r="D206" s="159" t="s">
        <v>202</v>
      </c>
      <c r="E206" s="159" t="s">
        <v>340</v>
      </c>
      <c r="F206" s="6" t="s">
        <v>363</v>
      </c>
      <c r="G206" s="165" t="s">
        <v>830</v>
      </c>
      <c r="H206" s="178" t="s">
        <v>584</v>
      </c>
      <c r="I206" s="118" t="s">
        <v>20</v>
      </c>
      <c r="J206" s="125">
        <v>4</v>
      </c>
      <c r="K206" s="125"/>
      <c r="L206" s="123">
        <v>127</v>
      </c>
      <c r="M206" s="161">
        <f t="shared" si="33"/>
        <v>0</v>
      </c>
      <c r="N206" s="161">
        <f t="shared" si="34"/>
        <v>508</v>
      </c>
      <c r="O206" s="161">
        <f t="shared" si="35"/>
        <v>508</v>
      </c>
    </row>
    <row r="207" spans="1:15" x14ac:dyDescent="0.2">
      <c r="A207" s="6" t="s">
        <v>364</v>
      </c>
      <c r="B207" s="159" t="s">
        <v>149</v>
      </c>
      <c r="C207" s="159" t="s">
        <v>210</v>
      </c>
      <c r="D207" s="159" t="s">
        <v>202</v>
      </c>
      <c r="E207" s="159" t="s">
        <v>340</v>
      </c>
      <c r="F207" s="6" t="s">
        <v>364</v>
      </c>
      <c r="G207" s="165" t="s">
        <v>831</v>
      </c>
      <c r="H207" s="178" t="s">
        <v>585</v>
      </c>
      <c r="I207" s="118" t="s">
        <v>20</v>
      </c>
      <c r="J207" s="125">
        <v>2</v>
      </c>
      <c r="K207" s="125"/>
      <c r="L207" s="123">
        <v>274</v>
      </c>
      <c r="M207" s="161">
        <f t="shared" si="33"/>
        <v>0</v>
      </c>
      <c r="N207" s="161">
        <f t="shared" si="34"/>
        <v>548</v>
      </c>
      <c r="O207" s="161">
        <f t="shared" si="35"/>
        <v>548</v>
      </c>
    </row>
    <row r="208" spans="1:15" x14ac:dyDescent="0.2">
      <c r="A208" s="6" t="s">
        <v>365</v>
      </c>
      <c r="B208" s="159" t="s">
        <v>149</v>
      </c>
      <c r="C208" s="159" t="s">
        <v>210</v>
      </c>
      <c r="D208" s="159" t="s">
        <v>202</v>
      </c>
      <c r="E208" s="159" t="s">
        <v>340</v>
      </c>
      <c r="F208" s="6" t="s">
        <v>365</v>
      </c>
      <c r="G208" s="165" t="s">
        <v>832</v>
      </c>
      <c r="H208" s="115" t="s">
        <v>585</v>
      </c>
      <c r="I208" s="118" t="s">
        <v>20</v>
      </c>
      <c r="J208" s="125">
        <v>10</v>
      </c>
      <c r="K208" s="125"/>
      <c r="L208" s="123">
        <v>233</v>
      </c>
      <c r="M208" s="161">
        <f t="shared" si="33"/>
        <v>0</v>
      </c>
      <c r="N208" s="161">
        <f t="shared" si="34"/>
        <v>2330</v>
      </c>
      <c r="O208" s="161">
        <f t="shared" si="35"/>
        <v>2330</v>
      </c>
    </row>
    <row r="209" spans="1:15" x14ac:dyDescent="0.2">
      <c r="A209" s="6" t="s">
        <v>366</v>
      </c>
      <c r="B209" s="159" t="s">
        <v>149</v>
      </c>
      <c r="C209" s="159" t="s">
        <v>210</v>
      </c>
      <c r="D209" s="159" t="s">
        <v>202</v>
      </c>
      <c r="E209" s="159" t="s">
        <v>340</v>
      </c>
      <c r="F209" s="6" t="s">
        <v>366</v>
      </c>
      <c r="G209" s="165" t="s">
        <v>833</v>
      </c>
      <c r="H209" s="115" t="s">
        <v>584</v>
      </c>
      <c r="I209" s="118" t="s">
        <v>20</v>
      </c>
      <c r="J209" s="125">
        <v>100</v>
      </c>
      <c r="K209" s="125"/>
      <c r="L209" s="123">
        <v>36</v>
      </c>
      <c r="M209" s="161">
        <f t="shared" si="33"/>
        <v>0</v>
      </c>
      <c r="N209" s="161">
        <f t="shared" si="34"/>
        <v>3600</v>
      </c>
      <c r="O209" s="161">
        <f t="shared" si="35"/>
        <v>3600</v>
      </c>
    </row>
    <row r="210" spans="1:15" x14ac:dyDescent="0.2">
      <c r="A210" s="6" t="s">
        <v>367</v>
      </c>
      <c r="B210" s="159" t="s">
        <v>149</v>
      </c>
      <c r="C210" s="159" t="s">
        <v>210</v>
      </c>
      <c r="D210" s="159" t="s">
        <v>202</v>
      </c>
      <c r="E210" s="159" t="s">
        <v>340</v>
      </c>
      <c r="F210" s="6" t="s">
        <v>367</v>
      </c>
      <c r="G210" s="164" t="s">
        <v>834</v>
      </c>
      <c r="H210" s="115" t="s">
        <v>584</v>
      </c>
      <c r="I210" s="118" t="s">
        <v>20</v>
      </c>
      <c r="J210" s="125">
        <v>2</v>
      </c>
      <c r="K210" s="125"/>
      <c r="L210" s="123">
        <v>59</v>
      </c>
      <c r="M210" s="161">
        <f t="shared" si="33"/>
        <v>0</v>
      </c>
      <c r="N210" s="161">
        <f t="shared" si="34"/>
        <v>118</v>
      </c>
      <c r="O210" s="161">
        <f t="shared" si="35"/>
        <v>118</v>
      </c>
    </row>
    <row r="211" spans="1:15" x14ac:dyDescent="0.2">
      <c r="A211" s="6" t="s">
        <v>368</v>
      </c>
      <c r="B211" s="159" t="s">
        <v>149</v>
      </c>
      <c r="C211" s="159" t="s">
        <v>210</v>
      </c>
      <c r="D211" s="159" t="s">
        <v>202</v>
      </c>
      <c r="E211" s="159" t="s">
        <v>340</v>
      </c>
      <c r="F211" s="6" t="s">
        <v>368</v>
      </c>
      <c r="G211" s="165" t="s">
        <v>835</v>
      </c>
      <c r="H211" s="115" t="s">
        <v>579</v>
      </c>
      <c r="I211" s="118" t="s">
        <v>20</v>
      </c>
      <c r="J211" s="125">
        <v>8</v>
      </c>
      <c r="K211" s="125"/>
      <c r="L211" s="123">
        <v>38</v>
      </c>
      <c r="M211" s="161">
        <f t="shared" si="33"/>
        <v>0</v>
      </c>
      <c r="N211" s="161">
        <f t="shared" si="34"/>
        <v>304</v>
      </c>
      <c r="O211" s="161">
        <f t="shared" si="35"/>
        <v>304</v>
      </c>
    </row>
    <row r="212" spans="1:15" x14ac:dyDescent="0.2">
      <c r="A212" s="6" t="s">
        <v>369</v>
      </c>
      <c r="B212" s="159" t="s">
        <v>149</v>
      </c>
      <c r="C212" s="159" t="s">
        <v>210</v>
      </c>
      <c r="D212" s="159" t="s">
        <v>202</v>
      </c>
      <c r="E212" s="159" t="s">
        <v>340</v>
      </c>
      <c r="F212" s="6" t="s">
        <v>369</v>
      </c>
      <c r="G212" s="165" t="s">
        <v>836</v>
      </c>
      <c r="H212" s="115" t="s">
        <v>586</v>
      </c>
      <c r="I212" s="118" t="s">
        <v>20</v>
      </c>
      <c r="J212" s="125">
        <v>1</v>
      </c>
      <c r="K212" s="125"/>
      <c r="L212" s="123">
        <v>89</v>
      </c>
      <c r="M212" s="161">
        <f t="shared" si="33"/>
        <v>0</v>
      </c>
      <c r="N212" s="161">
        <f t="shared" si="34"/>
        <v>89</v>
      </c>
      <c r="O212" s="161">
        <f t="shared" si="35"/>
        <v>89</v>
      </c>
    </row>
    <row r="213" spans="1:15" x14ac:dyDescent="0.2">
      <c r="A213" s="6" t="s">
        <v>370</v>
      </c>
      <c r="B213" s="159" t="s">
        <v>149</v>
      </c>
      <c r="C213" s="159" t="s">
        <v>210</v>
      </c>
      <c r="D213" s="159" t="s">
        <v>202</v>
      </c>
      <c r="E213" s="159" t="s">
        <v>340</v>
      </c>
      <c r="F213" s="6" t="s">
        <v>370</v>
      </c>
      <c r="G213" s="165" t="s">
        <v>837</v>
      </c>
      <c r="H213" s="115" t="s">
        <v>586</v>
      </c>
      <c r="I213" s="118" t="s">
        <v>20</v>
      </c>
      <c r="J213" s="125">
        <v>8</v>
      </c>
      <c r="K213" s="125"/>
      <c r="L213" s="123">
        <v>104</v>
      </c>
      <c r="M213" s="161">
        <f t="shared" si="33"/>
        <v>0</v>
      </c>
      <c r="N213" s="161">
        <f t="shared" si="34"/>
        <v>832</v>
      </c>
      <c r="O213" s="161">
        <f t="shared" si="35"/>
        <v>832</v>
      </c>
    </row>
    <row r="214" spans="1:15" x14ac:dyDescent="0.2">
      <c r="A214" s="6" t="s">
        <v>371</v>
      </c>
      <c r="B214" s="159" t="s">
        <v>149</v>
      </c>
      <c r="C214" s="159" t="s">
        <v>210</v>
      </c>
      <c r="D214" s="159" t="s">
        <v>202</v>
      </c>
      <c r="E214" s="159" t="s">
        <v>340</v>
      </c>
      <c r="F214" s="6" t="s">
        <v>371</v>
      </c>
      <c r="G214" s="165" t="s">
        <v>838</v>
      </c>
      <c r="H214" s="115" t="s">
        <v>838</v>
      </c>
      <c r="I214" s="118" t="s">
        <v>20</v>
      </c>
      <c r="J214" s="125">
        <v>1</v>
      </c>
      <c r="K214" s="125"/>
      <c r="L214" s="123">
        <v>6400</v>
      </c>
      <c r="M214" s="161">
        <f t="shared" si="33"/>
        <v>0</v>
      </c>
      <c r="N214" s="161">
        <f t="shared" si="34"/>
        <v>6400</v>
      </c>
      <c r="O214" s="161">
        <f t="shared" si="35"/>
        <v>6400</v>
      </c>
    </row>
    <row r="215" spans="1:15" x14ac:dyDescent="0.2">
      <c r="A215" s="6" t="s">
        <v>372</v>
      </c>
      <c r="B215" s="159" t="s">
        <v>149</v>
      </c>
      <c r="C215" s="159" t="s">
        <v>210</v>
      </c>
      <c r="D215" s="159" t="s">
        <v>202</v>
      </c>
      <c r="E215" s="159" t="s">
        <v>340</v>
      </c>
      <c r="F215" s="6" t="s">
        <v>372</v>
      </c>
      <c r="G215" s="165" t="s">
        <v>839</v>
      </c>
      <c r="H215" s="115" t="s">
        <v>840</v>
      </c>
      <c r="I215" s="118" t="s">
        <v>20</v>
      </c>
      <c r="J215" s="125">
        <v>2</v>
      </c>
      <c r="K215" s="125"/>
      <c r="L215" s="123">
        <v>139</v>
      </c>
      <c r="M215" s="161">
        <f t="shared" si="33"/>
        <v>0</v>
      </c>
      <c r="N215" s="161">
        <f t="shared" si="34"/>
        <v>278</v>
      </c>
      <c r="O215" s="161">
        <f t="shared" si="35"/>
        <v>278</v>
      </c>
    </row>
    <row r="216" spans="1:15" x14ac:dyDescent="0.2">
      <c r="A216" s="6" t="s">
        <v>373</v>
      </c>
      <c r="B216" s="159" t="s">
        <v>149</v>
      </c>
      <c r="C216" s="159" t="s">
        <v>210</v>
      </c>
      <c r="D216" s="159" t="s">
        <v>202</v>
      </c>
      <c r="E216" s="159" t="s">
        <v>340</v>
      </c>
      <c r="F216" s="6" t="s">
        <v>373</v>
      </c>
      <c r="G216" s="165" t="s">
        <v>841</v>
      </c>
      <c r="H216" s="115" t="s">
        <v>842</v>
      </c>
      <c r="I216" s="118" t="s">
        <v>20</v>
      </c>
      <c r="J216" s="125">
        <v>6</v>
      </c>
      <c r="K216" s="125"/>
      <c r="L216" s="123">
        <v>69</v>
      </c>
      <c r="M216" s="161">
        <f t="shared" si="33"/>
        <v>0</v>
      </c>
      <c r="N216" s="161">
        <f t="shared" si="34"/>
        <v>414</v>
      </c>
      <c r="O216" s="161">
        <f t="shared" si="35"/>
        <v>414</v>
      </c>
    </row>
    <row r="217" spans="1:15" x14ac:dyDescent="0.2">
      <c r="A217" s="6" t="s">
        <v>374</v>
      </c>
      <c r="B217" s="159" t="s">
        <v>149</v>
      </c>
      <c r="C217" s="159" t="s">
        <v>210</v>
      </c>
      <c r="D217" s="159" t="s">
        <v>202</v>
      </c>
      <c r="E217" s="159" t="s">
        <v>340</v>
      </c>
      <c r="F217" s="6" t="s">
        <v>374</v>
      </c>
      <c r="G217" s="165" t="s">
        <v>843</v>
      </c>
      <c r="H217" s="115" t="s">
        <v>580</v>
      </c>
      <c r="I217" s="118" t="s">
        <v>20</v>
      </c>
      <c r="J217" s="125">
        <v>2</v>
      </c>
      <c r="K217" s="125"/>
      <c r="L217" s="123">
        <v>125</v>
      </c>
      <c r="M217" s="161">
        <f t="shared" si="33"/>
        <v>0</v>
      </c>
      <c r="N217" s="161">
        <f t="shared" si="34"/>
        <v>250</v>
      </c>
      <c r="O217" s="161">
        <f t="shared" si="35"/>
        <v>250</v>
      </c>
    </row>
    <row r="218" spans="1:15" x14ac:dyDescent="0.2">
      <c r="A218" s="6" t="s">
        <v>375</v>
      </c>
      <c r="B218" s="159" t="s">
        <v>149</v>
      </c>
      <c r="C218" s="159" t="s">
        <v>210</v>
      </c>
      <c r="D218" s="159" t="s">
        <v>202</v>
      </c>
      <c r="E218" s="159" t="s">
        <v>340</v>
      </c>
      <c r="F218" s="6" t="s">
        <v>375</v>
      </c>
      <c r="G218" s="165" t="s">
        <v>844</v>
      </c>
      <c r="H218" s="115" t="s">
        <v>580</v>
      </c>
      <c r="I218" s="118" t="s">
        <v>20</v>
      </c>
      <c r="J218" s="125">
        <v>1</v>
      </c>
      <c r="K218" s="125"/>
      <c r="L218" s="123">
        <v>87</v>
      </c>
      <c r="M218" s="161">
        <f t="shared" si="33"/>
        <v>0</v>
      </c>
      <c r="N218" s="161">
        <f t="shared" si="34"/>
        <v>87</v>
      </c>
      <c r="O218" s="161">
        <f t="shared" si="35"/>
        <v>87</v>
      </c>
    </row>
    <row r="219" spans="1:15" x14ac:dyDescent="0.2">
      <c r="A219" s="6" t="s">
        <v>376</v>
      </c>
      <c r="B219" s="159" t="s">
        <v>149</v>
      </c>
      <c r="C219" s="159" t="s">
        <v>210</v>
      </c>
      <c r="D219" s="159" t="s">
        <v>202</v>
      </c>
      <c r="E219" s="159" t="s">
        <v>340</v>
      </c>
      <c r="F219" s="6" t="s">
        <v>376</v>
      </c>
      <c r="G219" s="165" t="s">
        <v>845</v>
      </c>
      <c r="H219" s="115" t="s">
        <v>580</v>
      </c>
      <c r="I219" s="118" t="s">
        <v>20</v>
      </c>
      <c r="J219" s="125">
        <v>2</v>
      </c>
      <c r="K219" s="125"/>
      <c r="L219" s="123">
        <v>61</v>
      </c>
      <c r="M219" s="161">
        <f t="shared" si="33"/>
        <v>0</v>
      </c>
      <c r="N219" s="161">
        <f t="shared" si="34"/>
        <v>122</v>
      </c>
      <c r="O219" s="161">
        <f t="shared" si="35"/>
        <v>122</v>
      </c>
    </row>
    <row r="220" spans="1:15" x14ac:dyDescent="0.2">
      <c r="A220" s="6" t="s">
        <v>377</v>
      </c>
      <c r="B220" s="159" t="s">
        <v>149</v>
      </c>
      <c r="C220" s="159" t="s">
        <v>210</v>
      </c>
      <c r="D220" s="159" t="s">
        <v>202</v>
      </c>
      <c r="E220" s="159" t="s">
        <v>340</v>
      </c>
      <c r="F220" s="6" t="s">
        <v>377</v>
      </c>
      <c r="G220" s="165" t="s">
        <v>846</v>
      </c>
      <c r="H220" s="115" t="s">
        <v>600</v>
      </c>
      <c r="I220" s="118" t="s">
        <v>20</v>
      </c>
      <c r="J220" s="125">
        <v>3</v>
      </c>
      <c r="K220" s="125"/>
      <c r="L220" s="123">
        <v>540</v>
      </c>
      <c r="M220" s="161">
        <f t="shared" si="33"/>
        <v>0</v>
      </c>
      <c r="N220" s="161">
        <f t="shared" si="34"/>
        <v>1620</v>
      </c>
      <c r="O220" s="161">
        <f t="shared" si="35"/>
        <v>1620</v>
      </c>
    </row>
    <row r="221" spans="1:15" x14ac:dyDescent="0.2">
      <c r="A221" s="6" t="s">
        <v>378</v>
      </c>
      <c r="B221" s="159" t="s">
        <v>149</v>
      </c>
      <c r="C221" s="159" t="s">
        <v>210</v>
      </c>
      <c r="D221" s="159" t="s">
        <v>202</v>
      </c>
      <c r="E221" s="159" t="s">
        <v>340</v>
      </c>
      <c r="F221" s="6" t="s">
        <v>378</v>
      </c>
      <c r="G221" s="165" t="s">
        <v>847</v>
      </c>
      <c r="H221" s="163" t="s">
        <v>600</v>
      </c>
      <c r="I221" s="118" t="s">
        <v>20</v>
      </c>
      <c r="J221" s="125">
        <v>2</v>
      </c>
      <c r="K221" s="125"/>
      <c r="L221" s="123">
        <v>243</v>
      </c>
      <c r="M221" s="161">
        <f t="shared" si="33"/>
        <v>0</v>
      </c>
      <c r="N221" s="161">
        <f t="shared" si="34"/>
        <v>486</v>
      </c>
      <c r="O221" s="161">
        <f t="shared" si="35"/>
        <v>486</v>
      </c>
    </row>
    <row r="222" spans="1:15" x14ac:dyDescent="0.2">
      <c r="A222" s="6" t="s">
        <v>379</v>
      </c>
      <c r="B222" s="159" t="s">
        <v>149</v>
      </c>
      <c r="C222" s="159" t="s">
        <v>210</v>
      </c>
      <c r="D222" s="159" t="s">
        <v>202</v>
      </c>
      <c r="E222" s="159" t="s">
        <v>340</v>
      </c>
      <c r="F222" s="6" t="s">
        <v>379</v>
      </c>
      <c r="G222" s="165" t="s">
        <v>848</v>
      </c>
      <c r="H222" s="115" t="s">
        <v>849</v>
      </c>
      <c r="I222" s="118" t="s">
        <v>20</v>
      </c>
      <c r="J222" s="125">
        <v>8</v>
      </c>
      <c r="K222" s="125"/>
      <c r="L222" s="123">
        <v>324</v>
      </c>
      <c r="M222" s="161">
        <f t="shared" si="33"/>
        <v>0</v>
      </c>
      <c r="N222" s="161">
        <f t="shared" si="34"/>
        <v>2592</v>
      </c>
      <c r="O222" s="161">
        <f t="shared" si="35"/>
        <v>2592</v>
      </c>
    </row>
    <row r="223" spans="1:15" x14ac:dyDescent="0.2">
      <c r="A223" s="6" t="s">
        <v>380</v>
      </c>
      <c r="B223" s="159" t="s">
        <v>149</v>
      </c>
      <c r="C223" s="159" t="s">
        <v>210</v>
      </c>
      <c r="D223" s="159" t="s">
        <v>202</v>
      </c>
      <c r="E223" s="159" t="s">
        <v>340</v>
      </c>
      <c r="F223" s="6" t="s">
        <v>380</v>
      </c>
      <c r="G223" s="165" t="s">
        <v>850</v>
      </c>
      <c r="H223" s="115" t="s">
        <v>583</v>
      </c>
      <c r="I223" s="118" t="s">
        <v>20</v>
      </c>
      <c r="J223" s="125">
        <v>8</v>
      </c>
      <c r="K223" s="125"/>
      <c r="L223" s="123">
        <v>39</v>
      </c>
      <c r="M223" s="161">
        <f t="shared" si="33"/>
        <v>0</v>
      </c>
      <c r="N223" s="161">
        <f t="shared" si="34"/>
        <v>312</v>
      </c>
      <c r="O223" s="161">
        <f t="shared" si="35"/>
        <v>312</v>
      </c>
    </row>
    <row r="224" spans="1:15" x14ac:dyDescent="0.2">
      <c r="A224" s="6" t="s">
        <v>381</v>
      </c>
      <c r="B224" s="159" t="s">
        <v>149</v>
      </c>
      <c r="C224" s="159" t="s">
        <v>210</v>
      </c>
      <c r="D224" s="159" t="s">
        <v>202</v>
      </c>
      <c r="E224" s="159" t="s">
        <v>340</v>
      </c>
      <c r="F224" s="6" t="s">
        <v>381</v>
      </c>
      <c r="G224" s="165" t="s">
        <v>851</v>
      </c>
      <c r="H224" s="115" t="s">
        <v>583</v>
      </c>
      <c r="I224" s="118" t="s">
        <v>20</v>
      </c>
      <c r="J224" s="125">
        <v>1</v>
      </c>
      <c r="K224" s="125"/>
      <c r="L224" s="123">
        <v>43</v>
      </c>
      <c r="M224" s="161">
        <f t="shared" si="33"/>
        <v>0</v>
      </c>
      <c r="N224" s="161">
        <f t="shared" si="34"/>
        <v>43</v>
      </c>
      <c r="O224" s="161">
        <f t="shared" si="35"/>
        <v>43</v>
      </c>
    </row>
    <row r="225" spans="1:15" x14ac:dyDescent="0.2">
      <c r="A225" s="6" t="s">
        <v>382</v>
      </c>
      <c r="B225" s="159" t="s">
        <v>149</v>
      </c>
      <c r="C225" s="159" t="s">
        <v>210</v>
      </c>
      <c r="D225" s="159" t="s">
        <v>202</v>
      </c>
      <c r="E225" s="159" t="s">
        <v>340</v>
      </c>
      <c r="F225" s="6" t="s">
        <v>382</v>
      </c>
      <c r="G225" s="165" t="s">
        <v>852</v>
      </c>
      <c r="H225" s="163" t="s">
        <v>582</v>
      </c>
      <c r="I225" s="118" t="s">
        <v>20</v>
      </c>
      <c r="J225" s="125">
        <v>2</v>
      </c>
      <c r="K225" s="125"/>
      <c r="L225" s="123">
        <v>587</v>
      </c>
      <c r="M225" s="161">
        <f t="shared" si="33"/>
        <v>0</v>
      </c>
      <c r="N225" s="161">
        <f t="shared" si="34"/>
        <v>1174</v>
      </c>
      <c r="O225" s="161">
        <f t="shared" si="35"/>
        <v>1174</v>
      </c>
    </row>
    <row r="226" spans="1:15" x14ac:dyDescent="0.2">
      <c r="A226" s="6" t="s">
        <v>383</v>
      </c>
      <c r="B226" s="159" t="s">
        <v>149</v>
      </c>
      <c r="C226" s="159" t="s">
        <v>210</v>
      </c>
      <c r="D226" s="159" t="s">
        <v>202</v>
      </c>
      <c r="E226" s="159" t="s">
        <v>340</v>
      </c>
      <c r="F226" s="6" t="s">
        <v>383</v>
      </c>
      <c r="G226" s="165" t="s">
        <v>853</v>
      </c>
      <c r="H226" s="115" t="s">
        <v>582</v>
      </c>
      <c r="I226" s="118" t="s">
        <v>20</v>
      </c>
      <c r="J226" s="125">
        <v>4</v>
      </c>
      <c r="K226" s="125"/>
      <c r="L226" s="123">
        <v>970</v>
      </c>
      <c r="M226" s="161">
        <f t="shared" si="33"/>
        <v>0</v>
      </c>
      <c r="N226" s="161">
        <f t="shared" si="34"/>
        <v>3880</v>
      </c>
      <c r="O226" s="161">
        <f t="shared" si="35"/>
        <v>3880</v>
      </c>
    </row>
    <row r="227" spans="1:15" x14ac:dyDescent="0.2">
      <c r="A227" s="6" t="s">
        <v>384</v>
      </c>
      <c r="B227" s="159" t="s">
        <v>149</v>
      </c>
      <c r="C227" s="159" t="s">
        <v>210</v>
      </c>
      <c r="D227" s="159" t="s">
        <v>202</v>
      </c>
      <c r="E227" s="159" t="s">
        <v>340</v>
      </c>
      <c r="F227" s="6" t="s">
        <v>384</v>
      </c>
      <c r="G227" s="165" t="s">
        <v>854</v>
      </c>
      <c r="H227" s="163" t="s">
        <v>582</v>
      </c>
      <c r="I227" s="118" t="s">
        <v>855</v>
      </c>
      <c r="J227" s="125">
        <v>50</v>
      </c>
      <c r="K227" s="125"/>
      <c r="L227" s="123">
        <v>56</v>
      </c>
      <c r="M227" s="161">
        <f t="shared" si="33"/>
        <v>0</v>
      </c>
      <c r="N227" s="161">
        <f t="shared" si="34"/>
        <v>2800</v>
      </c>
      <c r="O227" s="161">
        <f t="shared" si="35"/>
        <v>2800</v>
      </c>
    </row>
    <row r="228" spans="1:15" x14ac:dyDescent="0.2">
      <c r="A228" s="6" t="s">
        <v>385</v>
      </c>
      <c r="B228" s="159" t="s">
        <v>149</v>
      </c>
      <c r="C228" s="159" t="s">
        <v>210</v>
      </c>
      <c r="D228" s="159" t="s">
        <v>202</v>
      </c>
      <c r="E228" s="159" t="s">
        <v>340</v>
      </c>
      <c r="F228" s="6" t="s">
        <v>385</v>
      </c>
      <c r="G228" s="165" t="s">
        <v>856</v>
      </c>
      <c r="H228" s="163" t="s">
        <v>582</v>
      </c>
      <c r="I228" s="118" t="s">
        <v>20</v>
      </c>
      <c r="J228" s="125">
        <v>4</v>
      </c>
      <c r="K228" s="125"/>
      <c r="L228" s="123">
        <v>109</v>
      </c>
      <c r="M228" s="161">
        <f t="shared" si="33"/>
        <v>0</v>
      </c>
      <c r="N228" s="161">
        <f t="shared" si="34"/>
        <v>436</v>
      </c>
      <c r="O228" s="161">
        <f t="shared" si="35"/>
        <v>436</v>
      </c>
    </row>
    <row r="229" spans="1:15" x14ac:dyDescent="0.2">
      <c r="A229" s="6" t="s">
        <v>386</v>
      </c>
      <c r="B229" s="159" t="s">
        <v>149</v>
      </c>
      <c r="C229" s="159" t="s">
        <v>210</v>
      </c>
      <c r="D229" s="159" t="s">
        <v>202</v>
      </c>
      <c r="E229" s="159" t="s">
        <v>340</v>
      </c>
      <c r="F229" s="6" t="s">
        <v>386</v>
      </c>
      <c r="G229" s="165" t="s">
        <v>857</v>
      </c>
      <c r="H229" s="115" t="s">
        <v>582</v>
      </c>
      <c r="I229" s="118" t="s">
        <v>20</v>
      </c>
      <c r="J229" s="125">
        <v>3</v>
      </c>
      <c r="K229" s="125"/>
      <c r="L229" s="123">
        <v>204</v>
      </c>
      <c r="M229" s="161">
        <f t="shared" si="33"/>
        <v>0</v>
      </c>
      <c r="N229" s="161">
        <f t="shared" si="34"/>
        <v>612</v>
      </c>
      <c r="O229" s="161">
        <f t="shared" si="35"/>
        <v>612</v>
      </c>
    </row>
    <row r="230" spans="1:15" x14ac:dyDescent="0.2">
      <c r="A230" s="114"/>
      <c r="B230" s="159" t="s">
        <v>149</v>
      </c>
      <c r="C230" s="159" t="s">
        <v>210</v>
      </c>
      <c r="D230" s="159" t="s">
        <v>202</v>
      </c>
      <c r="E230" s="159" t="s">
        <v>340</v>
      </c>
      <c r="F230" s="6" t="s">
        <v>387</v>
      </c>
      <c r="G230" s="165" t="s">
        <v>858</v>
      </c>
      <c r="H230" s="115" t="s">
        <v>582</v>
      </c>
      <c r="I230" s="128" t="s">
        <v>303</v>
      </c>
      <c r="J230" s="130">
        <v>50</v>
      </c>
      <c r="K230" s="130"/>
      <c r="L230" s="144">
        <v>54</v>
      </c>
      <c r="M230" s="161">
        <f t="shared" si="33"/>
        <v>0</v>
      </c>
      <c r="N230" s="161">
        <f t="shared" si="34"/>
        <v>2700</v>
      </c>
      <c r="O230" s="161">
        <f t="shared" si="35"/>
        <v>2700</v>
      </c>
    </row>
    <row r="231" spans="1:15" x14ac:dyDescent="0.2">
      <c r="A231" s="114"/>
      <c r="B231" s="159" t="s">
        <v>149</v>
      </c>
      <c r="C231" s="159" t="s">
        <v>210</v>
      </c>
      <c r="D231" s="159" t="s">
        <v>202</v>
      </c>
      <c r="E231" s="159" t="s">
        <v>340</v>
      </c>
      <c r="F231" s="6" t="s">
        <v>388</v>
      </c>
      <c r="G231" s="165" t="s">
        <v>859</v>
      </c>
      <c r="H231" s="115" t="s">
        <v>859</v>
      </c>
      <c r="I231" s="128" t="s">
        <v>20</v>
      </c>
      <c r="J231" s="130">
        <v>2</v>
      </c>
      <c r="K231" s="130"/>
      <c r="L231" s="144">
        <v>1040</v>
      </c>
      <c r="M231" s="161">
        <f t="shared" si="33"/>
        <v>0</v>
      </c>
      <c r="N231" s="161">
        <f t="shared" si="34"/>
        <v>2080</v>
      </c>
      <c r="O231" s="161">
        <f t="shared" si="35"/>
        <v>2080</v>
      </c>
    </row>
    <row r="232" spans="1:15" x14ac:dyDescent="0.2">
      <c r="A232" s="114"/>
      <c r="B232" s="159" t="s">
        <v>149</v>
      </c>
      <c r="C232" s="159" t="s">
        <v>210</v>
      </c>
      <c r="D232" s="159" t="s">
        <v>202</v>
      </c>
      <c r="E232" s="159" t="s">
        <v>340</v>
      </c>
      <c r="F232" s="6" t="s">
        <v>893</v>
      </c>
      <c r="G232" s="165" t="s">
        <v>860</v>
      </c>
      <c r="H232" s="115" t="s">
        <v>599</v>
      </c>
      <c r="I232" s="128" t="s">
        <v>20</v>
      </c>
      <c r="J232" s="130">
        <v>2</v>
      </c>
      <c r="K232" s="130"/>
      <c r="L232" s="144">
        <v>3960</v>
      </c>
      <c r="M232" s="161">
        <f t="shared" si="33"/>
        <v>0</v>
      </c>
      <c r="N232" s="161">
        <f t="shared" si="34"/>
        <v>7920</v>
      </c>
      <c r="O232" s="161">
        <f t="shared" si="35"/>
        <v>7920</v>
      </c>
    </row>
    <row r="233" spans="1:15" x14ac:dyDescent="0.2">
      <c r="A233" s="114"/>
      <c r="B233" s="159" t="s">
        <v>149</v>
      </c>
      <c r="C233" s="159" t="s">
        <v>210</v>
      </c>
      <c r="D233" s="159" t="s">
        <v>202</v>
      </c>
      <c r="E233" s="159" t="s">
        <v>340</v>
      </c>
      <c r="F233" s="6" t="s">
        <v>894</v>
      </c>
      <c r="G233" s="165" t="s">
        <v>861</v>
      </c>
      <c r="H233" s="115" t="s">
        <v>862</v>
      </c>
      <c r="I233" s="128" t="s">
        <v>20</v>
      </c>
      <c r="J233" s="130">
        <v>30</v>
      </c>
      <c r="K233" s="130"/>
      <c r="L233" s="144">
        <v>56</v>
      </c>
      <c r="M233" s="161">
        <f t="shared" si="33"/>
        <v>0</v>
      </c>
      <c r="N233" s="161">
        <f t="shared" si="34"/>
        <v>1680</v>
      </c>
      <c r="O233" s="161">
        <f t="shared" si="35"/>
        <v>1680</v>
      </c>
    </row>
    <row r="234" spans="1:15" x14ac:dyDescent="0.2">
      <c r="A234" s="114"/>
      <c r="B234" s="159" t="s">
        <v>149</v>
      </c>
      <c r="C234" s="159" t="s">
        <v>210</v>
      </c>
      <c r="D234" s="159" t="s">
        <v>202</v>
      </c>
      <c r="E234" s="159" t="s">
        <v>340</v>
      </c>
      <c r="F234" s="6" t="s">
        <v>895</v>
      </c>
      <c r="G234" s="165" t="s">
        <v>863</v>
      </c>
      <c r="H234" s="115" t="s">
        <v>581</v>
      </c>
      <c r="I234" s="128" t="s">
        <v>20</v>
      </c>
      <c r="J234" s="130">
        <v>2</v>
      </c>
      <c r="K234" s="130"/>
      <c r="L234" s="144">
        <v>187</v>
      </c>
      <c r="M234" s="161">
        <f t="shared" si="33"/>
        <v>0</v>
      </c>
      <c r="N234" s="161">
        <f t="shared" si="34"/>
        <v>374</v>
      </c>
      <c r="O234" s="161">
        <f t="shared" si="35"/>
        <v>374</v>
      </c>
    </row>
    <row r="235" spans="1:15" x14ac:dyDescent="0.2">
      <c r="A235" s="114"/>
      <c r="B235" s="159" t="s">
        <v>149</v>
      </c>
      <c r="C235" s="159" t="s">
        <v>210</v>
      </c>
      <c r="D235" s="159" t="s">
        <v>202</v>
      </c>
      <c r="E235" s="159" t="s">
        <v>340</v>
      </c>
      <c r="F235" s="6" t="s">
        <v>896</v>
      </c>
      <c r="G235" s="165" t="s">
        <v>864</v>
      </c>
      <c r="H235" s="115" t="s">
        <v>865</v>
      </c>
      <c r="I235" s="128" t="s">
        <v>20</v>
      </c>
      <c r="J235" s="130">
        <v>1</v>
      </c>
      <c r="K235" s="130"/>
      <c r="L235" s="144">
        <v>4900</v>
      </c>
      <c r="M235" s="161">
        <f t="shared" si="33"/>
        <v>0</v>
      </c>
      <c r="N235" s="161">
        <f t="shared" si="34"/>
        <v>4900</v>
      </c>
      <c r="O235" s="161">
        <f t="shared" si="35"/>
        <v>4900</v>
      </c>
    </row>
    <row r="236" spans="1:15" x14ac:dyDescent="0.2">
      <c r="A236" s="114"/>
      <c r="B236" s="159" t="s">
        <v>149</v>
      </c>
      <c r="C236" s="159" t="s">
        <v>210</v>
      </c>
      <c r="D236" s="159" t="s">
        <v>202</v>
      </c>
      <c r="E236" s="159" t="s">
        <v>340</v>
      </c>
      <c r="F236" s="6" t="s">
        <v>897</v>
      </c>
      <c r="G236" s="165" t="s">
        <v>866</v>
      </c>
      <c r="H236" s="115" t="s">
        <v>827</v>
      </c>
      <c r="I236" s="128" t="s">
        <v>20</v>
      </c>
      <c r="J236" s="130">
        <v>2</v>
      </c>
      <c r="K236" s="130"/>
      <c r="L236" s="144">
        <v>129</v>
      </c>
      <c r="M236" s="161">
        <f t="shared" si="33"/>
        <v>0</v>
      </c>
      <c r="N236" s="161">
        <f t="shared" si="34"/>
        <v>258</v>
      </c>
      <c r="O236" s="161">
        <f t="shared" si="35"/>
        <v>258</v>
      </c>
    </row>
    <row r="237" spans="1:15" x14ac:dyDescent="0.2">
      <c r="A237" s="114"/>
      <c r="B237" s="159" t="s">
        <v>149</v>
      </c>
      <c r="C237" s="159" t="s">
        <v>210</v>
      </c>
      <c r="D237" s="159" t="s">
        <v>202</v>
      </c>
      <c r="E237" s="159" t="s">
        <v>340</v>
      </c>
      <c r="F237" s="6" t="s">
        <v>898</v>
      </c>
      <c r="G237" s="165" t="s">
        <v>867</v>
      </c>
      <c r="H237" s="115" t="s">
        <v>840</v>
      </c>
      <c r="I237" s="128" t="s">
        <v>20</v>
      </c>
      <c r="J237" s="130">
        <v>12</v>
      </c>
      <c r="K237" s="130"/>
      <c r="L237" s="144">
        <v>163</v>
      </c>
      <c r="M237" s="161">
        <f t="shared" si="33"/>
        <v>0</v>
      </c>
      <c r="N237" s="161">
        <f t="shared" si="34"/>
        <v>1956</v>
      </c>
      <c r="O237" s="161">
        <f t="shared" si="35"/>
        <v>1956</v>
      </c>
    </row>
    <row r="238" spans="1:15" x14ac:dyDescent="0.2">
      <c r="A238" s="114"/>
      <c r="B238" s="159" t="s">
        <v>149</v>
      </c>
      <c r="C238" s="159" t="s">
        <v>210</v>
      </c>
      <c r="D238" s="159" t="s">
        <v>202</v>
      </c>
      <c r="E238" s="159" t="s">
        <v>340</v>
      </c>
      <c r="F238" s="6" t="s">
        <v>899</v>
      </c>
      <c r="G238" s="165" t="s">
        <v>868</v>
      </c>
      <c r="H238" s="115" t="s">
        <v>580</v>
      </c>
      <c r="I238" s="128" t="s">
        <v>20</v>
      </c>
      <c r="J238" s="130">
        <v>2</v>
      </c>
      <c r="K238" s="130"/>
      <c r="L238" s="144">
        <v>99</v>
      </c>
      <c r="M238" s="161">
        <f t="shared" si="33"/>
        <v>0</v>
      </c>
      <c r="N238" s="161">
        <f t="shared" si="34"/>
        <v>198</v>
      </c>
      <c r="O238" s="161">
        <f t="shared" si="35"/>
        <v>198</v>
      </c>
    </row>
    <row r="239" spans="1:15" x14ac:dyDescent="0.2">
      <c r="A239" s="114"/>
      <c r="B239" s="159" t="s">
        <v>149</v>
      </c>
      <c r="C239" s="159" t="s">
        <v>210</v>
      </c>
      <c r="D239" s="159" t="s">
        <v>202</v>
      </c>
      <c r="E239" s="159" t="s">
        <v>340</v>
      </c>
      <c r="F239" s="6" t="s">
        <v>900</v>
      </c>
      <c r="G239" s="165" t="s">
        <v>869</v>
      </c>
      <c r="H239" s="115" t="s">
        <v>820</v>
      </c>
      <c r="I239" s="128" t="s">
        <v>20</v>
      </c>
      <c r="J239" s="130">
        <v>3</v>
      </c>
      <c r="K239" s="130"/>
      <c r="L239" s="144">
        <v>89</v>
      </c>
      <c r="M239" s="161">
        <f t="shared" si="33"/>
        <v>0</v>
      </c>
      <c r="N239" s="161">
        <f t="shared" si="34"/>
        <v>267</v>
      </c>
      <c r="O239" s="161">
        <f t="shared" si="35"/>
        <v>267</v>
      </c>
    </row>
    <row r="240" spans="1:15" x14ac:dyDescent="0.2">
      <c r="A240" s="114"/>
      <c r="B240" s="159" t="s">
        <v>149</v>
      </c>
      <c r="C240" s="159" t="s">
        <v>210</v>
      </c>
      <c r="D240" s="159" t="s">
        <v>202</v>
      </c>
      <c r="E240" s="159" t="s">
        <v>340</v>
      </c>
      <c r="F240" s="6" t="s">
        <v>901</v>
      </c>
      <c r="G240" s="165" t="s">
        <v>870</v>
      </c>
      <c r="H240" s="115" t="s">
        <v>820</v>
      </c>
      <c r="I240" s="128" t="s">
        <v>20</v>
      </c>
      <c r="J240" s="130">
        <v>3</v>
      </c>
      <c r="K240" s="130"/>
      <c r="L240" s="144">
        <v>104</v>
      </c>
      <c r="M240" s="161">
        <f t="shared" si="33"/>
        <v>0</v>
      </c>
      <c r="N240" s="161">
        <f t="shared" si="34"/>
        <v>312</v>
      </c>
      <c r="O240" s="161">
        <f t="shared" si="35"/>
        <v>312</v>
      </c>
    </row>
    <row r="241" spans="1:15" x14ac:dyDescent="0.2">
      <c r="A241" s="114"/>
      <c r="B241" s="159" t="s">
        <v>149</v>
      </c>
      <c r="C241" s="159" t="s">
        <v>210</v>
      </c>
      <c r="D241" s="159" t="s">
        <v>202</v>
      </c>
      <c r="E241" s="159" t="s">
        <v>340</v>
      </c>
      <c r="F241" s="6" t="s">
        <v>902</v>
      </c>
      <c r="G241" s="165" t="s">
        <v>871</v>
      </c>
      <c r="H241" s="115" t="s">
        <v>824</v>
      </c>
      <c r="I241" s="128" t="s">
        <v>20</v>
      </c>
      <c r="J241" s="130">
        <v>1</v>
      </c>
      <c r="K241" s="130"/>
      <c r="L241" s="144">
        <v>127</v>
      </c>
      <c r="M241" s="161">
        <f t="shared" si="33"/>
        <v>0</v>
      </c>
      <c r="N241" s="161">
        <f t="shared" si="34"/>
        <v>127</v>
      </c>
      <c r="O241" s="161">
        <f t="shared" si="35"/>
        <v>127</v>
      </c>
    </row>
    <row r="242" spans="1:15" x14ac:dyDescent="0.2">
      <c r="A242" s="114"/>
      <c r="B242" s="159" t="s">
        <v>149</v>
      </c>
      <c r="C242" s="159" t="s">
        <v>210</v>
      </c>
      <c r="D242" s="159" t="s">
        <v>202</v>
      </c>
      <c r="E242" s="159" t="s">
        <v>340</v>
      </c>
      <c r="F242" s="6" t="s">
        <v>903</v>
      </c>
      <c r="G242" s="165" t="s">
        <v>872</v>
      </c>
      <c r="H242" s="115" t="s">
        <v>873</v>
      </c>
      <c r="I242" s="128" t="s">
        <v>20</v>
      </c>
      <c r="J242" s="130">
        <v>2</v>
      </c>
      <c r="K242" s="130"/>
      <c r="L242" s="144">
        <v>135</v>
      </c>
      <c r="M242" s="161">
        <f t="shared" si="33"/>
        <v>0</v>
      </c>
      <c r="N242" s="161">
        <f t="shared" si="34"/>
        <v>270</v>
      </c>
      <c r="O242" s="161">
        <f t="shared" si="35"/>
        <v>270</v>
      </c>
    </row>
    <row r="243" spans="1:15" x14ac:dyDescent="0.2">
      <c r="A243" s="114"/>
      <c r="B243" s="159" t="s">
        <v>149</v>
      </c>
      <c r="C243" s="159" t="s">
        <v>210</v>
      </c>
      <c r="D243" s="159" t="s">
        <v>202</v>
      </c>
      <c r="E243" s="159" t="s">
        <v>340</v>
      </c>
      <c r="F243" s="6" t="s">
        <v>904</v>
      </c>
      <c r="G243" s="165" t="s">
        <v>874</v>
      </c>
      <c r="H243" s="115" t="s">
        <v>862</v>
      </c>
      <c r="I243" s="128" t="s">
        <v>20</v>
      </c>
      <c r="J243" s="130">
        <v>67</v>
      </c>
      <c r="K243" s="130"/>
      <c r="L243" s="144">
        <v>98</v>
      </c>
      <c r="M243" s="161">
        <f t="shared" si="33"/>
        <v>0</v>
      </c>
      <c r="N243" s="161">
        <f t="shared" si="34"/>
        <v>6566</v>
      </c>
      <c r="O243" s="161">
        <f t="shared" si="35"/>
        <v>6566</v>
      </c>
    </row>
    <row r="244" spans="1:15" x14ac:dyDescent="0.2">
      <c r="A244" s="114"/>
      <c r="B244" s="159" t="s">
        <v>149</v>
      </c>
      <c r="C244" s="159" t="s">
        <v>210</v>
      </c>
      <c r="D244" s="159" t="s">
        <v>202</v>
      </c>
      <c r="E244" s="159" t="s">
        <v>340</v>
      </c>
      <c r="F244" s="6" t="s">
        <v>905</v>
      </c>
      <c r="G244" s="165" t="s">
        <v>875</v>
      </c>
      <c r="H244" s="115" t="s">
        <v>876</v>
      </c>
      <c r="I244" s="128" t="s">
        <v>20</v>
      </c>
      <c r="J244" s="130">
        <v>1</v>
      </c>
      <c r="K244" s="130"/>
      <c r="L244" s="144">
        <v>104</v>
      </c>
      <c r="M244" s="161">
        <f t="shared" si="33"/>
        <v>0</v>
      </c>
      <c r="N244" s="161">
        <f t="shared" si="34"/>
        <v>104</v>
      </c>
      <c r="O244" s="161">
        <f t="shared" si="35"/>
        <v>104</v>
      </c>
    </row>
    <row r="245" spans="1:15" x14ac:dyDescent="0.2">
      <c r="A245" s="114"/>
      <c r="B245" s="159" t="s">
        <v>149</v>
      </c>
      <c r="C245" s="159" t="s">
        <v>210</v>
      </c>
      <c r="D245" s="159" t="s">
        <v>202</v>
      </c>
      <c r="E245" s="159" t="s">
        <v>340</v>
      </c>
      <c r="F245" s="6" t="s">
        <v>906</v>
      </c>
      <c r="G245" s="165" t="s">
        <v>877</v>
      </c>
      <c r="H245" s="115" t="s">
        <v>580</v>
      </c>
      <c r="I245" s="128" t="s">
        <v>20</v>
      </c>
      <c r="J245" s="130">
        <v>2</v>
      </c>
      <c r="K245" s="130"/>
      <c r="L245" s="144">
        <v>111</v>
      </c>
      <c r="M245" s="161">
        <f t="shared" si="33"/>
        <v>0</v>
      </c>
      <c r="N245" s="161">
        <f t="shared" si="34"/>
        <v>222</v>
      </c>
      <c r="O245" s="161">
        <f t="shared" si="35"/>
        <v>222</v>
      </c>
    </row>
    <row r="246" spans="1:15" x14ac:dyDescent="0.2">
      <c r="A246" s="114"/>
      <c r="B246" s="159" t="s">
        <v>149</v>
      </c>
      <c r="C246" s="159" t="s">
        <v>210</v>
      </c>
      <c r="D246" s="159" t="s">
        <v>202</v>
      </c>
      <c r="E246" s="159" t="s">
        <v>340</v>
      </c>
      <c r="F246" s="6" t="s">
        <v>907</v>
      </c>
      <c r="G246" s="165" t="s">
        <v>878</v>
      </c>
      <c r="H246" s="115" t="s">
        <v>859</v>
      </c>
      <c r="I246" s="128" t="s">
        <v>20</v>
      </c>
      <c r="J246" s="130">
        <v>2</v>
      </c>
      <c r="K246" s="130"/>
      <c r="L246" s="144">
        <v>1174</v>
      </c>
      <c r="M246" s="161">
        <f t="shared" si="33"/>
        <v>0</v>
      </c>
      <c r="N246" s="161">
        <f t="shared" si="34"/>
        <v>2348</v>
      </c>
      <c r="O246" s="161">
        <f t="shared" si="35"/>
        <v>2348</v>
      </c>
    </row>
    <row r="247" spans="1:15" x14ac:dyDescent="0.2">
      <c r="A247" s="114"/>
      <c r="B247" s="159" t="s">
        <v>149</v>
      </c>
      <c r="C247" s="159" t="s">
        <v>210</v>
      </c>
      <c r="D247" s="159" t="s">
        <v>202</v>
      </c>
      <c r="E247" s="159" t="s">
        <v>340</v>
      </c>
      <c r="F247" s="6" t="s">
        <v>908</v>
      </c>
      <c r="G247" s="165" t="s">
        <v>879</v>
      </c>
      <c r="H247" s="115" t="s">
        <v>584</v>
      </c>
      <c r="I247" s="128" t="s">
        <v>20</v>
      </c>
      <c r="J247" s="130">
        <v>2</v>
      </c>
      <c r="K247" s="130"/>
      <c r="L247" s="144">
        <v>53</v>
      </c>
      <c r="M247" s="161">
        <f t="shared" si="33"/>
        <v>0</v>
      </c>
      <c r="N247" s="161">
        <f t="shared" si="34"/>
        <v>106</v>
      </c>
      <c r="O247" s="161">
        <f t="shared" si="35"/>
        <v>106</v>
      </c>
    </row>
    <row r="248" spans="1:15" x14ac:dyDescent="0.2">
      <c r="A248" s="114"/>
      <c r="B248" s="159" t="s">
        <v>149</v>
      </c>
      <c r="C248" s="159" t="s">
        <v>210</v>
      </c>
      <c r="D248" s="159" t="s">
        <v>202</v>
      </c>
      <c r="E248" s="159" t="s">
        <v>340</v>
      </c>
      <c r="F248" s="6" t="s">
        <v>909</v>
      </c>
      <c r="G248" s="165" t="s">
        <v>880</v>
      </c>
      <c r="H248" s="115" t="s">
        <v>880</v>
      </c>
      <c r="I248" s="128" t="s">
        <v>20</v>
      </c>
      <c r="J248" s="130">
        <v>6</v>
      </c>
      <c r="K248" s="130"/>
      <c r="L248" s="144">
        <v>403</v>
      </c>
      <c r="M248" s="161">
        <f t="shared" si="33"/>
        <v>0</v>
      </c>
      <c r="N248" s="161">
        <f t="shared" si="34"/>
        <v>2418</v>
      </c>
      <c r="O248" s="161">
        <f t="shared" si="35"/>
        <v>2418</v>
      </c>
    </row>
    <row r="249" spans="1:15" x14ac:dyDescent="0.2">
      <c r="A249" s="114"/>
      <c r="B249" s="159" t="s">
        <v>149</v>
      </c>
      <c r="C249" s="159" t="s">
        <v>210</v>
      </c>
      <c r="D249" s="159" t="s">
        <v>202</v>
      </c>
      <c r="E249" s="159" t="s">
        <v>340</v>
      </c>
      <c r="F249" s="6" t="s">
        <v>910</v>
      </c>
      <c r="G249" s="165" t="s">
        <v>881</v>
      </c>
      <c r="H249" s="115" t="s">
        <v>582</v>
      </c>
      <c r="I249" s="128" t="s">
        <v>20</v>
      </c>
      <c r="J249" s="130">
        <v>4</v>
      </c>
      <c r="K249" s="130"/>
      <c r="L249" s="144">
        <v>442</v>
      </c>
      <c r="M249" s="161">
        <f t="shared" si="33"/>
        <v>0</v>
      </c>
      <c r="N249" s="161">
        <f t="shared" si="34"/>
        <v>1768</v>
      </c>
      <c r="O249" s="161">
        <f t="shared" si="35"/>
        <v>1768</v>
      </c>
    </row>
    <row r="250" spans="1:15" x14ac:dyDescent="0.2">
      <c r="A250" s="114"/>
      <c r="B250" s="159" t="s">
        <v>149</v>
      </c>
      <c r="C250" s="159" t="s">
        <v>210</v>
      </c>
      <c r="D250" s="159" t="s">
        <v>202</v>
      </c>
      <c r="E250" s="159" t="s">
        <v>340</v>
      </c>
      <c r="F250" s="6" t="s">
        <v>911</v>
      </c>
      <c r="G250" s="165" t="s">
        <v>882</v>
      </c>
      <c r="H250" s="115" t="s">
        <v>883</v>
      </c>
      <c r="I250" s="128" t="s">
        <v>20</v>
      </c>
      <c r="J250" s="130">
        <v>2</v>
      </c>
      <c r="K250" s="130"/>
      <c r="L250" s="144">
        <v>495</v>
      </c>
      <c r="M250" s="161">
        <f t="shared" si="33"/>
        <v>0</v>
      </c>
      <c r="N250" s="161">
        <f t="shared" si="34"/>
        <v>990</v>
      </c>
      <c r="O250" s="161">
        <f t="shared" si="35"/>
        <v>990</v>
      </c>
    </row>
    <row r="251" spans="1:15" x14ac:dyDescent="0.2">
      <c r="A251" s="114"/>
      <c r="B251" s="159" t="s">
        <v>149</v>
      </c>
      <c r="C251" s="159" t="s">
        <v>210</v>
      </c>
      <c r="D251" s="159" t="s">
        <v>202</v>
      </c>
      <c r="E251" s="159" t="s">
        <v>340</v>
      </c>
      <c r="F251" s="6" t="s">
        <v>912</v>
      </c>
      <c r="G251" s="165" t="s">
        <v>884</v>
      </c>
      <c r="H251" s="115" t="s">
        <v>883</v>
      </c>
      <c r="I251" s="128" t="s">
        <v>20</v>
      </c>
      <c r="J251" s="130">
        <v>2</v>
      </c>
      <c r="K251" s="130"/>
      <c r="L251" s="144">
        <v>495</v>
      </c>
      <c r="M251" s="161">
        <f t="shared" si="33"/>
        <v>0</v>
      </c>
      <c r="N251" s="161">
        <f t="shared" si="34"/>
        <v>990</v>
      </c>
      <c r="O251" s="161">
        <f t="shared" si="35"/>
        <v>990</v>
      </c>
    </row>
    <row r="252" spans="1:15" x14ac:dyDescent="0.2">
      <c r="A252" s="114"/>
      <c r="B252" s="159" t="s">
        <v>149</v>
      </c>
      <c r="C252" s="159" t="s">
        <v>210</v>
      </c>
      <c r="D252" s="159" t="s">
        <v>202</v>
      </c>
      <c r="E252" s="159" t="s">
        <v>340</v>
      </c>
      <c r="F252" s="6" t="s">
        <v>913</v>
      </c>
      <c r="G252" s="165" t="s">
        <v>885</v>
      </c>
      <c r="H252" s="115" t="s">
        <v>886</v>
      </c>
      <c r="I252" s="128" t="s">
        <v>20</v>
      </c>
      <c r="J252" s="130">
        <v>4</v>
      </c>
      <c r="K252" s="130"/>
      <c r="L252" s="144">
        <v>211</v>
      </c>
      <c r="M252" s="161">
        <f t="shared" si="33"/>
        <v>0</v>
      </c>
      <c r="N252" s="161">
        <f t="shared" si="34"/>
        <v>844</v>
      </c>
      <c r="O252" s="161">
        <f t="shared" si="35"/>
        <v>844</v>
      </c>
    </row>
    <row r="253" spans="1:15" x14ac:dyDescent="0.2">
      <c r="A253" s="114"/>
      <c r="B253" s="159" t="s">
        <v>149</v>
      </c>
      <c r="C253" s="159" t="s">
        <v>210</v>
      </c>
      <c r="D253" s="159" t="s">
        <v>202</v>
      </c>
      <c r="E253" s="159" t="s">
        <v>340</v>
      </c>
      <c r="F253" s="6" t="s">
        <v>914</v>
      </c>
      <c r="G253" s="165" t="s">
        <v>887</v>
      </c>
      <c r="H253" s="115" t="s">
        <v>584</v>
      </c>
      <c r="I253" s="128" t="s">
        <v>20</v>
      </c>
      <c r="J253" s="130">
        <v>38</v>
      </c>
      <c r="K253" s="130"/>
      <c r="L253" s="144">
        <v>123</v>
      </c>
      <c r="M253" s="161">
        <f t="shared" si="33"/>
        <v>0</v>
      </c>
      <c r="N253" s="161">
        <f t="shared" si="34"/>
        <v>4674</v>
      </c>
      <c r="O253" s="161">
        <f t="shared" si="35"/>
        <v>4674</v>
      </c>
    </row>
    <row r="254" spans="1:15" x14ac:dyDescent="0.2">
      <c r="A254" s="114"/>
      <c r="B254" s="159" t="s">
        <v>149</v>
      </c>
      <c r="C254" s="159" t="s">
        <v>210</v>
      </c>
      <c r="D254" s="159" t="s">
        <v>202</v>
      </c>
      <c r="E254" s="159" t="s">
        <v>340</v>
      </c>
      <c r="F254" s="6" t="s">
        <v>915</v>
      </c>
      <c r="G254" s="165" t="s">
        <v>888</v>
      </c>
      <c r="H254" s="115" t="s">
        <v>584</v>
      </c>
      <c r="I254" s="128" t="s">
        <v>20</v>
      </c>
      <c r="J254" s="130">
        <v>8</v>
      </c>
      <c r="K254" s="130"/>
      <c r="L254" s="144">
        <v>97</v>
      </c>
      <c r="M254" s="161">
        <f t="shared" ref="M254:M257" si="36">J254*K254</f>
        <v>0</v>
      </c>
      <c r="N254" s="161">
        <f t="shared" ref="N254:N257" si="37">J254*L254</f>
        <v>776</v>
      </c>
      <c r="O254" s="161">
        <f t="shared" ref="O254:O257" si="38">N254+M254</f>
        <v>776</v>
      </c>
    </row>
    <row r="255" spans="1:15" x14ac:dyDescent="0.2">
      <c r="A255" s="114"/>
      <c r="B255" s="159" t="s">
        <v>149</v>
      </c>
      <c r="C255" s="159" t="s">
        <v>210</v>
      </c>
      <c r="D255" s="159" t="s">
        <v>202</v>
      </c>
      <c r="E255" s="159" t="s">
        <v>340</v>
      </c>
      <c r="F255" s="6" t="s">
        <v>916</v>
      </c>
      <c r="G255" s="165" t="s">
        <v>889</v>
      </c>
      <c r="H255" s="115" t="s">
        <v>890</v>
      </c>
      <c r="I255" s="128" t="s">
        <v>20</v>
      </c>
      <c r="J255" s="130">
        <v>6</v>
      </c>
      <c r="K255" s="130"/>
      <c r="L255" s="144">
        <v>193.81</v>
      </c>
      <c r="M255" s="161">
        <f t="shared" si="36"/>
        <v>0</v>
      </c>
      <c r="N255" s="161">
        <f t="shared" si="37"/>
        <v>1162.8600000000001</v>
      </c>
      <c r="O255" s="161">
        <f t="shared" si="38"/>
        <v>1162.8600000000001</v>
      </c>
    </row>
    <row r="256" spans="1:15" x14ac:dyDescent="0.2">
      <c r="A256" s="114"/>
      <c r="B256" s="159" t="s">
        <v>149</v>
      </c>
      <c r="C256" s="159" t="s">
        <v>210</v>
      </c>
      <c r="D256" s="159" t="s">
        <v>202</v>
      </c>
      <c r="E256" s="159" t="s">
        <v>340</v>
      </c>
      <c r="F256" s="6" t="s">
        <v>917</v>
      </c>
      <c r="G256" s="165" t="s">
        <v>891</v>
      </c>
      <c r="H256" s="115" t="s">
        <v>582</v>
      </c>
      <c r="I256" s="128" t="s">
        <v>20</v>
      </c>
      <c r="J256" s="130">
        <v>6</v>
      </c>
      <c r="K256" s="130"/>
      <c r="L256" s="144">
        <v>820</v>
      </c>
      <c r="M256" s="161">
        <f t="shared" si="36"/>
        <v>0</v>
      </c>
      <c r="N256" s="161">
        <f t="shared" si="37"/>
        <v>4920</v>
      </c>
      <c r="O256" s="161">
        <f t="shared" si="38"/>
        <v>4920</v>
      </c>
    </row>
    <row r="257" spans="1:17" ht="15.75" x14ac:dyDescent="0.25">
      <c r="A257" s="114"/>
      <c r="B257" s="159" t="s">
        <v>149</v>
      </c>
      <c r="C257" s="159" t="s">
        <v>210</v>
      </c>
      <c r="D257" s="159" t="s">
        <v>202</v>
      </c>
      <c r="E257" s="159" t="s">
        <v>340</v>
      </c>
      <c r="F257" s="6" t="s">
        <v>918</v>
      </c>
      <c r="G257" s="165" t="s">
        <v>892</v>
      </c>
      <c r="H257" s="115" t="s">
        <v>590</v>
      </c>
      <c r="I257" s="128" t="s">
        <v>20</v>
      </c>
      <c r="J257" s="130">
        <v>4</v>
      </c>
      <c r="K257" s="130"/>
      <c r="L257" s="144">
        <v>740</v>
      </c>
      <c r="M257" s="161">
        <f t="shared" si="36"/>
        <v>0</v>
      </c>
      <c r="N257" s="161">
        <f t="shared" si="37"/>
        <v>2960</v>
      </c>
      <c r="O257" s="161">
        <f t="shared" si="38"/>
        <v>2960</v>
      </c>
      <c r="P257" s="217"/>
      <c r="Q257" s="156" t="s">
        <v>956</v>
      </c>
    </row>
    <row r="258" spans="1:17" x14ac:dyDescent="0.2">
      <c r="A258" s="173" t="s">
        <v>389</v>
      </c>
      <c r="B258" s="173"/>
      <c r="C258" s="173"/>
      <c r="D258" s="173"/>
      <c r="E258" s="173"/>
      <c r="F258" s="173" t="s">
        <v>389</v>
      </c>
      <c r="G258" s="2" t="s">
        <v>518</v>
      </c>
      <c r="H258" s="147"/>
      <c r="I258" s="126"/>
      <c r="J258" s="126"/>
      <c r="K258" s="126"/>
      <c r="L258" s="126"/>
      <c r="M258" s="126">
        <f t="shared" ref="M258" si="39">J258*K258</f>
        <v>0</v>
      </c>
      <c r="N258" s="126">
        <f>J258*L258</f>
        <v>0</v>
      </c>
      <c r="O258" s="126">
        <f t="shared" ref="O258:O263" si="40">N258+M258</f>
        <v>0</v>
      </c>
    </row>
    <row r="259" spans="1:17" x14ac:dyDescent="0.2">
      <c r="A259" s="4" t="s">
        <v>390</v>
      </c>
      <c r="B259" s="159"/>
      <c r="C259" s="159"/>
      <c r="D259" s="159"/>
      <c r="E259" s="159"/>
      <c r="F259" s="4" t="s">
        <v>390</v>
      </c>
      <c r="G259" s="5" t="s">
        <v>10</v>
      </c>
      <c r="H259" s="115"/>
      <c r="I259" s="118"/>
      <c r="J259" s="118"/>
      <c r="K259" s="125"/>
      <c r="L259" s="123"/>
      <c r="M259" s="161"/>
      <c r="N259" s="161"/>
      <c r="O259" s="161"/>
    </row>
    <row r="260" spans="1:17" x14ac:dyDescent="0.2">
      <c r="A260" s="6" t="s">
        <v>391</v>
      </c>
      <c r="B260" s="159" t="s">
        <v>193</v>
      </c>
      <c r="C260" s="159" t="s">
        <v>200</v>
      </c>
      <c r="D260" s="159" t="s">
        <v>202</v>
      </c>
      <c r="E260" s="159" t="s">
        <v>445</v>
      </c>
      <c r="F260" s="6" t="s">
        <v>391</v>
      </c>
      <c r="G260" s="160" t="s">
        <v>486</v>
      </c>
      <c r="H260" s="115"/>
      <c r="I260" s="118" t="s">
        <v>201</v>
      </c>
      <c r="J260" s="122"/>
      <c r="K260" s="125">
        <v>200</v>
      </c>
      <c r="L260" s="123"/>
      <c r="M260" s="161">
        <f>J260*K260</f>
        <v>0</v>
      </c>
      <c r="N260" s="161">
        <f t="shared" ref="N260:N263" si="41">J260*L260</f>
        <v>0</v>
      </c>
      <c r="O260" s="161">
        <f t="shared" si="40"/>
        <v>0</v>
      </c>
    </row>
    <row r="261" spans="1:17" x14ac:dyDescent="0.2">
      <c r="A261" s="6" t="s">
        <v>392</v>
      </c>
      <c r="B261" s="159" t="s">
        <v>193</v>
      </c>
      <c r="C261" s="159" t="s">
        <v>200</v>
      </c>
      <c r="D261" s="159" t="s">
        <v>202</v>
      </c>
      <c r="E261" s="159" t="s">
        <v>445</v>
      </c>
      <c r="F261" s="6" t="s">
        <v>392</v>
      </c>
      <c r="G261" s="160" t="s">
        <v>487</v>
      </c>
      <c r="H261" s="115"/>
      <c r="I261" s="118" t="s">
        <v>201</v>
      </c>
      <c r="J261" s="122"/>
      <c r="K261" s="125">
        <v>200</v>
      </c>
      <c r="L261" s="123"/>
      <c r="M261" s="161">
        <f>J261*K261</f>
        <v>0</v>
      </c>
      <c r="N261" s="161">
        <f t="shared" si="41"/>
        <v>0</v>
      </c>
      <c r="O261" s="161">
        <f t="shared" si="40"/>
        <v>0</v>
      </c>
    </row>
    <row r="262" spans="1:17" x14ac:dyDescent="0.2">
      <c r="A262" s="6" t="s">
        <v>393</v>
      </c>
      <c r="B262" s="159" t="s">
        <v>193</v>
      </c>
      <c r="C262" s="159" t="s">
        <v>200</v>
      </c>
      <c r="D262" s="159" t="s">
        <v>202</v>
      </c>
      <c r="E262" s="159" t="s">
        <v>445</v>
      </c>
      <c r="F262" s="6" t="s">
        <v>393</v>
      </c>
      <c r="G262" s="160" t="s">
        <v>488</v>
      </c>
      <c r="H262" s="115"/>
      <c r="I262" s="118" t="s">
        <v>20</v>
      </c>
      <c r="J262" s="122">
        <v>5</v>
      </c>
      <c r="K262" s="125">
        <v>7000</v>
      </c>
      <c r="L262" s="123"/>
      <c r="M262" s="161">
        <f>J262*K262</f>
        <v>35000</v>
      </c>
      <c r="N262" s="161">
        <f t="shared" si="41"/>
        <v>0</v>
      </c>
      <c r="O262" s="161">
        <f t="shared" si="40"/>
        <v>35000</v>
      </c>
    </row>
    <row r="263" spans="1:17" x14ac:dyDescent="0.2">
      <c r="A263" s="6" t="s">
        <v>394</v>
      </c>
      <c r="B263" s="159" t="s">
        <v>193</v>
      </c>
      <c r="C263" s="159" t="s">
        <v>200</v>
      </c>
      <c r="D263" s="159" t="s">
        <v>202</v>
      </c>
      <c r="E263" s="159" t="s">
        <v>445</v>
      </c>
      <c r="F263" s="6" t="s">
        <v>394</v>
      </c>
      <c r="G263" s="160" t="s">
        <v>489</v>
      </c>
      <c r="H263" s="115"/>
      <c r="I263" s="118" t="s">
        <v>201</v>
      </c>
      <c r="J263" s="122"/>
      <c r="K263" s="125">
        <v>200</v>
      </c>
      <c r="L263" s="123"/>
      <c r="M263" s="161">
        <f>J263*K263</f>
        <v>0</v>
      </c>
      <c r="N263" s="161">
        <f t="shared" si="41"/>
        <v>0</v>
      </c>
      <c r="O263" s="161">
        <f t="shared" si="40"/>
        <v>0</v>
      </c>
    </row>
    <row r="264" spans="1:17" x14ac:dyDescent="0.2">
      <c r="A264" s="6" t="s">
        <v>503</v>
      </c>
      <c r="B264" s="159" t="s">
        <v>193</v>
      </c>
      <c r="C264" s="159" t="s">
        <v>200</v>
      </c>
      <c r="D264" s="159" t="s">
        <v>202</v>
      </c>
      <c r="E264" s="159" t="s">
        <v>445</v>
      </c>
      <c r="F264" s="6" t="s">
        <v>503</v>
      </c>
      <c r="G264" s="160" t="s">
        <v>490</v>
      </c>
      <c r="H264" s="115"/>
      <c r="I264" s="118" t="s">
        <v>201</v>
      </c>
      <c r="J264" s="122"/>
      <c r="K264" s="125">
        <v>200</v>
      </c>
      <c r="L264" s="124"/>
      <c r="M264" s="161">
        <f t="shared" ref="M264:M266" si="42">J264*K264</f>
        <v>0</v>
      </c>
      <c r="N264" s="161">
        <f t="shared" ref="N264:N266" si="43">J264*L264</f>
        <v>0</v>
      </c>
      <c r="O264" s="161">
        <f t="shared" ref="O264:O266" si="44">N264+M264</f>
        <v>0</v>
      </c>
    </row>
    <row r="265" spans="1:17" x14ac:dyDescent="0.2">
      <c r="A265" s="6" t="s">
        <v>504</v>
      </c>
      <c r="B265" s="159" t="s">
        <v>193</v>
      </c>
      <c r="C265" s="159" t="s">
        <v>200</v>
      </c>
      <c r="D265" s="159" t="s">
        <v>202</v>
      </c>
      <c r="E265" s="159" t="s">
        <v>445</v>
      </c>
      <c r="F265" s="6" t="s">
        <v>504</v>
      </c>
      <c r="G265" s="160" t="s">
        <v>491</v>
      </c>
      <c r="H265" s="115"/>
      <c r="I265" s="118" t="s">
        <v>201</v>
      </c>
      <c r="J265" s="122"/>
      <c r="K265" s="125">
        <v>200</v>
      </c>
      <c r="L265" s="124"/>
      <c r="M265" s="161">
        <f t="shared" si="42"/>
        <v>0</v>
      </c>
      <c r="N265" s="161">
        <f t="shared" si="43"/>
        <v>0</v>
      </c>
      <c r="O265" s="161">
        <f t="shared" si="44"/>
        <v>0</v>
      </c>
    </row>
    <row r="266" spans="1:17" x14ac:dyDescent="0.2">
      <c r="A266" s="6" t="s">
        <v>505</v>
      </c>
      <c r="B266" s="159" t="s">
        <v>193</v>
      </c>
      <c r="C266" s="159" t="s">
        <v>200</v>
      </c>
      <c r="D266" s="159" t="s">
        <v>202</v>
      </c>
      <c r="E266" s="159" t="s">
        <v>445</v>
      </c>
      <c r="F266" s="6" t="s">
        <v>505</v>
      </c>
      <c r="G266" s="160" t="s">
        <v>492</v>
      </c>
      <c r="H266" s="115"/>
      <c r="I266" s="118" t="s">
        <v>201</v>
      </c>
      <c r="J266" s="122"/>
      <c r="K266" s="125">
        <v>200</v>
      </c>
      <c r="L266" s="124"/>
      <c r="M266" s="161">
        <f t="shared" si="42"/>
        <v>0</v>
      </c>
      <c r="N266" s="161">
        <f t="shared" si="43"/>
        <v>0</v>
      </c>
      <c r="O266" s="161">
        <f t="shared" si="44"/>
        <v>0</v>
      </c>
    </row>
    <row r="267" spans="1:17" x14ac:dyDescent="0.2">
      <c r="A267" s="4" t="s">
        <v>395</v>
      </c>
      <c r="B267" s="159"/>
      <c r="C267" s="159"/>
      <c r="D267" s="159"/>
      <c r="E267" s="159"/>
      <c r="F267" s="4" t="s">
        <v>395</v>
      </c>
      <c r="G267" s="5" t="s">
        <v>15</v>
      </c>
      <c r="H267" s="115"/>
      <c r="I267" s="125"/>
      <c r="J267" s="125"/>
      <c r="K267" s="125"/>
      <c r="L267" s="123"/>
      <c r="M267" s="161">
        <f t="shared" ref="M267:M270" si="45">J267*K267</f>
        <v>0</v>
      </c>
      <c r="N267" s="161">
        <f t="shared" ref="N267:N270" si="46">J267*L267</f>
        <v>0</v>
      </c>
      <c r="O267" s="161">
        <f t="shared" ref="O267:O270" si="47">N267+M267</f>
        <v>0</v>
      </c>
    </row>
    <row r="268" spans="1:17" x14ac:dyDescent="0.2">
      <c r="A268" s="6" t="s">
        <v>396</v>
      </c>
      <c r="B268" s="159" t="s">
        <v>149</v>
      </c>
      <c r="C268" s="159" t="s">
        <v>210</v>
      </c>
      <c r="D268" s="159" t="s">
        <v>202</v>
      </c>
      <c r="E268" s="159" t="s">
        <v>445</v>
      </c>
      <c r="F268" s="6" t="s">
        <v>396</v>
      </c>
      <c r="G268" s="166"/>
      <c r="H268" s="115"/>
      <c r="I268" s="118"/>
      <c r="J268" s="125"/>
      <c r="K268" s="125"/>
      <c r="L268" s="123"/>
      <c r="M268" s="161">
        <f t="shared" si="45"/>
        <v>0</v>
      </c>
      <c r="N268" s="161">
        <f t="shared" si="46"/>
        <v>0</v>
      </c>
      <c r="O268" s="161">
        <f t="shared" si="47"/>
        <v>0</v>
      </c>
    </row>
    <row r="269" spans="1:17" x14ac:dyDescent="0.2">
      <c r="A269" s="6" t="s">
        <v>397</v>
      </c>
      <c r="B269" s="159" t="s">
        <v>149</v>
      </c>
      <c r="C269" s="159" t="s">
        <v>210</v>
      </c>
      <c r="D269" s="159" t="s">
        <v>202</v>
      </c>
      <c r="E269" s="159" t="s">
        <v>445</v>
      </c>
      <c r="F269" s="6" t="s">
        <v>397</v>
      </c>
      <c r="G269" s="166"/>
      <c r="H269" s="178"/>
      <c r="I269" s="118"/>
      <c r="J269" s="125"/>
      <c r="K269" s="125"/>
      <c r="L269" s="123"/>
      <c r="M269" s="161">
        <f t="shared" si="45"/>
        <v>0</v>
      </c>
      <c r="N269" s="161">
        <f t="shared" si="46"/>
        <v>0</v>
      </c>
      <c r="O269" s="161">
        <f t="shared" si="47"/>
        <v>0</v>
      </c>
    </row>
    <row r="270" spans="1:17" x14ac:dyDescent="0.2">
      <c r="A270" s="6" t="s">
        <v>398</v>
      </c>
      <c r="B270" s="159" t="s">
        <v>149</v>
      </c>
      <c r="C270" s="159" t="s">
        <v>210</v>
      </c>
      <c r="D270" s="159" t="s">
        <v>202</v>
      </c>
      <c r="E270" s="159" t="s">
        <v>445</v>
      </c>
      <c r="F270" s="6" t="s">
        <v>398</v>
      </c>
      <c r="G270" s="166"/>
      <c r="H270" s="178"/>
      <c r="I270" s="118"/>
      <c r="J270" s="125"/>
      <c r="K270" s="125"/>
      <c r="L270" s="123"/>
      <c r="M270" s="161">
        <f t="shared" si="45"/>
        <v>0</v>
      </c>
      <c r="N270" s="161">
        <f t="shared" si="46"/>
        <v>0</v>
      </c>
      <c r="O270" s="161">
        <f t="shared" si="47"/>
        <v>0</v>
      </c>
    </row>
    <row r="271" spans="1:17" x14ac:dyDescent="0.2">
      <c r="A271" s="6" t="s">
        <v>399</v>
      </c>
      <c r="B271" s="159" t="s">
        <v>149</v>
      </c>
      <c r="C271" s="159" t="s">
        <v>210</v>
      </c>
      <c r="D271" s="159" t="s">
        <v>202</v>
      </c>
      <c r="E271" s="159" t="s">
        <v>445</v>
      </c>
      <c r="F271" s="6" t="s">
        <v>399</v>
      </c>
      <c r="G271" s="166"/>
      <c r="H271" s="178"/>
      <c r="I271" s="118"/>
      <c r="J271" s="125"/>
      <c r="K271" s="125"/>
      <c r="L271" s="123"/>
      <c r="M271" s="161">
        <f t="shared" ref="M271:M273" si="48">J271*K271</f>
        <v>0</v>
      </c>
      <c r="N271" s="161">
        <f t="shared" ref="N271:N273" si="49">J271*L271</f>
        <v>0</v>
      </c>
      <c r="O271" s="161">
        <f t="shared" ref="O271:O273" si="50">N271+M271</f>
        <v>0</v>
      </c>
    </row>
    <row r="272" spans="1:17" x14ac:dyDescent="0.2">
      <c r="A272" s="6" t="s">
        <v>400</v>
      </c>
      <c r="B272" s="159" t="s">
        <v>149</v>
      </c>
      <c r="C272" s="159" t="s">
        <v>210</v>
      </c>
      <c r="D272" s="159" t="s">
        <v>202</v>
      </c>
      <c r="E272" s="159" t="s">
        <v>445</v>
      </c>
      <c r="F272" s="6" t="s">
        <v>400</v>
      </c>
      <c r="G272" s="166"/>
      <c r="H272" s="115"/>
      <c r="I272" s="118"/>
      <c r="J272" s="125"/>
      <c r="K272" s="125"/>
      <c r="L272" s="123"/>
      <c r="M272" s="161">
        <f t="shared" si="48"/>
        <v>0</v>
      </c>
      <c r="N272" s="161">
        <f t="shared" si="49"/>
        <v>0</v>
      </c>
      <c r="O272" s="161">
        <f t="shared" si="50"/>
        <v>0</v>
      </c>
    </row>
    <row r="273" spans="1:15" x14ac:dyDescent="0.2">
      <c r="A273" s="6" t="s">
        <v>401</v>
      </c>
      <c r="B273" s="159" t="s">
        <v>149</v>
      </c>
      <c r="C273" s="159" t="s">
        <v>210</v>
      </c>
      <c r="D273" s="159" t="s">
        <v>202</v>
      </c>
      <c r="E273" s="159" t="s">
        <v>445</v>
      </c>
      <c r="F273" s="6" t="s">
        <v>401</v>
      </c>
      <c r="G273" s="166"/>
      <c r="H273" s="115"/>
      <c r="I273" s="118"/>
      <c r="J273" s="125"/>
      <c r="K273" s="125"/>
      <c r="L273" s="123"/>
      <c r="M273" s="161">
        <f t="shared" si="48"/>
        <v>0</v>
      </c>
      <c r="N273" s="161">
        <f t="shared" si="49"/>
        <v>0</v>
      </c>
      <c r="O273" s="161">
        <f t="shared" si="50"/>
        <v>0</v>
      </c>
    </row>
    <row r="274" spans="1:15" x14ac:dyDescent="0.2">
      <c r="A274" s="6" t="s">
        <v>402</v>
      </c>
      <c r="B274" s="159" t="s">
        <v>149</v>
      </c>
      <c r="C274" s="159" t="s">
        <v>210</v>
      </c>
      <c r="D274" s="159" t="s">
        <v>202</v>
      </c>
      <c r="E274" s="159" t="s">
        <v>445</v>
      </c>
      <c r="F274" s="6" t="s">
        <v>402</v>
      </c>
      <c r="G274" s="166"/>
      <c r="H274" s="115"/>
      <c r="I274" s="118"/>
      <c r="J274" s="125"/>
      <c r="K274" s="125"/>
      <c r="L274" s="123"/>
      <c r="M274" s="161">
        <f t="shared" ref="M274:M276" si="51">J274*K274</f>
        <v>0</v>
      </c>
      <c r="N274" s="161">
        <f t="shared" ref="N274:N276" si="52">J274*L274</f>
        <v>0</v>
      </c>
      <c r="O274" s="161">
        <f t="shared" ref="O274:O276" si="53">N274+M274</f>
        <v>0</v>
      </c>
    </row>
    <row r="275" spans="1:15" x14ac:dyDescent="0.2">
      <c r="A275" s="6" t="s">
        <v>403</v>
      </c>
      <c r="B275" s="159" t="s">
        <v>149</v>
      </c>
      <c r="C275" s="159" t="s">
        <v>210</v>
      </c>
      <c r="D275" s="159" t="s">
        <v>202</v>
      </c>
      <c r="E275" s="159" t="s">
        <v>445</v>
      </c>
      <c r="F275" s="6" t="s">
        <v>403</v>
      </c>
      <c r="G275" s="177"/>
      <c r="H275" s="145"/>
      <c r="I275" s="118"/>
      <c r="J275" s="125"/>
      <c r="K275" s="125"/>
      <c r="L275" s="123"/>
      <c r="M275" s="161">
        <f t="shared" si="51"/>
        <v>0</v>
      </c>
      <c r="N275" s="161">
        <f t="shared" si="52"/>
        <v>0</v>
      </c>
      <c r="O275" s="161">
        <f t="shared" si="53"/>
        <v>0</v>
      </c>
    </row>
    <row r="276" spans="1:15" x14ac:dyDescent="0.2">
      <c r="A276" s="6" t="s">
        <v>404</v>
      </c>
      <c r="B276" s="159" t="s">
        <v>149</v>
      </c>
      <c r="C276" s="159" t="s">
        <v>210</v>
      </c>
      <c r="D276" s="159" t="s">
        <v>202</v>
      </c>
      <c r="E276" s="159" t="s">
        <v>445</v>
      </c>
      <c r="F276" s="6" t="s">
        <v>404</v>
      </c>
      <c r="G276" s="177"/>
      <c r="H276" s="145"/>
      <c r="I276" s="118"/>
      <c r="J276" s="125"/>
      <c r="K276" s="125"/>
      <c r="L276" s="123"/>
      <c r="M276" s="161">
        <f t="shared" si="51"/>
        <v>0</v>
      </c>
      <c r="N276" s="161">
        <f t="shared" si="52"/>
        <v>0</v>
      </c>
      <c r="O276" s="161">
        <f t="shared" si="53"/>
        <v>0</v>
      </c>
    </row>
    <row r="277" spans="1:15" x14ac:dyDescent="0.2">
      <c r="A277" s="173" t="s">
        <v>405</v>
      </c>
      <c r="B277" s="173"/>
      <c r="C277" s="173"/>
      <c r="D277" s="173"/>
      <c r="E277" s="173"/>
      <c r="F277" s="173" t="s">
        <v>405</v>
      </c>
      <c r="G277" s="2" t="s">
        <v>406</v>
      </c>
      <c r="H277" s="147" t="s">
        <v>589</v>
      </c>
      <c r="I277" s="126"/>
      <c r="J277" s="126"/>
      <c r="K277" s="126"/>
      <c r="L277" s="126"/>
      <c r="M277" s="126">
        <f t="shared" ref="M277:M278" si="54">J277*K277</f>
        <v>0</v>
      </c>
      <c r="N277" s="126">
        <f>J277*L277</f>
        <v>0</v>
      </c>
      <c r="O277" s="126">
        <f t="shared" ref="O277:O287" si="55">N277+M277</f>
        <v>0</v>
      </c>
    </row>
    <row r="278" spans="1:15" x14ac:dyDescent="0.2">
      <c r="A278" s="4" t="s">
        <v>407</v>
      </c>
      <c r="B278" s="159"/>
      <c r="C278" s="159"/>
      <c r="D278" s="159"/>
      <c r="E278" s="159"/>
      <c r="F278" s="4" t="s">
        <v>407</v>
      </c>
      <c r="G278" s="5" t="s">
        <v>10</v>
      </c>
      <c r="H278" s="115"/>
      <c r="I278" s="118"/>
      <c r="J278" s="118"/>
      <c r="K278" s="125"/>
      <c r="L278" s="123"/>
      <c r="M278" s="161">
        <f t="shared" si="54"/>
        <v>0</v>
      </c>
      <c r="N278" s="161">
        <f t="shared" ref="N278:N287" si="56">J278*L278</f>
        <v>0</v>
      </c>
      <c r="O278" s="161">
        <f t="shared" si="55"/>
        <v>0</v>
      </c>
    </row>
    <row r="279" spans="1:15" x14ac:dyDescent="0.2">
      <c r="A279" s="6" t="s">
        <v>408</v>
      </c>
      <c r="B279" s="159" t="s">
        <v>193</v>
      </c>
      <c r="C279" s="159" t="s">
        <v>200</v>
      </c>
      <c r="D279" s="159" t="s">
        <v>202</v>
      </c>
      <c r="E279" s="159" t="s">
        <v>406</v>
      </c>
      <c r="F279" s="6" t="s">
        <v>408</v>
      </c>
      <c r="G279" s="160" t="s">
        <v>493</v>
      </c>
      <c r="H279" s="115"/>
      <c r="I279" s="118" t="s">
        <v>201</v>
      </c>
      <c r="J279" s="122"/>
      <c r="K279" s="125">
        <v>350</v>
      </c>
      <c r="L279" s="123"/>
      <c r="M279" s="161">
        <f>J279*K279</f>
        <v>0</v>
      </c>
      <c r="N279" s="161">
        <f t="shared" si="56"/>
        <v>0</v>
      </c>
      <c r="O279" s="161">
        <f t="shared" si="55"/>
        <v>0</v>
      </c>
    </row>
    <row r="280" spans="1:15" x14ac:dyDescent="0.2">
      <c r="A280" s="6" t="s">
        <v>409</v>
      </c>
      <c r="B280" s="159" t="s">
        <v>193</v>
      </c>
      <c r="C280" s="159" t="s">
        <v>200</v>
      </c>
      <c r="D280" s="159" t="s">
        <v>202</v>
      </c>
      <c r="E280" s="159" t="s">
        <v>406</v>
      </c>
      <c r="F280" s="6" t="s">
        <v>409</v>
      </c>
      <c r="G280" s="160" t="s">
        <v>494</v>
      </c>
      <c r="H280" s="115"/>
      <c r="I280" s="118" t="s">
        <v>201</v>
      </c>
      <c r="J280" s="122">
        <v>120</v>
      </c>
      <c r="K280" s="125">
        <v>350</v>
      </c>
      <c r="L280" s="123"/>
      <c r="M280" s="161">
        <f t="shared" ref="M280:M286" si="57">J280*K280</f>
        <v>42000</v>
      </c>
      <c r="N280" s="161">
        <f t="shared" ref="N280:N286" si="58">J280*L280</f>
        <v>0</v>
      </c>
      <c r="O280" s="161">
        <f t="shared" ref="O280:O286" si="59">N280+M280</f>
        <v>42000</v>
      </c>
    </row>
    <row r="281" spans="1:15" x14ac:dyDescent="0.2">
      <c r="A281" s="6" t="s">
        <v>410</v>
      </c>
      <c r="B281" s="159" t="s">
        <v>193</v>
      </c>
      <c r="C281" s="159" t="s">
        <v>200</v>
      </c>
      <c r="D281" s="159" t="s">
        <v>202</v>
      </c>
      <c r="E281" s="159" t="s">
        <v>406</v>
      </c>
      <c r="F281" s="6" t="s">
        <v>410</v>
      </c>
      <c r="G281" s="160" t="s">
        <v>495</v>
      </c>
      <c r="H281" s="115"/>
      <c r="I281" s="118" t="s">
        <v>201</v>
      </c>
      <c r="J281" s="122">
        <v>443</v>
      </c>
      <c r="K281" s="125">
        <v>350</v>
      </c>
      <c r="L281" s="123"/>
      <c r="M281" s="161">
        <f t="shared" si="57"/>
        <v>155050</v>
      </c>
      <c r="N281" s="161">
        <f t="shared" si="58"/>
        <v>0</v>
      </c>
      <c r="O281" s="161">
        <f t="shared" si="59"/>
        <v>155050</v>
      </c>
    </row>
    <row r="282" spans="1:15" x14ac:dyDescent="0.2">
      <c r="A282" s="6" t="s">
        <v>411</v>
      </c>
      <c r="B282" s="159" t="s">
        <v>193</v>
      </c>
      <c r="C282" s="159" t="s">
        <v>200</v>
      </c>
      <c r="D282" s="159" t="s">
        <v>202</v>
      </c>
      <c r="E282" s="159" t="s">
        <v>406</v>
      </c>
      <c r="F282" s="6" t="s">
        <v>411</v>
      </c>
      <c r="G282" s="160" t="s">
        <v>496</v>
      </c>
      <c r="H282" s="115"/>
      <c r="I282" s="118" t="s">
        <v>201</v>
      </c>
      <c r="J282" s="122">
        <v>20</v>
      </c>
      <c r="K282" s="125">
        <v>350</v>
      </c>
      <c r="L282" s="123"/>
      <c r="M282" s="161">
        <f t="shared" si="57"/>
        <v>7000</v>
      </c>
      <c r="N282" s="161">
        <f t="shared" si="58"/>
        <v>0</v>
      </c>
      <c r="O282" s="161">
        <f t="shared" si="59"/>
        <v>7000</v>
      </c>
    </row>
    <row r="283" spans="1:15" x14ac:dyDescent="0.2">
      <c r="A283" s="6" t="s">
        <v>412</v>
      </c>
      <c r="B283" s="159" t="s">
        <v>193</v>
      </c>
      <c r="C283" s="159" t="s">
        <v>200</v>
      </c>
      <c r="D283" s="159" t="s">
        <v>202</v>
      </c>
      <c r="E283" s="159" t="s">
        <v>406</v>
      </c>
      <c r="F283" s="6" t="s">
        <v>412</v>
      </c>
      <c r="G283" s="160" t="s">
        <v>497</v>
      </c>
      <c r="H283" s="115"/>
      <c r="I283" s="118" t="s">
        <v>201</v>
      </c>
      <c r="J283" s="122">
        <f>96/3</f>
        <v>32</v>
      </c>
      <c r="K283" s="125">
        <v>350</v>
      </c>
      <c r="L283" s="123"/>
      <c r="M283" s="161">
        <f t="shared" si="57"/>
        <v>11200</v>
      </c>
      <c r="N283" s="161">
        <f t="shared" si="58"/>
        <v>0</v>
      </c>
      <c r="O283" s="161">
        <f t="shared" si="59"/>
        <v>11200</v>
      </c>
    </row>
    <row r="284" spans="1:15" x14ac:dyDescent="0.2">
      <c r="A284" s="6" t="s">
        <v>413</v>
      </c>
      <c r="B284" s="159" t="s">
        <v>193</v>
      </c>
      <c r="C284" s="159" t="s">
        <v>200</v>
      </c>
      <c r="D284" s="159" t="s">
        <v>202</v>
      </c>
      <c r="E284" s="159" t="s">
        <v>406</v>
      </c>
      <c r="F284" s="6" t="s">
        <v>413</v>
      </c>
      <c r="G284" s="160" t="s">
        <v>498</v>
      </c>
      <c r="H284" s="115"/>
      <c r="I284" s="118" t="s">
        <v>201</v>
      </c>
      <c r="J284" s="122">
        <f t="shared" ref="J284:J285" si="60">96/3</f>
        <v>32</v>
      </c>
      <c r="K284" s="125">
        <v>350</v>
      </c>
      <c r="L284" s="123"/>
      <c r="M284" s="161">
        <f t="shared" si="57"/>
        <v>11200</v>
      </c>
      <c r="N284" s="161">
        <f t="shared" si="58"/>
        <v>0</v>
      </c>
      <c r="O284" s="161">
        <f t="shared" si="59"/>
        <v>11200</v>
      </c>
    </row>
    <row r="285" spans="1:15" x14ac:dyDescent="0.2">
      <c r="A285" s="6" t="s">
        <v>414</v>
      </c>
      <c r="B285" s="159" t="s">
        <v>193</v>
      </c>
      <c r="C285" s="159" t="s">
        <v>200</v>
      </c>
      <c r="D285" s="159" t="s">
        <v>202</v>
      </c>
      <c r="E285" s="159" t="s">
        <v>406</v>
      </c>
      <c r="F285" s="6" t="s">
        <v>414</v>
      </c>
      <c r="G285" s="160" t="s">
        <v>499</v>
      </c>
      <c r="H285" s="115"/>
      <c r="I285" s="118" t="s">
        <v>201</v>
      </c>
      <c r="J285" s="122">
        <f t="shared" si="60"/>
        <v>32</v>
      </c>
      <c r="K285" s="125">
        <v>350</v>
      </c>
      <c r="L285" s="123"/>
      <c r="M285" s="161">
        <f t="shared" si="57"/>
        <v>11200</v>
      </c>
      <c r="N285" s="161">
        <f t="shared" si="58"/>
        <v>0</v>
      </c>
      <c r="O285" s="161">
        <f t="shared" si="59"/>
        <v>11200</v>
      </c>
    </row>
    <row r="286" spans="1:15" x14ac:dyDescent="0.2">
      <c r="A286" s="6" t="s">
        <v>415</v>
      </c>
      <c r="B286" s="159" t="s">
        <v>193</v>
      </c>
      <c r="C286" s="159" t="s">
        <v>200</v>
      </c>
      <c r="D286" s="159" t="s">
        <v>202</v>
      </c>
      <c r="E286" s="159" t="s">
        <v>406</v>
      </c>
      <c r="F286" s="6" t="s">
        <v>415</v>
      </c>
      <c r="G286" s="160" t="s">
        <v>500</v>
      </c>
      <c r="H286" s="115"/>
      <c r="I286" s="118" t="s">
        <v>201</v>
      </c>
      <c r="J286" s="122">
        <v>80</v>
      </c>
      <c r="K286" s="125">
        <v>350</v>
      </c>
      <c r="L286" s="123"/>
      <c r="M286" s="161">
        <f t="shared" si="57"/>
        <v>28000</v>
      </c>
      <c r="N286" s="161">
        <f t="shared" si="58"/>
        <v>0</v>
      </c>
      <c r="O286" s="161">
        <f t="shared" si="59"/>
        <v>28000</v>
      </c>
    </row>
    <row r="287" spans="1:15" x14ac:dyDescent="0.2">
      <c r="A287" s="6" t="s">
        <v>416</v>
      </c>
      <c r="B287" s="159" t="s">
        <v>193</v>
      </c>
      <c r="C287" s="159" t="s">
        <v>200</v>
      </c>
      <c r="D287" s="159" t="s">
        <v>202</v>
      </c>
      <c r="E287" s="159" t="s">
        <v>406</v>
      </c>
      <c r="F287" s="6" t="s">
        <v>416</v>
      </c>
      <c r="G287" s="179"/>
      <c r="H287" s="145"/>
      <c r="I287" s="118"/>
      <c r="J287" s="125"/>
      <c r="K287" s="125"/>
      <c r="L287" s="123"/>
      <c r="M287" s="161">
        <f>J287*K287</f>
        <v>0</v>
      </c>
      <c r="N287" s="161">
        <f t="shared" si="56"/>
        <v>0</v>
      </c>
      <c r="O287" s="161">
        <f t="shared" si="55"/>
        <v>0</v>
      </c>
    </row>
    <row r="288" spans="1:15" x14ac:dyDescent="0.2">
      <c r="A288" s="4" t="s">
        <v>417</v>
      </c>
      <c r="B288" s="159"/>
      <c r="C288" s="159"/>
      <c r="D288" s="159"/>
      <c r="E288" s="159" t="s">
        <v>406</v>
      </c>
      <c r="F288" s="4" t="s">
        <v>417</v>
      </c>
      <c r="G288" s="5" t="s">
        <v>15</v>
      </c>
      <c r="H288" s="115"/>
      <c r="I288" s="125"/>
      <c r="J288" s="125"/>
      <c r="K288" s="125"/>
      <c r="L288" s="123"/>
      <c r="M288" s="161">
        <f t="shared" ref="M288:M346" si="61">J288*K288</f>
        <v>0</v>
      </c>
      <c r="N288" s="161">
        <f t="shared" ref="N288:N346" si="62">J288*L288</f>
        <v>0</v>
      </c>
      <c r="O288" s="161">
        <f t="shared" ref="O288:O346" si="63">N288+M288</f>
        <v>0</v>
      </c>
    </row>
    <row r="289" spans="1:15" ht="15" x14ac:dyDescent="0.2">
      <c r="A289" s="143"/>
      <c r="B289" s="159" t="s">
        <v>149</v>
      </c>
      <c r="C289" s="159" t="s">
        <v>210</v>
      </c>
      <c r="D289" s="159" t="s">
        <v>202</v>
      </c>
      <c r="E289" s="159" t="s">
        <v>445</v>
      </c>
      <c r="F289" s="6" t="s">
        <v>418</v>
      </c>
      <c r="G289" s="226" t="s">
        <v>919</v>
      </c>
      <c r="H289" s="233"/>
      <c r="I289" s="233" t="s">
        <v>20</v>
      </c>
      <c r="J289" s="234">
        <v>2</v>
      </c>
      <c r="K289" s="130"/>
      <c r="L289" s="144">
        <v>740</v>
      </c>
      <c r="M289" s="161">
        <f t="shared" si="61"/>
        <v>0</v>
      </c>
      <c r="N289" s="161">
        <f t="shared" si="62"/>
        <v>1480</v>
      </c>
      <c r="O289" s="161">
        <f t="shared" si="63"/>
        <v>1480</v>
      </c>
    </row>
    <row r="290" spans="1:15" ht="15" x14ac:dyDescent="0.2">
      <c r="A290" s="143"/>
      <c r="B290" s="159" t="s">
        <v>149</v>
      </c>
      <c r="C290" s="159" t="s">
        <v>210</v>
      </c>
      <c r="D290" s="159" t="s">
        <v>202</v>
      </c>
      <c r="E290" s="159" t="s">
        <v>445</v>
      </c>
      <c r="F290" s="6" t="s">
        <v>419</v>
      </c>
      <c r="G290" s="226" t="s">
        <v>920</v>
      </c>
      <c r="H290" s="233"/>
      <c r="I290" s="233" t="s">
        <v>20</v>
      </c>
      <c r="J290" s="234">
        <v>2</v>
      </c>
      <c r="K290" s="130"/>
      <c r="L290" s="144">
        <v>512</v>
      </c>
      <c r="M290" s="161">
        <f t="shared" si="61"/>
        <v>0</v>
      </c>
      <c r="N290" s="161">
        <f t="shared" si="62"/>
        <v>1024</v>
      </c>
      <c r="O290" s="161">
        <f t="shared" si="63"/>
        <v>1024</v>
      </c>
    </row>
    <row r="291" spans="1:15" ht="30" x14ac:dyDescent="0.2">
      <c r="A291" s="143"/>
      <c r="B291" s="159" t="s">
        <v>149</v>
      </c>
      <c r="C291" s="159" t="s">
        <v>210</v>
      </c>
      <c r="D291" s="159" t="s">
        <v>202</v>
      </c>
      <c r="E291" s="159" t="s">
        <v>445</v>
      </c>
      <c r="F291" s="6" t="s">
        <v>420</v>
      </c>
      <c r="G291" s="226" t="s">
        <v>921</v>
      </c>
      <c r="H291" s="233"/>
      <c r="I291" s="233" t="s">
        <v>20</v>
      </c>
      <c r="J291" s="234">
        <v>1</v>
      </c>
      <c r="K291" s="130"/>
      <c r="L291" s="144">
        <v>6240</v>
      </c>
      <c r="M291" s="161">
        <f t="shared" si="61"/>
        <v>0</v>
      </c>
      <c r="N291" s="161">
        <f t="shared" si="62"/>
        <v>6240</v>
      </c>
      <c r="O291" s="161">
        <f t="shared" si="63"/>
        <v>6240</v>
      </c>
    </row>
    <row r="292" spans="1:15" ht="15" x14ac:dyDescent="0.2">
      <c r="A292" s="143"/>
      <c r="B292" s="159" t="s">
        <v>149</v>
      </c>
      <c r="C292" s="159" t="s">
        <v>210</v>
      </c>
      <c r="D292" s="159" t="s">
        <v>202</v>
      </c>
      <c r="E292" s="159" t="s">
        <v>445</v>
      </c>
      <c r="F292" s="6" t="s">
        <v>542</v>
      </c>
      <c r="G292" s="226" t="s">
        <v>922</v>
      </c>
      <c r="H292" s="233"/>
      <c r="I292" s="233" t="s">
        <v>20</v>
      </c>
      <c r="J292" s="234">
        <v>1</v>
      </c>
      <c r="K292" s="130"/>
      <c r="L292" s="144">
        <v>544</v>
      </c>
      <c r="M292" s="161">
        <f t="shared" si="61"/>
        <v>0</v>
      </c>
      <c r="N292" s="161">
        <f t="shared" si="62"/>
        <v>544</v>
      </c>
      <c r="O292" s="161">
        <f t="shared" si="63"/>
        <v>544</v>
      </c>
    </row>
    <row r="293" spans="1:15" ht="30" x14ac:dyDescent="0.2">
      <c r="A293" s="143"/>
      <c r="B293" s="159" t="s">
        <v>149</v>
      </c>
      <c r="C293" s="159" t="s">
        <v>210</v>
      </c>
      <c r="D293" s="159" t="s">
        <v>202</v>
      </c>
      <c r="E293" s="159" t="s">
        <v>445</v>
      </c>
      <c r="F293" s="6" t="s">
        <v>543</v>
      </c>
      <c r="G293" s="226" t="s">
        <v>924</v>
      </c>
      <c r="H293" s="233"/>
      <c r="I293" s="233" t="s">
        <v>20</v>
      </c>
      <c r="J293" s="234">
        <v>3</v>
      </c>
      <c r="K293" s="130"/>
      <c r="L293" s="144">
        <v>347</v>
      </c>
      <c r="M293" s="161">
        <f t="shared" si="61"/>
        <v>0</v>
      </c>
      <c r="N293" s="161">
        <f t="shared" si="62"/>
        <v>1041</v>
      </c>
      <c r="O293" s="161">
        <f t="shared" si="63"/>
        <v>1041</v>
      </c>
    </row>
    <row r="294" spans="1:15" ht="15" x14ac:dyDescent="0.2">
      <c r="A294" s="143"/>
      <c r="B294" s="159" t="s">
        <v>149</v>
      </c>
      <c r="C294" s="159" t="s">
        <v>210</v>
      </c>
      <c r="D294" s="159" t="s">
        <v>202</v>
      </c>
      <c r="E294" s="159" t="s">
        <v>445</v>
      </c>
      <c r="F294" s="6" t="s">
        <v>544</v>
      </c>
      <c r="G294" s="227" t="s">
        <v>928</v>
      </c>
      <c r="H294" s="233"/>
      <c r="I294" s="233" t="s">
        <v>20</v>
      </c>
      <c r="J294" s="234">
        <v>4</v>
      </c>
      <c r="K294" s="130"/>
      <c r="L294" s="144">
        <v>260</v>
      </c>
      <c r="M294" s="161">
        <f t="shared" si="61"/>
        <v>0</v>
      </c>
      <c r="N294" s="161">
        <f t="shared" si="62"/>
        <v>1040</v>
      </c>
      <c r="O294" s="161">
        <f t="shared" si="63"/>
        <v>1040</v>
      </c>
    </row>
    <row r="295" spans="1:15" ht="15" x14ac:dyDescent="0.2">
      <c r="A295" s="143"/>
      <c r="B295" s="159" t="s">
        <v>149</v>
      </c>
      <c r="C295" s="159" t="s">
        <v>210</v>
      </c>
      <c r="D295" s="159" t="s">
        <v>202</v>
      </c>
      <c r="E295" s="159" t="s">
        <v>445</v>
      </c>
      <c r="F295" s="6" t="s">
        <v>545</v>
      </c>
      <c r="G295" s="227" t="s">
        <v>929</v>
      </c>
      <c r="H295" s="233"/>
      <c r="I295" s="233" t="s">
        <v>20</v>
      </c>
      <c r="J295" s="234">
        <v>3</v>
      </c>
      <c r="K295" s="130"/>
      <c r="L295" s="144">
        <v>960</v>
      </c>
      <c r="M295" s="161">
        <f t="shared" si="61"/>
        <v>0</v>
      </c>
      <c r="N295" s="161">
        <f t="shared" si="62"/>
        <v>2880</v>
      </c>
      <c r="O295" s="161">
        <f t="shared" si="63"/>
        <v>2880</v>
      </c>
    </row>
    <row r="296" spans="1:15" ht="15" x14ac:dyDescent="0.2">
      <c r="A296" s="143"/>
      <c r="B296" s="159" t="s">
        <v>149</v>
      </c>
      <c r="C296" s="159" t="s">
        <v>210</v>
      </c>
      <c r="D296" s="159" t="s">
        <v>202</v>
      </c>
      <c r="E296" s="159" t="s">
        <v>445</v>
      </c>
      <c r="F296" s="6" t="s">
        <v>546</v>
      </c>
      <c r="G296" s="228" t="s">
        <v>930</v>
      </c>
      <c r="H296" s="233"/>
      <c r="I296" s="233" t="s">
        <v>20</v>
      </c>
      <c r="J296" s="234">
        <v>4</v>
      </c>
      <c r="K296" s="130"/>
      <c r="L296" s="144">
        <v>2740</v>
      </c>
      <c r="M296" s="161">
        <f t="shared" si="61"/>
        <v>0</v>
      </c>
      <c r="N296" s="161">
        <f t="shared" si="62"/>
        <v>10960</v>
      </c>
      <c r="O296" s="161">
        <f t="shared" si="63"/>
        <v>10960</v>
      </c>
    </row>
    <row r="297" spans="1:15" ht="15" x14ac:dyDescent="0.2">
      <c r="A297" s="143"/>
      <c r="B297" s="159" t="s">
        <v>149</v>
      </c>
      <c r="C297" s="159" t="s">
        <v>210</v>
      </c>
      <c r="D297" s="159" t="s">
        <v>202</v>
      </c>
      <c r="E297" s="159" t="s">
        <v>445</v>
      </c>
      <c r="F297" s="114"/>
      <c r="G297" s="227" t="s">
        <v>931</v>
      </c>
      <c r="H297" s="233"/>
      <c r="I297" s="233" t="s">
        <v>20</v>
      </c>
      <c r="J297" s="234">
        <v>2</v>
      </c>
      <c r="K297" s="130"/>
      <c r="L297" s="144"/>
      <c r="M297" s="180"/>
      <c r="N297" s="180"/>
      <c r="O297" s="180"/>
    </row>
    <row r="298" spans="1:15" ht="15" x14ac:dyDescent="0.2">
      <c r="A298" s="143"/>
      <c r="B298" s="159" t="s">
        <v>149</v>
      </c>
      <c r="C298" s="159" t="s">
        <v>210</v>
      </c>
      <c r="D298" s="159" t="s">
        <v>202</v>
      </c>
      <c r="E298" s="159" t="s">
        <v>445</v>
      </c>
      <c r="F298" s="114"/>
      <c r="G298" s="226" t="s">
        <v>958</v>
      </c>
      <c r="H298" s="233"/>
      <c r="I298" s="233" t="s">
        <v>20</v>
      </c>
      <c r="J298" s="234">
        <v>3</v>
      </c>
      <c r="K298" s="130"/>
      <c r="L298" s="144"/>
      <c r="M298" s="180"/>
      <c r="N298" s="180"/>
      <c r="O298" s="180"/>
    </row>
    <row r="299" spans="1:15" ht="15" x14ac:dyDescent="0.2">
      <c r="A299" s="143"/>
      <c r="B299" s="159" t="s">
        <v>149</v>
      </c>
      <c r="C299" s="159" t="s">
        <v>210</v>
      </c>
      <c r="D299" s="159" t="s">
        <v>202</v>
      </c>
      <c r="E299" s="159" t="s">
        <v>445</v>
      </c>
      <c r="F299" s="114"/>
      <c r="G299" s="226" t="s">
        <v>959</v>
      </c>
      <c r="H299" s="233"/>
      <c r="I299" s="233" t="s">
        <v>20</v>
      </c>
      <c r="J299" s="234">
        <v>2</v>
      </c>
      <c r="K299" s="130"/>
      <c r="L299" s="144"/>
      <c r="M299" s="180"/>
      <c r="N299" s="180"/>
      <c r="O299" s="180"/>
    </row>
    <row r="300" spans="1:15" ht="15" x14ac:dyDescent="0.2">
      <c r="A300" s="143"/>
      <c r="B300" s="159" t="s">
        <v>149</v>
      </c>
      <c r="C300" s="159" t="s">
        <v>210</v>
      </c>
      <c r="D300" s="159" t="s">
        <v>202</v>
      </c>
      <c r="E300" s="159" t="s">
        <v>445</v>
      </c>
      <c r="F300" s="114"/>
      <c r="G300" s="226" t="s">
        <v>932</v>
      </c>
      <c r="H300" s="233"/>
      <c r="I300" s="233" t="s">
        <v>20</v>
      </c>
      <c r="J300" s="234">
        <v>1</v>
      </c>
      <c r="K300" s="130"/>
      <c r="L300" s="144"/>
      <c r="M300" s="180"/>
      <c r="N300" s="180"/>
      <c r="O300" s="180"/>
    </row>
    <row r="301" spans="1:15" ht="15" x14ac:dyDescent="0.2">
      <c r="A301" s="143"/>
      <c r="B301" s="159" t="s">
        <v>149</v>
      </c>
      <c r="C301" s="159" t="s">
        <v>210</v>
      </c>
      <c r="D301" s="159" t="s">
        <v>202</v>
      </c>
      <c r="E301" s="159" t="s">
        <v>445</v>
      </c>
      <c r="F301" s="114"/>
      <c r="G301" s="226" t="s">
        <v>934</v>
      </c>
      <c r="H301" s="233"/>
      <c r="I301" s="233" t="s">
        <v>20</v>
      </c>
      <c r="J301" s="234">
        <v>6</v>
      </c>
      <c r="K301" s="130"/>
      <c r="L301" s="144"/>
      <c r="M301" s="180"/>
      <c r="N301" s="180"/>
      <c r="O301" s="180"/>
    </row>
    <row r="302" spans="1:15" ht="15" x14ac:dyDescent="0.2">
      <c r="A302" s="143"/>
      <c r="B302" s="159" t="s">
        <v>149</v>
      </c>
      <c r="C302" s="159" t="s">
        <v>210</v>
      </c>
      <c r="D302" s="159" t="s">
        <v>202</v>
      </c>
      <c r="E302" s="159" t="s">
        <v>445</v>
      </c>
      <c r="F302" s="114"/>
      <c r="G302" s="228" t="s">
        <v>935</v>
      </c>
      <c r="H302" s="233"/>
      <c r="I302" s="233" t="s">
        <v>20</v>
      </c>
      <c r="J302" s="234">
        <v>2</v>
      </c>
      <c r="K302" s="130"/>
      <c r="L302" s="144"/>
      <c r="M302" s="180"/>
      <c r="N302" s="180"/>
      <c r="O302" s="180"/>
    </row>
    <row r="303" spans="1:15" ht="15" x14ac:dyDescent="0.2">
      <c r="A303" s="143"/>
      <c r="B303" s="159" t="s">
        <v>149</v>
      </c>
      <c r="C303" s="159" t="s">
        <v>210</v>
      </c>
      <c r="D303" s="159" t="s">
        <v>202</v>
      </c>
      <c r="E303" s="159" t="s">
        <v>445</v>
      </c>
      <c r="F303" s="114"/>
      <c r="G303" s="227" t="s">
        <v>936</v>
      </c>
      <c r="H303" s="233"/>
      <c r="I303" s="233" t="s">
        <v>20</v>
      </c>
      <c r="J303" s="234">
        <v>1</v>
      </c>
      <c r="K303" s="130"/>
      <c r="L303" s="144"/>
      <c r="M303" s="180"/>
      <c r="N303" s="180"/>
      <c r="O303" s="180"/>
    </row>
    <row r="304" spans="1:15" ht="15" x14ac:dyDescent="0.2">
      <c r="A304" s="143"/>
      <c r="B304" s="159" t="s">
        <v>149</v>
      </c>
      <c r="C304" s="159" t="s">
        <v>210</v>
      </c>
      <c r="D304" s="159" t="s">
        <v>202</v>
      </c>
      <c r="E304" s="159" t="s">
        <v>445</v>
      </c>
      <c r="F304" s="114"/>
      <c r="G304" s="227" t="s">
        <v>937</v>
      </c>
      <c r="H304" s="233"/>
      <c r="I304" s="233" t="s">
        <v>20</v>
      </c>
      <c r="J304" s="234">
        <v>1</v>
      </c>
      <c r="K304" s="130"/>
      <c r="L304" s="144"/>
      <c r="M304" s="180"/>
      <c r="N304" s="180"/>
      <c r="O304" s="180"/>
    </row>
    <row r="305" spans="1:15" ht="15" x14ac:dyDescent="0.2">
      <c r="A305" s="143"/>
      <c r="B305" s="159" t="s">
        <v>149</v>
      </c>
      <c r="C305" s="159" t="s">
        <v>210</v>
      </c>
      <c r="D305" s="159" t="s">
        <v>202</v>
      </c>
      <c r="E305" s="159" t="s">
        <v>445</v>
      </c>
      <c r="F305" s="114"/>
      <c r="G305" s="228" t="s">
        <v>960</v>
      </c>
      <c r="H305" s="233"/>
      <c r="I305" s="233" t="s">
        <v>20</v>
      </c>
      <c r="J305" s="234">
        <v>1</v>
      </c>
      <c r="K305" s="130"/>
      <c r="L305" s="144"/>
      <c r="M305" s="180"/>
      <c r="N305" s="180"/>
      <c r="O305" s="180"/>
    </row>
    <row r="306" spans="1:15" ht="15" x14ac:dyDescent="0.2">
      <c r="A306" s="143"/>
      <c r="B306" s="159" t="s">
        <v>149</v>
      </c>
      <c r="C306" s="159" t="s">
        <v>210</v>
      </c>
      <c r="D306" s="159" t="s">
        <v>202</v>
      </c>
      <c r="E306" s="159" t="s">
        <v>445</v>
      </c>
      <c r="F306" s="114"/>
      <c r="G306" s="228" t="s">
        <v>655</v>
      </c>
      <c r="H306" s="233"/>
      <c r="I306" s="233" t="s">
        <v>20</v>
      </c>
      <c r="J306" s="234">
        <v>2</v>
      </c>
      <c r="K306" s="130"/>
      <c r="L306" s="144"/>
      <c r="M306" s="180"/>
      <c r="N306" s="180"/>
      <c r="O306" s="180"/>
    </row>
    <row r="307" spans="1:15" ht="15" x14ac:dyDescent="0.2">
      <c r="A307" s="143"/>
      <c r="B307" s="159" t="s">
        <v>149</v>
      </c>
      <c r="C307" s="159" t="s">
        <v>210</v>
      </c>
      <c r="D307" s="159" t="s">
        <v>202</v>
      </c>
      <c r="E307" s="159" t="s">
        <v>445</v>
      </c>
      <c r="F307" s="114"/>
      <c r="G307" s="228" t="s">
        <v>938</v>
      </c>
      <c r="H307" s="234"/>
      <c r="I307" s="234" t="s">
        <v>20</v>
      </c>
      <c r="J307" s="234">
        <v>1</v>
      </c>
      <c r="K307" s="130"/>
      <c r="L307" s="144"/>
      <c r="M307" s="180"/>
      <c r="N307" s="180"/>
      <c r="O307" s="180"/>
    </row>
    <row r="308" spans="1:15" ht="15" x14ac:dyDescent="0.2">
      <c r="A308" s="143"/>
      <c r="B308" s="159" t="s">
        <v>149</v>
      </c>
      <c r="C308" s="159" t="s">
        <v>210</v>
      </c>
      <c r="D308" s="159" t="s">
        <v>202</v>
      </c>
      <c r="E308" s="159" t="s">
        <v>445</v>
      </c>
      <c r="F308" s="114"/>
      <c r="G308" s="229" t="s">
        <v>939</v>
      </c>
      <c r="H308" s="229"/>
      <c r="I308" s="229" t="s">
        <v>20</v>
      </c>
      <c r="J308" s="235">
        <v>1</v>
      </c>
      <c r="K308" s="130"/>
      <c r="L308" s="144"/>
      <c r="M308" s="180"/>
      <c r="N308" s="180"/>
      <c r="O308" s="180"/>
    </row>
    <row r="309" spans="1:15" ht="15" x14ac:dyDescent="0.2">
      <c r="A309" s="143"/>
      <c r="B309" s="159" t="s">
        <v>149</v>
      </c>
      <c r="C309" s="159" t="s">
        <v>210</v>
      </c>
      <c r="D309" s="159" t="s">
        <v>202</v>
      </c>
      <c r="E309" s="159" t="s">
        <v>445</v>
      </c>
      <c r="F309" s="114"/>
      <c r="G309" s="229" t="s">
        <v>940</v>
      </c>
      <c r="H309" s="229"/>
      <c r="I309" s="229" t="s">
        <v>20</v>
      </c>
      <c r="J309" s="235">
        <v>1</v>
      </c>
      <c r="K309" s="130"/>
      <c r="L309" s="144"/>
      <c r="M309" s="180"/>
      <c r="N309" s="180"/>
      <c r="O309" s="180"/>
    </row>
    <row r="310" spans="1:15" ht="15" x14ac:dyDescent="0.2">
      <c r="A310" s="143"/>
      <c r="B310" s="159" t="s">
        <v>149</v>
      </c>
      <c r="C310" s="159" t="s">
        <v>210</v>
      </c>
      <c r="D310" s="159" t="s">
        <v>202</v>
      </c>
      <c r="E310" s="159" t="s">
        <v>445</v>
      </c>
      <c r="F310" s="114"/>
      <c r="G310" s="229" t="s">
        <v>941</v>
      </c>
      <c r="H310" s="229"/>
      <c r="I310" s="229" t="s">
        <v>20</v>
      </c>
      <c r="J310" s="235">
        <v>1</v>
      </c>
      <c r="K310" s="130"/>
      <c r="L310" s="144"/>
      <c r="M310" s="180"/>
      <c r="N310" s="180"/>
      <c r="O310" s="180"/>
    </row>
    <row r="311" spans="1:15" ht="15" x14ac:dyDescent="0.2">
      <c r="A311" s="143"/>
      <c r="B311" s="159" t="s">
        <v>149</v>
      </c>
      <c r="C311" s="159" t="s">
        <v>210</v>
      </c>
      <c r="D311" s="159" t="s">
        <v>202</v>
      </c>
      <c r="E311" s="159" t="s">
        <v>445</v>
      </c>
      <c r="F311" s="114"/>
      <c r="G311" s="229" t="s">
        <v>598</v>
      </c>
      <c r="H311" s="229"/>
      <c r="I311" s="229" t="s">
        <v>20</v>
      </c>
      <c r="J311" s="235">
        <v>1</v>
      </c>
      <c r="K311" s="130"/>
      <c r="L311" s="144"/>
      <c r="M311" s="180"/>
      <c r="N311" s="180"/>
      <c r="O311" s="180"/>
    </row>
    <row r="312" spans="1:15" ht="15" x14ac:dyDescent="0.2">
      <c r="A312" s="143"/>
      <c r="B312" s="159" t="s">
        <v>149</v>
      </c>
      <c r="C312" s="159" t="s">
        <v>210</v>
      </c>
      <c r="D312" s="159" t="s">
        <v>202</v>
      </c>
      <c r="E312" s="159" t="s">
        <v>445</v>
      </c>
      <c r="F312" s="114"/>
      <c r="G312" s="229" t="s">
        <v>942</v>
      </c>
      <c r="H312" s="229"/>
      <c r="I312" s="229" t="s">
        <v>20</v>
      </c>
      <c r="J312" s="235">
        <v>3</v>
      </c>
      <c r="K312" s="130"/>
      <c r="L312" s="144"/>
      <c r="M312" s="180"/>
      <c r="N312" s="180"/>
      <c r="O312" s="180"/>
    </row>
    <row r="313" spans="1:15" ht="15" x14ac:dyDescent="0.2">
      <c r="A313" s="143"/>
      <c r="B313" s="159" t="s">
        <v>149</v>
      </c>
      <c r="C313" s="159" t="s">
        <v>210</v>
      </c>
      <c r="D313" s="159" t="s">
        <v>202</v>
      </c>
      <c r="E313" s="159" t="s">
        <v>445</v>
      </c>
      <c r="F313" s="114"/>
      <c r="G313" s="229" t="s">
        <v>943</v>
      </c>
      <c r="H313" s="229"/>
      <c r="I313" s="229" t="s">
        <v>20</v>
      </c>
      <c r="J313" s="235">
        <v>4</v>
      </c>
      <c r="K313" s="130"/>
      <c r="L313" s="144"/>
      <c r="M313" s="180"/>
      <c r="N313" s="180"/>
      <c r="O313" s="180"/>
    </row>
    <row r="314" spans="1:15" ht="15" x14ac:dyDescent="0.2">
      <c r="A314" s="143"/>
      <c r="B314" s="159" t="s">
        <v>149</v>
      </c>
      <c r="C314" s="159" t="s">
        <v>210</v>
      </c>
      <c r="D314" s="159" t="s">
        <v>202</v>
      </c>
      <c r="E314" s="159" t="s">
        <v>445</v>
      </c>
      <c r="F314" s="114"/>
      <c r="G314" s="229" t="s">
        <v>944</v>
      </c>
      <c r="H314" s="229"/>
      <c r="I314" s="229" t="s">
        <v>303</v>
      </c>
      <c r="J314" s="235">
        <v>50</v>
      </c>
      <c r="K314" s="130"/>
      <c r="L314" s="144"/>
      <c r="M314" s="180"/>
      <c r="N314" s="180"/>
      <c r="O314" s="180"/>
    </row>
    <row r="315" spans="1:15" ht="15" x14ac:dyDescent="0.2">
      <c r="A315" s="143"/>
      <c r="B315" s="159" t="s">
        <v>149</v>
      </c>
      <c r="C315" s="159" t="s">
        <v>210</v>
      </c>
      <c r="D315" s="159" t="s">
        <v>202</v>
      </c>
      <c r="E315" s="159" t="s">
        <v>445</v>
      </c>
      <c r="F315" s="114"/>
      <c r="G315" s="229" t="s">
        <v>945</v>
      </c>
      <c r="H315" s="229"/>
      <c r="I315" s="229" t="s">
        <v>20</v>
      </c>
      <c r="J315" s="235">
        <v>4</v>
      </c>
      <c r="K315" s="130"/>
      <c r="L315" s="144"/>
      <c r="M315" s="180"/>
      <c r="N315" s="180"/>
      <c r="O315" s="180"/>
    </row>
    <row r="316" spans="1:15" ht="19.5" x14ac:dyDescent="0.4">
      <c r="A316" s="143"/>
      <c r="B316" s="159" t="s">
        <v>149</v>
      </c>
      <c r="C316" s="159" t="s">
        <v>210</v>
      </c>
      <c r="D316" s="159" t="s">
        <v>202</v>
      </c>
      <c r="E316" s="159" t="s">
        <v>445</v>
      </c>
      <c r="F316" s="114"/>
      <c r="G316" s="230" t="s">
        <v>961</v>
      </c>
      <c r="H316" s="231"/>
      <c r="I316" s="231" t="s">
        <v>20</v>
      </c>
      <c r="J316" s="236">
        <v>1</v>
      </c>
      <c r="K316" s="130"/>
      <c r="L316" s="144"/>
      <c r="M316" s="180"/>
      <c r="N316" s="180"/>
      <c r="O316" s="180"/>
    </row>
    <row r="317" spans="1:15" ht="19.5" x14ac:dyDescent="0.4">
      <c r="A317" s="143"/>
      <c r="B317" s="159" t="s">
        <v>149</v>
      </c>
      <c r="C317" s="159" t="s">
        <v>210</v>
      </c>
      <c r="D317" s="159" t="s">
        <v>202</v>
      </c>
      <c r="E317" s="159" t="s">
        <v>445</v>
      </c>
      <c r="F317" s="114"/>
      <c r="G317" s="230" t="s">
        <v>962</v>
      </c>
      <c r="H317" s="231"/>
      <c r="I317" s="231" t="s">
        <v>20</v>
      </c>
      <c r="J317" s="236">
        <v>1</v>
      </c>
      <c r="K317" s="130"/>
      <c r="L317" s="144"/>
      <c r="M317" s="180"/>
      <c r="N317" s="180"/>
      <c r="O317" s="180"/>
    </row>
    <row r="318" spans="1:15" ht="19.5" x14ac:dyDescent="0.4">
      <c r="A318" s="143"/>
      <c r="B318" s="159" t="s">
        <v>149</v>
      </c>
      <c r="C318" s="159" t="s">
        <v>210</v>
      </c>
      <c r="D318" s="159" t="s">
        <v>202</v>
      </c>
      <c r="E318" s="159" t="s">
        <v>445</v>
      </c>
      <c r="F318" s="114"/>
      <c r="G318" s="230" t="s">
        <v>963</v>
      </c>
      <c r="H318" s="231"/>
      <c r="I318" s="231" t="s">
        <v>20</v>
      </c>
      <c r="J318" s="236">
        <v>14</v>
      </c>
      <c r="K318" s="130"/>
      <c r="L318" s="144"/>
      <c r="M318" s="180"/>
      <c r="N318" s="180"/>
      <c r="O318" s="180"/>
    </row>
    <row r="319" spans="1:15" ht="19.5" x14ac:dyDescent="0.4">
      <c r="A319" s="143"/>
      <c r="B319" s="159" t="s">
        <v>149</v>
      </c>
      <c r="C319" s="159" t="s">
        <v>210</v>
      </c>
      <c r="D319" s="159" t="s">
        <v>202</v>
      </c>
      <c r="E319" s="159" t="s">
        <v>445</v>
      </c>
      <c r="F319" s="114"/>
      <c r="G319" s="230" t="s">
        <v>964</v>
      </c>
      <c r="H319" s="231"/>
      <c r="I319" s="231" t="s">
        <v>20</v>
      </c>
      <c r="J319" s="236">
        <v>2</v>
      </c>
      <c r="K319" s="130"/>
      <c r="L319" s="144"/>
      <c r="M319" s="180"/>
      <c r="N319" s="180"/>
      <c r="O319" s="180"/>
    </row>
    <row r="320" spans="1:15" ht="19.5" x14ac:dyDescent="0.4">
      <c r="A320" s="143"/>
      <c r="B320" s="159" t="s">
        <v>149</v>
      </c>
      <c r="C320" s="159" t="s">
        <v>210</v>
      </c>
      <c r="D320" s="159" t="s">
        <v>202</v>
      </c>
      <c r="E320" s="159" t="s">
        <v>445</v>
      </c>
      <c r="F320" s="114"/>
      <c r="G320" s="230" t="s">
        <v>965</v>
      </c>
      <c r="H320" s="231"/>
      <c r="I320" s="231" t="s">
        <v>20</v>
      </c>
      <c r="J320" s="236">
        <v>4</v>
      </c>
      <c r="K320" s="130"/>
      <c r="L320" s="144"/>
      <c r="M320" s="180"/>
      <c r="N320" s="180"/>
      <c r="O320" s="180"/>
    </row>
    <row r="321" spans="1:15" ht="19.5" x14ac:dyDescent="0.4">
      <c r="A321" s="143"/>
      <c r="B321" s="159" t="s">
        <v>149</v>
      </c>
      <c r="C321" s="159" t="s">
        <v>210</v>
      </c>
      <c r="D321" s="159" t="s">
        <v>202</v>
      </c>
      <c r="E321" s="159" t="s">
        <v>445</v>
      </c>
      <c r="F321" s="114"/>
      <c r="G321" s="230" t="s">
        <v>966</v>
      </c>
      <c r="H321" s="231"/>
      <c r="I321" s="231" t="s">
        <v>20</v>
      </c>
      <c r="J321" s="236">
        <v>4</v>
      </c>
      <c r="K321" s="130"/>
      <c r="L321" s="144"/>
      <c r="M321" s="180"/>
      <c r="N321" s="180"/>
      <c r="O321" s="180"/>
    </row>
    <row r="322" spans="1:15" ht="19.5" x14ac:dyDescent="0.4">
      <c r="A322" s="143"/>
      <c r="B322" s="159" t="s">
        <v>149</v>
      </c>
      <c r="C322" s="159" t="s">
        <v>210</v>
      </c>
      <c r="D322" s="159" t="s">
        <v>202</v>
      </c>
      <c r="E322" s="159" t="s">
        <v>445</v>
      </c>
      <c r="F322" s="114"/>
      <c r="G322" s="230" t="s">
        <v>967</v>
      </c>
      <c r="H322" s="231"/>
      <c r="I322" s="231" t="s">
        <v>20</v>
      </c>
      <c r="J322" s="236">
        <v>5</v>
      </c>
      <c r="K322" s="130"/>
      <c r="L322" s="144"/>
      <c r="M322" s="180"/>
      <c r="N322" s="180"/>
      <c r="O322" s="180"/>
    </row>
    <row r="323" spans="1:15" ht="19.5" x14ac:dyDescent="0.2">
      <c r="A323" s="143"/>
      <c r="B323" s="159" t="s">
        <v>149</v>
      </c>
      <c r="C323" s="159" t="s">
        <v>210</v>
      </c>
      <c r="D323" s="159" t="s">
        <v>202</v>
      </c>
      <c r="E323" s="159" t="s">
        <v>445</v>
      </c>
      <c r="F323" s="114"/>
      <c r="G323" s="231" t="s">
        <v>968</v>
      </c>
      <c r="H323" s="231"/>
      <c r="I323" s="231" t="s">
        <v>20</v>
      </c>
      <c r="J323" s="236">
        <v>1</v>
      </c>
      <c r="K323" s="130"/>
      <c r="L323" s="144"/>
      <c r="M323" s="180"/>
      <c r="N323" s="180"/>
      <c r="O323" s="180"/>
    </row>
    <row r="324" spans="1:15" ht="19.5" x14ac:dyDescent="0.2">
      <c r="A324" s="143"/>
      <c r="B324" s="159" t="s">
        <v>149</v>
      </c>
      <c r="C324" s="159" t="s">
        <v>210</v>
      </c>
      <c r="D324" s="159" t="s">
        <v>202</v>
      </c>
      <c r="E324" s="159" t="s">
        <v>445</v>
      </c>
      <c r="F324" s="114"/>
      <c r="G324" s="231" t="s">
        <v>969</v>
      </c>
      <c r="H324" s="231"/>
      <c r="I324" s="231" t="s">
        <v>20</v>
      </c>
      <c r="J324" s="236">
        <v>1</v>
      </c>
      <c r="K324" s="130"/>
      <c r="L324" s="144"/>
      <c r="M324" s="180"/>
      <c r="N324" s="180"/>
      <c r="O324" s="180"/>
    </row>
    <row r="325" spans="1:15" ht="19.5" x14ac:dyDescent="0.4">
      <c r="A325" s="143"/>
      <c r="B325" s="159" t="s">
        <v>149</v>
      </c>
      <c r="C325" s="159" t="s">
        <v>210</v>
      </c>
      <c r="D325" s="159" t="s">
        <v>202</v>
      </c>
      <c r="E325" s="159" t="s">
        <v>445</v>
      </c>
      <c r="F325" s="114"/>
      <c r="G325" s="230" t="s">
        <v>970</v>
      </c>
      <c r="H325" s="231"/>
      <c r="I325" s="231" t="s">
        <v>20</v>
      </c>
      <c r="J325" s="236">
        <v>1</v>
      </c>
      <c r="K325" s="130"/>
      <c r="L325" s="144"/>
      <c r="M325" s="180"/>
      <c r="N325" s="180"/>
      <c r="O325" s="180"/>
    </row>
    <row r="326" spans="1:15" ht="19.5" x14ac:dyDescent="0.2">
      <c r="A326" s="143"/>
      <c r="B326" s="159" t="s">
        <v>149</v>
      </c>
      <c r="C326" s="159" t="s">
        <v>210</v>
      </c>
      <c r="D326" s="159" t="s">
        <v>202</v>
      </c>
      <c r="E326" s="159" t="s">
        <v>445</v>
      </c>
      <c r="F326" s="114"/>
      <c r="G326" s="231" t="s">
        <v>934</v>
      </c>
      <c r="H326" s="231"/>
      <c r="I326" s="231" t="s">
        <v>20</v>
      </c>
      <c r="J326" s="236">
        <v>4</v>
      </c>
      <c r="K326" s="130"/>
      <c r="L326" s="144"/>
      <c r="M326" s="180"/>
      <c r="N326" s="180"/>
      <c r="O326" s="180"/>
    </row>
    <row r="327" spans="1:15" ht="39" x14ac:dyDescent="0.4">
      <c r="A327" s="143"/>
      <c r="B327" s="159" t="s">
        <v>149</v>
      </c>
      <c r="C327" s="159" t="s">
        <v>210</v>
      </c>
      <c r="D327" s="159" t="s">
        <v>202</v>
      </c>
      <c r="E327" s="159" t="s">
        <v>445</v>
      </c>
      <c r="F327" s="6" t="s">
        <v>547</v>
      </c>
      <c r="G327" s="232" t="s">
        <v>924</v>
      </c>
      <c r="H327" s="231"/>
      <c r="I327" s="231" t="s">
        <v>20</v>
      </c>
      <c r="J327" s="236">
        <v>2</v>
      </c>
      <c r="K327" s="130"/>
      <c r="L327" s="144">
        <v>960</v>
      </c>
      <c r="M327" s="161">
        <f t="shared" si="61"/>
        <v>0</v>
      </c>
      <c r="N327" s="161">
        <f t="shared" si="62"/>
        <v>1920</v>
      </c>
      <c r="O327" s="161">
        <f t="shared" si="63"/>
        <v>1920</v>
      </c>
    </row>
    <row r="328" spans="1:15" ht="19.5" x14ac:dyDescent="0.4">
      <c r="A328" s="143"/>
      <c r="B328" s="159" t="s">
        <v>149</v>
      </c>
      <c r="C328" s="159" t="s">
        <v>210</v>
      </c>
      <c r="D328" s="159" t="s">
        <v>202</v>
      </c>
      <c r="E328" s="159" t="s">
        <v>445</v>
      </c>
      <c r="F328" s="6" t="s">
        <v>548</v>
      </c>
      <c r="G328" s="230" t="s">
        <v>971</v>
      </c>
      <c r="H328" s="231"/>
      <c r="I328" s="231" t="s">
        <v>20</v>
      </c>
      <c r="J328" s="236">
        <v>1</v>
      </c>
      <c r="K328" s="130"/>
      <c r="L328" s="144">
        <v>2740</v>
      </c>
      <c r="M328" s="161">
        <f t="shared" si="61"/>
        <v>0</v>
      </c>
      <c r="N328" s="161">
        <f t="shared" si="62"/>
        <v>2740</v>
      </c>
      <c r="O328" s="161">
        <f t="shared" si="63"/>
        <v>2740</v>
      </c>
    </row>
    <row r="329" spans="1:15" ht="19.5" x14ac:dyDescent="0.4">
      <c r="A329" s="143"/>
      <c r="B329" s="159" t="s">
        <v>149</v>
      </c>
      <c r="C329" s="159" t="s">
        <v>210</v>
      </c>
      <c r="D329" s="159" t="s">
        <v>202</v>
      </c>
      <c r="E329" s="159" t="s">
        <v>445</v>
      </c>
      <c r="F329" s="6" t="s">
        <v>549</v>
      </c>
      <c r="G329" s="230" t="s">
        <v>972</v>
      </c>
      <c r="H329" s="231"/>
      <c r="I329" s="231" t="s">
        <v>20</v>
      </c>
      <c r="J329" s="236">
        <v>1</v>
      </c>
      <c r="K329" s="130"/>
      <c r="L329" s="144">
        <v>324</v>
      </c>
      <c r="M329" s="161">
        <f t="shared" si="61"/>
        <v>0</v>
      </c>
      <c r="N329" s="161">
        <f t="shared" si="62"/>
        <v>324</v>
      </c>
      <c r="O329" s="161">
        <f t="shared" si="63"/>
        <v>324</v>
      </c>
    </row>
    <row r="330" spans="1:15" ht="19.5" x14ac:dyDescent="0.4">
      <c r="A330" s="143"/>
      <c r="B330" s="159" t="s">
        <v>149</v>
      </c>
      <c r="C330" s="159" t="s">
        <v>210</v>
      </c>
      <c r="D330" s="159" t="s">
        <v>202</v>
      </c>
      <c r="E330" s="159" t="s">
        <v>445</v>
      </c>
      <c r="F330" s="6" t="s">
        <v>550</v>
      </c>
      <c r="G330" s="230" t="s">
        <v>928</v>
      </c>
      <c r="H330" s="231"/>
      <c r="I330" s="231" t="s">
        <v>20</v>
      </c>
      <c r="J330" s="236">
        <v>2</v>
      </c>
      <c r="K330" s="130"/>
      <c r="L330" s="144">
        <v>496</v>
      </c>
      <c r="M330" s="161">
        <f t="shared" si="61"/>
        <v>0</v>
      </c>
      <c r="N330" s="161">
        <f t="shared" si="62"/>
        <v>992</v>
      </c>
      <c r="O330" s="161">
        <f t="shared" si="63"/>
        <v>992</v>
      </c>
    </row>
    <row r="331" spans="1:15" ht="19.5" x14ac:dyDescent="0.4">
      <c r="A331" s="143"/>
      <c r="B331" s="159" t="s">
        <v>149</v>
      </c>
      <c r="C331" s="159" t="s">
        <v>210</v>
      </c>
      <c r="D331" s="159" t="s">
        <v>202</v>
      </c>
      <c r="E331" s="159" t="s">
        <v>445</v>
      </c>
      <c r="F331" s="6" t="s">
        <v>551</v>
      </c>
      <c r="G331" s="230" t="s">
        <v>973</v>
      </c>
      <c r="H331" s="231"/>
      <c r="I331" s="231" t="s">
        <v>20</v>
      </c>
      <c r="J331" s="236">
        <v>1</v>
      </c>
      <c r="K331" s="130"/>
      <c r="L331" s="144">
        <v>360</v>
      </c>
      <c r="M331" s="161">
        <f t="shared" si="61"/>
        <v>0</v>
      </c>
      <c r="N331" s="161">
        <f t="shared" si="62"/>
        <v>360</v>
      </c>
      <c r="O331" s="161">
        <f t="shared" si="63"/>
        <v>360</v>
      </c>
    </row>
    <row r="332" spans="1:15" ht="19.5" x14ac:dyDescent="0.4">
      <c r="A332" s="143"/>
      <c r="B332" s="159" t="s">
        <v>149</v>
      </c>
      <c r="C332" s="159" t="s">
        <v>210</v>
      </c>
      <c r="D332" s="159" t="s">
        <v>202</v>
      </c>
      <c r="E332" s="159" t="s">
        <v>445</v>
      </c>
      <c r="F332" s="6" t="s">
        <v>552</v>
      </c>
      <c r="G332" s="230" t="s">
        <v>974</v>
      </c>
      <c r="H332" s="231"/>
      <c r="I332" s="231" t="s">
        <v>20</v>
      </c>
      <c r="J332" s="236">
        <v>2</v>
      </c>
      <c r="K332" s="130"/>
      <c r="L332" s="144">
        <v>2740</v>
      </c>
      <c r="M332" s="161">
        <f t="shared" si="61"/>
        <v>0</v>
      </c>
      <c r="N332" s="161">
        <f t="shared" si="62"/>
        <v>5480</v>
      </c>
      <c r="O332" s="161">
        <f t="shared" si="63"/>
        <v>5480</v>
      </c>
    </row>
    <row r="333" spans="1:15" ht="19.5" x14ac:dyDescent="0.4">
      <c r="A333" s="143"/>
      <c r="B333" s="159" t="s">
        <v>149</v>
      </c>
      <c r="C333" s="159" t="s">
        <v>210</v>
      </c>
      <c r="D333" s="159" t="s">
        <v>202</v>
      </c>
      <c r="E333" s="159" t="s">
        <v>445</v>
      </c>
      <c r="F333" s="6" t="s">
        <v>553</v>
      </c>
      <c r="G333" s="230" t="s">
        <v>975</v>
      </c>
      <c r="H333" s="231"/>
      <c r="I333" s="231" t="s">
        <v>20</v>
      </c>
      <c r="J333" s="236">
        <v>4</v>
      </c>
      <c r="K333" s="130"/>
      <c r="L333" s="144">
        <v>6700</v>
      </c>
      <c r="M333" s="161">
        <f t="shared" si="61"/>
        <v>0</v>
      </c>
      <c r="N333" s="161">
        <f t="shared" si="62"/>
        <v>26800</v>
      </c>
      <c r="O333" s="161">
        <f t="shared" si="63"/>
        <v>26800</v>
      </c>
    </row>
    <row r="334" spans="1:15" ht="19.5" x14ac:dyDescent="0.4">
      <c r="A334" s="143"/>
      <c r="B334" s="159" t="s">
        <v>149</v>
      </c>
      <c r="C334" s="159" t="s">
        <v>210</v>
      </c>
      <c r="D334" s="159" t="s">
        <v>202</v>
      </c>
      <c r="E334" s="159" t="s">
        <v>445</v>
      </c>
      <c r="F334" s="6" t="s">
        <v>554</v>
      </c>
      <c r="G334" s="230" t="s">
        <v>976</v>
      </c>
      <c r="H334" s="231"/>
      <c r="I334" s="231" t="s">
        <v>20</v>
      </c>
      <c r="J334" s="236">
        <v>3</v>
      </c>
      <c r="K334" s="130"/>
      <c r="L334" s="144">
        <v>1256</v>
      </c>
      <c r="M334" s="161">
        <f t="shared" si="61"/>
        <v>0</v>
      </c>
      <c r="N334" s="161">
        <f t="shared" si="62"/>
        <v>3768</v>
      </c>
      <c r="O334" s="161">
        <f t="shared" si="63"/>
        <v>3768</v>
      </c>
    </row>
    <row r="335" spans="1:15" ht="19.5" x14ac:dyDescent="0.4">
      <c r="A335" s="143"/>
      <c r="B335" s="159" t="s">
        <v>149</v>
      </c>
      <c r="C335" s="159" t="s">
        <v>210</v>
      </c>
      <c r="D335" s="159" t="s">
        <v>202</v>
      </c>
      <c r="E335" s="159" t="s">
        <v>445</v>
      </c>
      <c r="F335" s="6" t="s">
        <v>555</v>
      </c>
      <c r="G335" s="230" t="s">
        <v>933</v>
      </c>
      <c r="H335" s="231"/>
      <c r="I335" s="231" t="s">
        <v>20</v>
      </c>
      <c r="J335" s="236">
        <v>2</v>
      </c>
      <c r="K335" s="130"/>
      <c r="L335" s="144">
        <v>7980</v>
      </c>
      <c r="M335" s="161">
        <f t="shared" si="61"/>
        <v>0</v>
      </c>
      <c r="N335" s="161">
        <f t="shared" si="62"/>
        <v>15960</v>
      </c>
      <c r="O335" s="161">
        <f t="shared" si="63"/>
        <v>15960</v>
      </c>
    </row>
    <row r="336" spans="1:15" ht="19.5" x14ac:dyDescent="0.4">
      <c r="A336" s="143"/>
      <c r="B336" s="159" t="s">
        <v>149</v>
      </c>
      <c r="C336" s="159" t="s">
        <v>210</v>
      </c>
      <c r="D336" s="159" t="s">
        <v>202</v>
      </c>
      <c r="E336" s="159" t="s">
        <v>445</v>
      </c>
      <c r="F336" s="6" t="s">
        <v>556</v>
      </c>
      <c r="G336" s="230" t="s">
        <v>977</v>
      </c>
      <c r="H336" s="231"/>
      <c r="I336" s="231" t="s">
        <v>20</v>
      </c>
      <c r="J336" s="236">
        <v>4</v>
      </c>
      <c r="K336" s="130"/>
      <c r="L336" s="144">
        <v>2124</v>
      </c>
      <c r="M336" s="161">
        <f t="shared" si="61"/>
        <v>0</v>
      </c>
      <c r="N336" s="161">
        <f t="shared" si="62"/>
        <v>8496</v>
      </c>
      <c r="O336" s="161">
        <f t="shared" si="63"/>
        <v>8496</v>
      </c>
    </row>
    <row r="337" spans="1:15" ht="19.5" x14ac:dyDescent="0.4">
      <c r="A337" s="143"/>
      <c r="B337" s="159" t="s">
        <v>149</v>
      </c>
      <c r="C337" s="159" t="s">
        <v>210</v>
      </c>
      <c r="D337" s="159" t="s">
        <v>202</v>
      </c>
      <c r="E337" s="159" t="s">
        <v>445</v>
      </c>
      <c r="F337" s="6" t="s">
        <v>557</v>
      </c>
      <c r="G337" s="230" t="s">
        <v>926</v>
      </c>
      <c r="H337" s="231"/>
      <c r="I337" s="231" t="s">
        <v>20</v>
      </c>
      <c r="J337" s="236">
        <v>2</v>
      </c>
      <c r="K337" s="130"/>
      <c r="L337" s="144">
        <v>11750</v>
      </c>
      <c r="M337" s="161">
        <f t="shared" si="61"/>
        <v>0</v>
      </c>
      <c r="N337" s="161">
        <f t="shared" si="62"/>
        <v>23500</v>
      </c>
      <c r="O337" s="161">
        <f t="shared" si="63"/>
        <v>23500</v>
      </c>
    </row>
    <row r="338" spans="1:15" ht="19.5" x14ac:dyDescent="0.4">
      <c r="A338" s="143"/>
      <c r="B338" s="159" t="s">
        <v>149</v>
      </c>
      <c r="C338" s="159" t="s">
        <v>210</v>
      </c>
      <c r="D338" s="159" t="s">
        <v>202</v>
      </c>
      <c r="E338" s="159" t="s">
        <v>445</v>
      </c>
      <c r="F338" s="6" t="s">
        <v>946</v>
      </c>
      <c r="G338" s="230" t="s">
        <v>927</v>
      </c>
      <c r="H338" s="231"/>
      <c r="I338" s="231" t="s">
        <v>20</v>
      </c>
      <c r="J338" s="236">
        <v>2</v>
      </c>
      <c r="K338" s="130"/>
      <c r="L338" s="144">
        <v>6780</v>
      </c>
      <c r="M338" s="161">
        <f t="shared" si="61"/>
        <v>0</v>
      </c>
      <c r="N338" s="161">
        <f t="shared" si="62"/>
        <v>13560</v>
      </c>
      <c r="O338" s="161">
        <f t="shared" si="63"/>
        <v>13560</v>
      </c>
    </row>
    <row r="339" spans="1:15" ht="19.5" x14ac:dyDescent="0.4">
      <c r="A339" s="143"/>
      <c r="B339" s="159" t="s">
        <v>149</v>
      </c>
      <c r="C339" s="159" t="s">
        <v>210</v>
      </c>
      <c r="D339" s="159" t="s">
        <v>202</v>
      </c>
      <c r="E339" s="159" t="s">
        <v>445</v>
      </c>
      <c r="F339" s="6" t="s">
        <v>947</v>
      </c>
      <c r="G339" s="230" t="s">
        <v>978</v>
      </c>
      <c r="H339" s="231"/>
      <c r="I339" s="231" t="s">
        <v>20</v>
      </c>
      <c r="J339" s="236">
        <v>1</v>
      </c>
      <c r="K339" s="130"/>
      <c r="L339" s="144">
        <v>12846</v>
      </c>
      <c r="M339" s="161">
        <f t="shared" si="61"/>
        <v>0</v>
      </c>
      <c r="N339" s="161">
        <f t="shared" si="62"/>
        <v>12846</v>
      </c>
      <c r="O339" s="161">
        <f t="shared" si="63"/>
        <v>12846</v>
      </c>
    </row>
    <row r="340" spans="1:15" ht="19.5" x14ac:dyDescent="0.4">
      <c r="A340" s="143"/>
      <c r="B340" s="159" t="s">
        <v>149</v>
      </c>
      <c r="C340" s="159" t="s">
        <v>210</v>
      </c>
      <c r="D340" s="159" t="s">
        <v>202</v>
      </c>
      <c r="E340" s="159" t="s">
        <v>445</v>
      </c>
      <c r="F340" s="6" t="s">
        <v>948</v>
      </c>
      <c r="G340" s="230" t="s">
        <v>979</v>
      </c>
      <c r="H340" s="231"/>
      <c r="I340" s="231" t="s">
        <v>20</v>
      </c>
      <c r="J340" s="236">
        <v>1</v>
      </c>
      <c r="K340" s="130"/>
      <c r="L340" s="144">
        <v>3200</v>
      </c>
      <c r="M340" s="161">
        <f t="shared" si="61"/>
        <v>0</v>
      </c>
      <c r="N340" s="161">
        <f t="shared" si="62"/>
        <v>3200</v>
      </c>
      <c r="O340" s="161">
        <f t="shared" si="63"/>
        <v>3200</v>
      </c>
    </row>
    <row r="341" spans="1:15" ht="19.5" x14ac:dyDescent="0.4">
      <c r="A341" s="143"/>
      <c r="B341" s="159" t="s">
        <v>149</v>
      </c>
      <c r="C341" s="159" t="s">
        <v>210</v>
      </c>
      <c r="D341" s="159" t="s">
        <v>202</v>
      </c>
      <c r="E341" s="159" t="s">
        <v>445</v>
      </c>
      <c r="F341" s="6" t="s">
        <v>949</v>
      </c>
      <c r="G341" s="230" t="s">
        <v>980</v>
      </c>
      <c r="H341" s="231"/>
      <c r="I341" s="231" t="s">
        <v>20</v>
      </c>
      <c r="J341" s="236">
        <v>1</v>
      </c>
      <c r="K341" s="130"/>
      <c r="L341" s="144">
        <v>1640</v>
      </c>
      <c r="M341" s="161">
        <f t="shared" si="61"/>
        <v>0</v>
      </c>
      <c r="N341" s="161">
        <f t="shared" si="62"/>
        <v>1640</v>
      </c>
      <c r="O341" s="161">
        <f t="shared" si="63"/>
        <v>1640</v>
      </c>
    </row>
    <row r="342" spans="1:15" ht="19.5" x14ac:dyDescent="0.4">
      <c r="A342" s="143"/>
      <c r="B342" s="159" t="s">
        <v>149</v>
      </c>
      <c r="C342" s="159" t="s">
        <v>210</v>
      </c>
      <c r="D342" s="159" t="s">
        <v>202</v>
      </c>
      <c r="E342" s="159" t="s">
        <v>445</v>
      </c>
      <c r="F342" s="6" t="s">
        <v>950</v>
      </c>
      <c r="G342" s="230" t="s">
        <v>865</v>
      </c>
      <c r="H342" s="231"/>
      <c r="I342" s="231" t="s">
        <v>20</v>
      </c>
      <c r="J342" s="236">
        <v>1</v>
      </c>
      <c r="K342" s="130"/>
      <c r="L342" s="144">
        <v>5670</v>
      </c>
      <c r="M342" s="161">
        <f t="shared" si="61"/>
        <v>0</v>
      </c>
      <c r="N342" s="161">
        <f t="shared" si="62"/>
        <v>5670</v>
      </c>
      <c r="O342" s="161">
        <f t="shared" si="63"/>
        <v>5670</v>
      </c>
    </row>
    <row r="343" spans="1:15" ht="19.5" x14ac:dyDescent="0.4">
      <c r="A343" s="143"/>
      <c r="B343" s="159" t="s">
        <v>149</v>
      </c>
      <c r="C343" s="159" t="s">
        <v>210</v>
      </c>
      <c r="D343" s="159" t="s">
        <v>202</v>
      </c>
      <c r="E343" s="159" t="s">
        <v>445</v>
      </c>
      <c r="F343" s="6" t="s">
        <v>951</v>
      </c>
      <c r="G343" s="230" t="s">
        <v>981</v>
      </c>
      <c r="H343" s="231"/>
      <c r="I343" s="231" t="s">
        <v>983</v>
      </c>
      <c r="J343" s="236">
        <v>1</v>
      </c>
      <c r="K343" s="130"/>
      <c r="L343" s="144">
        <v>511</v>
      </c>
      <c r="M343" s="161">
        <f t="shared" si="61"/>
        <v>0</v>
      </c>
      <c r="N343" s="161">
        <f t="shared" si="62"/>
        <v>511</v>
      </c>
      <c r="O343" s="161">
        <f t="shared" si="63"/>
        <v>511</v>
      </c>
    </row>
    <row r="344" spans="1:15" ht="19.5" x14ac:dyDescent="0.4">
      <c r="A344" s="143"/>
      <c r="B344" s="159" t="s">
        <v>149</v>
      </c>
      <c r="C344" s="159" t="s">
        <v>210</v>
      </c>
      <c r="D344" s="159" t="s">
        <v>202</v>
      </c>
      <c r="E344" s="159" t="s">
        <v>445</v>
      </c>
      <c r="F344" s="6" t="s">
        <v>952</v>
      </c>
      <c r="G344" s="230" t="s">
        <v>982</v>
      </c>
      <c r="H344" s="231"/>
      <c r="I344" s="231" t="s">
        <v>20</v>
      </c>
      <c r="J344" s="236">
        <v>2</v>
      </c>
      <c r="K344" s="130"/>
      <c r="L344" s="144">
        <v>518</v>
      </c>
      <c r="M344" s="161">
        <f t="shared" si="61"/>
        <v>0</v>
      </c>
      <c r="N344" s="161">
        <f t="shared" si="62"/>
        <v>1036</v>
      </c>
      <c r="O344" s="161">
        <f t="shared" si="63"/>
        <v>1036</v>
      </c>
    </row>
    <row r="345" spans="1:15" ht="19.5" x14ac:dyDescent="0.4">
      <c r="A345" s="143"/>
      <c r="B345" s="159" t="s">
        <v>149</v>
      </c>
      <c r="C345" s="159" t="s">
        <v>210</v>
      </c>
      <c r="D345" s="159" t="s">
        <v>202</v>
      </c>
      <c r="E345" s="159" t="s">
        <v>445</v>
      </c>
      <c r="F345" s="6" t="s">
        <v>953</v>
      </c>
      <c r="G345" s="230" t="s">
        <v>925</v>
      </c>
      <c r="H345" s="231"/>
      <c r="I345" s="231" t="s">
        <v>20</v>
      </c>
      <c r="J345" s="236">
        <v>10</v>
      </c>
      <c r="K345" s="130"/>
      <c r="L345" s="144">
        <v>877</v>
      </c>
      <c r="M345" s="161">
        <f t="shared" si="61"/>
        <v>0</v>
      </c>
      <c r="N345" s="161">
        <f t="shared" si="62"/>
        <v>8770</v>
      </c>
      <c r="O345" s="161">
        <f t="shared" si="63"/>
        <v>8770</v>
      </c>
    </row>
    <row r="346" spans="1:15" ht="19.5" x14ac:dyDescent="0.4">
      <c r="A346" s="143"/>
      <c r="B346" s="159" t="s">
        <v>149</v>
      </c>
      <c r="C346" s="159" t="s">
        <v>210</v>
      </c>
      <c r="D346" s="159" t="s">
        <v>202</v>
      </c>
      <c r="E346" s="159" t="s">
        <v>445</v>
      </c>
      <c r="F346" s="6" t="s">
        <v>954</v>
      </c>
      <c r="G346" s="230" t="s">
        <v>923</v>
      </c>
      <c r="H346" s="231"/>
      <c r="I346" s="231" t="s">
        <v>20</v>
      </c>
      <c r="J346" s="236">
        <v>8</v>
      </c>
      <c r="K346" s="130"/>
      <c r="L346" s="144">
        <v>96000</v>
      </c>
      <c r="M346" s="161">
        <f t="shared" si="61"/>
        <v>0</v>
      </c>
      <c r="N346" s="161">
        <f t="shared" si="62"/>
        <v>768000</v>
      </c>
      <c r="O346" s="161">
        <f t="shared" si="63"/>
        <v>768000</v>
      </c>
    </row>
    <row r="347" spans="1:15" x14ac:dyDescent="0.2">
      <c r="A347" s="2" t="s">
        <v>421</v>
      </c>
      <c r="B347" s="2"/>
      <c r="C347" s="2"/>
      <c r="D347" s="2"/>
      <c r="E347" s="2"/>
      <c r="F347" s="173" t="s">
        <v>421</v>
      </c>
      <c r="G347" s="2" t="s">
        <v>24</v>
      </c>
      <c r="H347" s="147" t="s">
        <v>591</v>
      </c>
      <c r="I347" s="126"/>
      <c r="J347" s="126"/>
      <c r="K347" s="126"/>
      <c r="L347" s="126"/>
      <c r="M347" s="126">
        <f t="shared" ref="M347" si="64">J347*K347</f>
        <v>0</v>
      </c>
      <c r="N347" s="126">
        <f>J347*L347</f>
        <v>0</v>
      </c>
      <c r="O347" s="126">
        <f t="shared" ref="O347" si="65">N347+M347</f>
        <v>0</v>
      </c>
    </row>
    <row r="348" spans="1:15" x14ac:dyDescent="0.2">
      <c r="A348" s="4" t="s">
        <v>422</v>
      </c>
      <c r="B348" s="159"/>
      <c r="C348" s="159"/>
      <c r="D348" s="159"/>
      <c r="E348" s="159"/>
      <c r="F348" s="4" t="s">
        <v>422</v>
      </c>
      <c r="G348" s="5"/>
      <c r="H348" s="5"/>
      <c r="I348" s="118"/>
      <c r="J348" s="118"/>
      <c r="K348" s="125"/>
      <c r="L348" s="123"/>
      <c r="M348" s="161"/>
      <c r="N348" s="161"/>
      <c r="O348" s="161"/>
    </row>
    <row r="349" spans="1:15" x14ac:dyDescent="0.2">
      <c r="A349" s="6" t="s">
        <v>423</v>
      </c>
      <c r="B349" s="181" t="s">
        <v>148</v>
      </c>
      <c r="C349" s="159" t="s">
        <v>200</v>
      </c>
      <c r="D349" s="159" t="s">
        <v>202</v>
      </c>
      <c r="E349" s="159" t="s">
        <v>24</v>
      </c>
      <c r="F349" s="6" t="s">
        <v>423</v>
      </c>
      <c r="G349" s="177" t="s">
        <v>24</v>
      </c>
      <c r="H349" s="115"/>
      <c r="I349" s="118">
        <v>0.05</v>
      </c>
      <c r="J349" s="122"/>
      <c r="K349" s="125"/>
      <c r="L349" s="123"/>
      <c r="M349" s="161"/>
      <c r="N349" s="161"/>
      <c r="O349" s="161">
        <f t="shared" ref="O349:O373" si="66">N349+M349</f>
        <v>0</v>
      </c>
    </row>
    <row r="350" spans="1:15" x14ac:dyDescent="0.2">
      <c r="A350" s="6" t="s">
        <v>424</v>
      </c>
      <c r="B350" s="159" t="s">
        <v>193</v>
      </c>
      <c r="C350" s="159" t="s">
        <v>200</v>
      </c>
      <c r="D350" s="159" t="s">
        <v>202</v>
      </c>
      <c r="E350" s="159" t="s">
        <v>24</v>
      </c>
      <c r="F350" s="6" t="s">
        <v>424</v>
      </c>
      <c r="G350" s="177" t="s">
        <v>25</v>
      </c>
      <c r="H350" s="115"/>
      <c r="I350" s="118" t="s">
        <v>26</v>
      </c>
      <c r="J350" s="122"/>
      <c r="K350" s="125"/>
      <c r="L350" s="123"/>
      <c r="M350" s="161"/>
      <c r="N350" s="161"/>
      <c r="O350" s="161">
        <f t="shared" si="66"/>
        <v>0</v>
      </c>
    </row>
    <row r="351" spans="1:15" x14ac:dyDescent="0.2">
      <c r="A351" s="6" t="s">
        <v>425</v>
      </c>
      <c r="B351" s="159" t="s">
        <v>193</v>
      </c>
      <c r="C351" s="159" t="s">
        <v>200</v>
      </c>
      <c r="D351" s="159" t="s">
        <v>202</v>
      </c>
      <c r="E351" s="159" t="s">
        <v>24</v>
      </c>
      <c r="F351" s="6" t="s">
        <v>425</v>
      </c>
      <c r="G351" s="177" t="s">
        <v>27</v>
      </c>
      <c r="H351" s="115"/>
      <c r="I351" s="118">
        <v>5.0000000000000001E-3</v>
      </c>
      <c r="J351" s="122"/>
      <c r="K351" s="125"/>
      <c r="L351" s="123"/>
      <c r="M351" s="161"/>
      <c r="N351" s="161"/>
      <c r="O351" s="161">
        <f t="shared" si="66"/>
        <v>0</v>
      </c>
    </row>
    <row r="352" spans="1:15" x14ac:dyDescent="0.2">
      <c r="A352" s="6" t="s">
        <v>426</v>
      </c>
      <c r="B352" s="181" t="s">
        <v>107</v>
      </c>
      <c r="C352" s="159" t="s">
        <v>200</v>
      </c>
      <c r="D352" s="159" t="s">
        <v>202</v>
      </c>
      <c r="E352" s="159" t="s">
        <v>24</v>
      </c>
      <c r="F352" s="6" t="s">
        <v>426</v>
      </c>
      <c r="G352" s="177" t="s">
        <v>28</v>
      </c>
      <c r="H352" s="115"/>
      <c r="I352" s="118" t="s">
        <v>23</v>
      </c>
      <c r="J352" s="122">
        <v>1</v>
      </c>
      <c r="K352" s="125">
        <v>11000</v>
      </c>
      <c r="L352" s="123"/>
      <c r="M352" s="161">
        <f t="shared" ref="M352" si="67">J352*K352</f>
        <v>11000</v>
      </c>
      <c r="N352" s="161"/>
      <c r="O352" s="161">
        <f t="shared" si="66"/>
        <v>11000</v>
      </c>
    </row>
    <row r="353" spans="1:15" x14ac:dyDescent="0.2">
      <c r="A353" s="6" t="s">
        <v>427</v>
      </c>
      <c r="B353" s="159"/>
      <c r="C353" s="159" t="s">
        <v>200</v>
      </c>
      <c r="D353" s="159" t="s">
        <v>202</v>
      </c>
      <c r="E353" s="159" t="s">
        <v>24</v>
      </c>
      <c r="F353" s="6" t="s">
        <v>427</v>
      </c>
      <c r="G353" s="177" t="s">
        <v>29</v>
      </c>
      <c r="H353" s="115"/>
      <c r="I353" s="118" t="s">
        <v>23</v>
      </c>
      <c r="J353" s="122"/>
      <c r="K353" s="125"/>
      <c r="L353" s="123"/>
      <c r="M353" s="161"/>
      <c r="N353" s="161"/>
      <c r="O353" s="161">
        <f t="shared" si="66"/>
        <v>0</v>
      </c>
    </row>
    <row r="354" spans="1:15" x14ac:dyDescent="0.2">
      <c r="A354" s="6" t="s">
        <v>428</v>
      </c>
      <c r="B354" s="181" t="s">
        <v>92</v>
      </c>
      <c r="C354" s="159" t="s">
        <v>200</v>
      </c>
      <c r="D354" s="159" t="s">
        <v>202</v>
      </c>
      <c r="E354" s="159" t="s">
        <v>24</v>
      </c>
      <c r="F354" s="6" t="s">
        <v>428</v>
      </c>
      <c r="G354" s="177" t="s">
        <v>30</v>
      </c>
      <c r="H354" s="115"/>
      <c r="I354" s="118" t="s">
        <v>26</v>
      </c>
      <c r="J354" s="122"/>
      <c r="K354" s="125"/>
      <c r="L354" s="123"/>
      <c r="M354" s="161"/>
      <c r="N354" s="161"/>
      <c r="O354" s="161">
        <f t="shared" si="66"/>
        <v>0</v>
      </c>
    </row>
    <row r="355" spans="1:15" x14ac:dyDescent="0.2">
      <c r="A355" s="6" t="s">
        <v>429</v>
      </c>
      <c r="B355" s="181" t="s">
        <v>92</v>
      </c>
      <c r="C355" s="159" t="s">
        <v>200</v>
      </c>
      <c r="D355" s="159" t="s">
        <v>202</v>
      </c>
      <c r="E355" s="159" t="s">
        <v>24</v>
      </c>
      <c r="F355" s="6" t="s">
        <v>429</v>
      </c>
      <c r="G355" s="177" t="s">
        <v>31</v>
      </c>
      <c r="H355" s="115"/>
      <c r="I355" s="118" t="s">
        <v>26</v>
      </c>
      <c r="J355" s="122"/>
      <c r="K355" s="125"/>
      <c r="L355" s="123"/>
      <c r="M355" s="161"/>
      <c r="N355" s="161"/>
      <c r="O355" s="161">
        <f t="shared" si="66"/>
        <v>0</v>
      </c>
    </row>
    <row r="356" spans="1:15" x14ac:dyDescent="0.2">
      <c r="A356" s="6" t="s">
        <v>430</v>
      </c>
      <c r="B356" s="181" t="s">
        <v>32</v>
      </c>
      <c r="C356" s="159" t="s">
        <v>200</v>
      </c>
      <c r="D356" s="159" t="s">
        <v>202</v>
      </c>
      <c r="E356" s="159" t="s">
        <v>24</v>
      </c>
      <c r="F356" s="6" t="s">
        <v>430</v>
      </c>
      <c r="G356" s="177" t="s">
        <v>32</v>
      </c>
      <c r="H356" s="115"/>
      <c r="I356" s="118" t="s">
        <v>26</v>
      </c>
      <c r="J356" s="122"/>
      <c r="K356" s="125"/>
      <c r="L356" s="123"/>
      <c r="M356" s="161"/>
      <c r="N356" s="161"/>
      <c r="O356" s="161">
        <f t="shared" si="66"/>
        <v>0</v>
      </c>
    </row>
    <row r="357" spans="1:15" x14ac:dyDescent="0.2">
      <c r="A357" s="6" t="s">
        <v>431</v>
      </c>
      <c r="B357" s="181" t="s">
        <v>94</v>
      </c>
      <c r="C357" s="159" t="s">
        <v>200</v>
      </c>
      <c r="D357" s="159" t="s">
        <v>202</v>
      </c>
      <c r="E357" s="159" t="s">
        <v>24</v>
      </c>
      <c r="F357" s="6" t="s">
        <v>431</v>
      </c>
      <c r="G357" s="177" t="s">
        <v>33</v>
      </c>
      <c r="H357" s="115"/>
      <c r="I357" s="118" t="s">
        <v>26</v>
      </c>
      <c r="J357" s="122"/>
      <c r="K357" s="125"/>
      <c r="L357" s="123"/>
      <c r="M357" s="161"/>
      <c r="N357" s="161"/>
      <c r="O357" s="161">
        <f t="shared" si="66"/>
        <v>0</v>
      </c>
    </row>
    <row r="358" spans="1:15" x14ac:dyDescent="0.2">
      <c r="A358" s="6" t="s">
        <v>432</v>
      </c>
      <c r="B358" s="182" t="s">
        <v>165</v>
      </c>
      <c r="C358" s="159" t="s">
        <v>200</v>
      </c>
      <c r="D358" s="159" t="s">
        <v>202</v>
      </c>
      <c r="E358" s="159" t="s">
        <v>24</v>
      </c>
      <c r="F358" s="6" t="s">
        <v>432</v>
      </c>
      <c r="G358" s="177" t="s">
        <v>442</v>
      </c>
      <c r="H358" s="115"/>
      <c r="I358" s="118" t="s">
        <v>26</v>
      </c>
      <c r="J358" s="122"/>
      <c r="K358" s="125"/>
      <c r="L358" s="123"/>
      <c r="M358" s="161"/>
      <c r="N358" s="161"/>
      <c r="O358" s="161">
        <f t="shared" si="66"/>
        <v>0</v>
      </c>
    </row>
    <row r="359" spans="1:15" x14ac:dyDescent="0.2">
      <c r="A359" s="6" t="s">
        <v>433</v>
      </c>
      <c r="B359" s="182" t="s">
        <v>165</v>
      </c>
      <c r="C359" s="159" t="s">
        <v>200</v>
      </c>
      <c r="D359" s="159" t="s">
        <v>202</v>
      </c>
      <c r="E359" s="159" t="s">
        <v>24</v>
      </c>
      <c r="F359" s="6" t="s">
        <v>433</v>
      </c>
      <c r="G359" s="177" t="s">
        <v>443</v>
      </c>
      <c r="H359" s="115"/>
      <c r="I359" s="118" t="s">
        <v>26</v>
      </c>
      <c r="J359" s="122"/>
      <c r="K359" s="125"/>
      <c r="L359" s="123"/>
      <c r="M359" s="161"/>
      <c r="N359" s="161"/>
      <c r="O359" s="161">
        <f t="shared" si="66"/>
        <v>0</v>
      </c>
    </row>
    <row r="360" spans="1:15" x14ac:dyDescent="0.2">
      <c r="A360" s="6" t="s">
        <v>434</v>
      </c>
      <c r="B360" s="183" t="s">
        <v>167</v>
      </c>
      <c r="C360" s="159" t="s">
        <v>200</v>
      </c>
      <c r="D360" s="159" t="s">
        <v>202</v>
      </c>
      <c r="E360" s="159" t="s">
        <v>24</v>
      </c>
      <c r="F360" s="6" t="s">
        <v>434</v>
      </c>
      <c r="G360" s="177" t="s">
        <v>167</v>
      </c>
      <c r="H360" s="115"/>
      <c r="I360" s="118" t="s">
        <v>26</v>
      </c>
      <c r="J360" s="122"/>
      <c r="K360" s="125"/>
      <c r="L360" s="123"/>
      <c r="M360" s="161"/>
      <c r="N360" s="161"/>
      <c r="O360" s="161">
        <f t="shared" si="66"/>
        <v>0</v>
      </c>
    </row>
    <row r="361" spans="1:15" x14ac:dyDescent="0.2">
      <c r="A361" s="6" t="s">
        <v>435</v>
      </c>
      <c r="B361" s="159" t="s">
        <v>166</v>
      </c>
      <c r="C361" s="159" t="s">
        <v>200</v>
      </c>
      <c r="D361" s="159" t="s">
        <v>202</v>
      </c>
      <c r="E361" s="159" t="s">
        <v>24</v>
      </c>
      <c r="F361" s="114" t="s">
        <v>435</v>
      </c>
      <c r="G361" s="184" t="s">
        <v>444</v>
      </c>
      <c r="H361" s="115"/>
      <c r="I361" s="128" t="s">
        <v>26</v>
      </c>
      <c r="J361" s="129"/>
      <c r="K361" s="130"/>
      <c r="L361" s="130"/>
      <c r="M361" s="180"/>
      <c r="N361" s="180"/>
      <c r="O361" s="180">
        <f t="shared" si="66"/>
        <v>0</v>
      </c>
    </row>
    <row r="362" spans="1:15" x14ac:dyDescent="0.2">
      <c r="A362" s="6" t="s">
        <v>436</v>
      </c>
      <c r="B362" s="181" t="s">
        <v>91</v>
      </c>
      <c r="C362" s="159" t="s">
        <v>200</v>
      </c>
      <c r="D362" s="159" t="s">
        <v>202</v>
      </c>
      <c r="E362" s="159" t="s">
        <v>24</v>
      </c>
      <c r="F362" s="114" t="s">
        <v>436</v>
      </c>
      <c r="G362" s="184" t="s">
        <v>34</v>
      </c>
      <c r="H362" s="115"/>
      <c r="I362" s="128" t="s">
        <v>35</v>
      </c>
      <c r="J362" s="129"/>
      <c r="K362" s="130"/>
      <c r="L362" s="130"/>
      <c r="M362" s="180"/>
      <c r="N362" s="180"/>
      <c r="O362" s="180">
        <f t="shared" si="66"/>
        <v>0</v>
      </c>
    </row>
    <row r="363" spans="1:15" x14ac:dyDescent="0.2">
      <c r="A363" s="6" t="s">
        <v>437</v>
      </c>
      <c r="B363" s="181" t="s">
        <v>90</v>
      </c>
      <c r="C363" s="159" t="s">
        <v>200</v>
      </c>
      <c r="D363" s="159" t="s">
        <v>202</v>
      </c>
      <c r="E363" s="159" t="s">
        <v>24</v>
      </c>
      <c r="F363" s="114" t="s">
        <v>437</v>
      </c>
      <c r="G363" s="184" t="s">
        <v>36</v>
      </c>
      <c r="H363" s="115"/>
      <c r="I363" s="128" t="s">
        <v>26</v>
      </c>
      <c r="J363" s="129"/>
      <c r="K363" s="130"/>
      <c r="L363" s="130"/>
      <c r="M363" s="180"/>
      <c r="N363" s="180"/>
      <c r="O363" s="180">
        <f t="shared" si="66"/>
        <v>0</v>
      </c>
    </row>
    <row r="364" spans="1:15" x14ac:dyDescent="0.2">
      <c r="A364" s="6" t="s">
        <v>438</v>
      </c>
      <c r="B364" s="181" t="s">
        <v>90</v>
      </c>
      <c r="C364" s="159" t="s">
        <v>200</v>
      </c>
      <c r="D364" s="159" t="s">
        <v>202</v>
      </c>
      <c r="E364" s="159" t="s">
        <v>24</v>
      </c>
      <c r="F364" s="114" t="s">
        <v>438</v>
      </c>
      <c r="G364" s="184" t="s">
        <v>37</v>
      </c>
      <c r="H364" s="115"/>
      <c r="I364" s="128" t="s">
        <v>35</v>
      </c>
      <c r="J364" s="129">
        <v>60</v>
      </c>
      <c r="K364" s="130">
        <v>800</v>
      </c>
      <c r="L364" s="130"/>
      <c r="M364" s="180">
        <f t="shared" ref="M364" si="68">J364*K364</f>
        <v>48000</v>
      </c>
      <c r="N364" s="180"/>
      <c r="O364" s="180">
        <f t="shared" si="66"/>
        <v>48000</v>
      </c>
    </row>
    <row r="365" spans="1:15" x14ac:dyDescent="0.2">
      <c r="A365" s="6" t="s">
        <v>439</v>
      </c>
      <c r="B365" s="159" t="s">
        <v>194</v>
      </c>
      <c r="C365" s="159" t="s">
        <v>200</v>
      </c>
      <c r="D365" s="159" t="s">
        <v>202</v>
      </c>
      <c r="E365" s="159" t="s">
        <v>24</v>
      </c>
      <c r="F365" s="114" t="s">
        <v>439</v>
      </c>
      <c r="G365" s="184" t="s">
        <v>38</v>
      </c>
      <c r="H365" s="115"/>
      <c r="I365" s="128" t="s">
        <v>35</v>
      </c>
      <c r="J365" s="129"/>
      <c r="K365" s="130"/>
      <c r="L365" s="130"/>
      <c r="M365" s="180"/>
      <c r="N365" s="180"/>
      <c r="O365" s="180">
        <f t="shared" si="66"/>
        <v>0</v>
      </c>
    </row>
    <row r="366" spans="1:15" x14ac:dyDescent="0.2">
      <c r="A366" s="6" t="s">
        <v>440</v>
      </c>
      <c r="B366" s="181" t="s">
        <v>101</v>
      </c>
      <c r="C366" s="159" t="s">
        <v>200</v>
      </c>
      <c r="D366" s="159" t="s">
        <v>202</v>
      </c>
      <c r="E366" s="159" t="s">
        <v>24</v>
      </c>
      <c r="F366" s="114" t="s">
        <v>440</v>
      </c>
      <c r="G366" s="184" t="s">
        <v>39</v>
      </c>
      <c r="H366" s="115"/>
      <c r="I366" s="128">
        <v>0.03</v>
      </c>
      <c r="J366" s="129"/>
      <c r="K366" s="130"/>
      <c r="L366" s="130"/>
      <c r="M366" s="180"/>
      <c r="N366" s="180"/>
      <c r="O366" s="180">
        <f t="shared" si="66"/>
        <v>0</v>
      </c>
    </row>
    <row r="367" spans="1:15" x14ac:dyDescent="0.2">
      <c r="A367" s="6" t="s">
        <v>441</v>
      </c>
      <c r="B367" s="181" t="s">
        <v>196</v>
      </c>
      <c r="C367" s="159" t="s">
        <v>200</v>
      </c>
      <c r="D367" s="159" t="s">
        <v>202</v>
      </c>
      <c r="E367" s="159" t="s">
        <v>24</v>
      </c>
      <c r="F367" s="114" t="s">
        <v>441</v>
      </c>
      <c r="G367" s="184" t="s">
        <v>40</v>
      </c>
      <c r="H367" s="115"/>
      <c r="I367" s="128">
        <v>0.15</v>
      </c>
      <c r="J367" s="129"/>
      <c r="K367" s="130"/>
      <c r="L367" s="130"/>
      <c r="M367" s="180"/>
      <c r="N367" s="180"/>
      <c r="O367" s="180">
        <f t="shared" si="66"/>
        <v>0</v>
      </c>
    </row>
    <row r="368" spans="1:15" x14ac:dyDescent="0.2">
      <c r="A368" s="6" t="s">
        <v>534</v>
      </c>
      <c r="B368" s="181" t="s">
        <v>154</v>
      </c>
      <c r="C368" s="159" t="s">
        <v>200</v>
      </c>
      <c r="D368" s="159" t="s">
        <v>202</v>
      </c>
      <c r="E368" s="159" t="s">
        <v>24</v>
      </c>
      <c r="F368" s="114" t="s">
        <v>534</v>
      </c>
      <c r="G368" s="184" t="s">
        <v>519</v>
      </c>
      <c r="H368" s="115"/>
      <c r="I368" s="128" t="s">
        <v>520</v>
      </c>
      <c r="J368" s="129">
        <v>2</v>
      </c>
      <c r="K368" s="224">
        <f>1800*8</f>
        <v>14400</v>
      </c>
      <c r="L368" s="130"/>
      <c r="M368" s="180">
        <f t="shared" ref="M368:M373" si="69">J368*K368</f>
        <v>28800</v>
      </c>
      <c r="N368" s="180"/>
      <c r="O368" s="180">
        <f t="shared" si="66"/>
        <v>28800</v>
      </c>
    </row>
    <row r="369" spans="1:15" x14ac:dyDescent="0.2">
      <c r="A369" s="6" t="s">
        <v>535</v>
      </c>
      <c r="B369" s="159" t="s">
        <v>193</v>
      </c>
      <c r="C369" s="159" t="s">
        <v>200</v>
      </c>
      <c r="D369" s="159" t="s">
        <v>202</v>
      </c>
      <c r="E369" s="159" t="s">
        <v>24</v>
      </c>
      <c r="F369" s="114" t="s">
        <v>535</v>
      </c>
      <c r="G369" s="184" t="s">
        <v>521</v>
      </c>
      <c r="H369" s="115"/>
      <c r="I369" s="128" t="s">
        <v>520</v>
      </c>
      <c r="J369" s="129"/>
      <c r="K369" s="130">
        <v>10000</v>
      </c>
      <c r="L369" s="130"/>
      <c r="M369" s="180">
        <f t="shared" si="69"/>
        <v>0</v>
      </c>
      <c r="N369" s="180"/>
      <c r="O369" s="180">
        <f t="shared" si="66"/>
        <v>0</v>
      </c>
    </row>
    <row r="370" spans="1:15" x14ac:dyDescent="0.2">
      <c r="A370" s="6" t="s">
        <v>536</v>
      </c>
      <c r="B370" s="181" t="s">
        <v>148</v>
      </c>
      <c r="C370" s="159" t="s">
        <v>200</v>
      </c>
      <c r="D370" s="159" t="s">
        <v>202</v>
      </c>
      <c r="E370" s="159" t="s">
        <v>24</v>
      </c>
      <c r="F370" s="114" t="s">
        <v>536</v>
      </c>
      <c r="G370" s="184" t="s">
        <v>522</v>
      </c>
      <c r="H370" s="115"/>
      <c r="I370" s="128" t="s">
        <v>520</v>
      </c>
      <c r="J370" s="129"/>
      <c r="K370" s="130">
        <v>10000</v>
      </c>
      <c r="L370" s="130"/>
      <c r="M370" s="180">
        <f t="shared" si="69"/>
        <v>0</v>
      </c>
      <c r="N370" s="180"/>
      <c r="O370" s="180">
        <f t="shared" si="66"/>
        <v>0</v>
      </c>
    </row>
    <row r="371" spans="1:15" x14ac:dyDescent="0.2">
      <c r="A371" s="6" t="s">
        <v>537</v>
      </c>
      <c r="B371" s="181" t="s">
        <v>154</v>
      </c>
      <c r="C371" s="159" t="s">
        <v>200</v>
      </c>
      <c r="D371" s="159" t="s">
        <v>202</v>
      </c>
      <c r="E371" s="159" t="s">
        <v>24</v>
      </c>
      <c r="F371" s="114" t="s">
        <v>537</v>
      </c>
      <c r="G371" s="184" t="s">
        <v>523</v>
      </c>
      <c r="H371" s="115"/>
      <c r="I371" s="128" t="s">
        <v>520</v>
      </c>
      <c r="J371" s="129">
        <v>1</v>
      </c>
      <c r="K371" s="225">
        <f>1600*8</f>
        <v>12800</v>
      </c>
      <c r="L371" s="130"/>
      <c r="M371" s="180">
        <f t="shared" si="69"/>
        <v>12800</v>
      </c>
      <c r="N371" s="180"/>
      <c r="O371" s="180">
        <f t="shared" si="66"/>
        <v>12800</v>
      </c>
    </row>
    <row r="372" spans="1:15" x14ac:dyDescent="0.2">
      <c r="A372" s="6" t="s">
        <v>538</v>
      </c>
      <c r="B372" s="181" t="s">
        <v>151</v>
      </c>
      <c r="C372" s="159" t="s">
        <v>200</v>
      </c>
      <c r="D372" s="159" t="s">
        <v>202</v>
      </c>
      <c r="E372" s="159" t="s">
        <v>24</v>
      </c>
      <c r="F372" s="114" t="s">
        <v>538</v>
      </c>
      <c r="G372" s="184" t="s">
        <v>524</v>
      </c>
      <c r="H372" s="115"/>
      <c r="I372" s="128" t="s">
        <v>520</v>
      </c>
      <c r="J372" s="129">
        <v>1</v>
      </c>
      <c r="K372" s="130">
        <v>223080</v>
      </c>
      <c r="L372" s="130"/>
      <c r="M372" s="180">
        <f t="shared" si="69"/>
        <v>223080</v>
      </c>
      <c r="N372" s="180"/>
      <c r="O372" s="180">
        <f t="shared" si="66"/>
        <v>223080</v>
      </c>
    </row>
    <row r="373" spans="1:15" x14ac:dyDescent="0.2">
      <c r="A373" s="6" t="s">
        <v>539</v>
      </c>
      <c r="B373" s="181" t="s">
        <v>191</v>
      </c>
      <c r="C373" s="159" t="s">
        <v>200</v>
      </c>
      <c r="D373" s="159" t="s">
        <v>202</v>
      </c>
      <c r="E373" s="159" t="s">
        <v>24</v>
      </c>
      <c r="F373" s="114" t="s">
        <v>539</v>
      </c>
      <c r="G373" s="184" t="s">
        <v>525</v>
      </c>
      <c r="H373" s="115"/>
      <c r="I373" s="128" t="s">
        <v>520</v>
      </c>
      <c r="J373" s="129"/>
      <c r="K373" s="130">
        <v>50000</v>
      </c>
      <c r="L373" s="130"/>
      <c r="M373" s="180">
        <f t="shared" si="69"/>
        <v>0</v>
      </c>
      <c r="N373" s="180"/>
      <c r="O373" s="180">
        <f t="shared" si="66"/>
        <v>0</v>
      </c>
    </row>
    <row r="374" spans="1:15" x14ac:dyDescent="0.2">
      <c r="G374" s="186"/>
      <c r="H374" s="149"/>
      <c r="I374" s="187"/>
      <c r="K374" s="189"/>
    </row>
    <row r="375" spans="1:15" x14ac:dyDescent="0.2">
      <c r="G375" s="186"/>
      <c r="H375" s="149"/>
      <c r="I375" s="187"/>
      <c r="K375" s="189"/>
    </row>
    <row r="376" spans="1:15" x14ac:dyDescent="0.2">
      <c r="G376" s="156"/>
      <c r="H376" s="149"/>
      <c r="I376" s="190"/>
      <c r="J376" s="190"/>
      <c r="K376" s="190"/>
      <c r="L376" s="190"/>
      <c r="M376" s="190"/>
      <c r="N376" s="190"/>
      <c r="O376" s="190"/>
    </row>
    <row r="377" spans="1:15" ht="13.5" thickBot="1" x14ac:dyDescent="0.25">
      <c r="G377" s="191"/>
      <c r="H377" s="150"/>
      <c r="I377" s="192"/>
      <c r="J377" s="192"/>
      <c r="K377" s="192"/>
      <c r="L377" s="192"/>
      <c r="M377" s="192"/>
      <c r="N377" s="192"/>
      <c r="O377" s="193"/>
    </row>
    <row r="378" spans="1:15" ht="39" thickBot="1" x14ac:dyDescent="0.25">
      <c r="G378" s="194" t="s">
        <v>43</v>
      </c>
      <c r="H378" s="195" t="s">
        <v>44</v>
      </c>
      <c r="I378" s="196" t="s">
        <v>45</v>
      </c>
      <c r="J378" s="197" t="s">
        <v>46</v>
      </c>
      <c r="K378" s="197" t="s">
        <v>47</v>
      </c>
      <c r="L378" s="197" t="s">
        <v>48</v>
      </c>
      <c r="M378" s="197" t="s">
        <v>49</v>
      </c>
      <c r="N378" s="197" t="s">
        <v>50</v>
      </c>
      <c r="O378" s="197"/>
    </row>
    <row r="379" spans="1:15" ht="13.5" thickBot="1" x14ac:dyDescent="0.25">
      <c r="G379" s="198">
        <v>1</v>
      </c>
      <c r="H379" s="199">
        <v>2</v>
      </c>
      <c r="I379" s="200">
        <v>3</v>
      </c>
      <c r="J379" s="201">
        <v>4</v>
      </c>
      <c r="K379" s="202">
        <v>5</v>
      </c>
      <c r="L379" s="203">
        <v>6</v>
      </c>
      <c r="M379" s="201">
        <v>7</v>
      </c>
      <c r="N379" s="203">
        <v>8</v>
      </c>
      <c r="O379" s="201">
        <v>9</v>
      </c>
    </row>
    <row r="380" spans="1:15" x14ac:dyDescent="0.2">
      <c r="B380" s="204" t="s">
        <v>21</v>
      </c>
      <c r="G380" s="205"/>
      <c r="H380" s="204" t="s">
        <v>21</v>
      </c>
      <c r="I380" s="206" t="s">
        <v>21</v>
      </c>
      <c r="J380" s="207" t="s">
        <v>51</v>
      </c>
      <c r="K380" s="208"/>
      <c r="L380" s="209">
        <v>4000</v>
      </c>
      <c r="M380" s="209">
        <v>1</v>
      </c>
      <c r="N380" s="209">
        <v>1.1499999999999999</v>
      </c>
      <c r="O380" s="209">
        <f t="shared" ref="O380:O386" si="70">K380*L380*N380*M380</f>
        <v>0</v>
      </c>
    </row>
    <row r="381" spans="1:15" x14ac:dyDescent="0.2">
      <c r="B381" s="204" t="s">
        <v>53</v>
      </c>
      <c r="G381" s="205"/>
      <c r="H381" s="204" t="s">
        <v>53</v>
      </c>
      <c r="I381" s="206" t="s">
        <v>53</v>
      </c>
      <c r="J381" s="207" t="s">
        <v>51</v>
      </c>
      <c r="K381" s="208"/>
      <c r="L381" s="209">
        <v>1700</v>
      </c>
      <c r="M381" s="209">
        <v>1</v>
      </c>
      <c r="N381" s="209">
        <v>1</v>
      </c>
      <c r="O381" s="209">
        <f>K381*L381*N381*M381</f>
        <v>0</v>
      </c>
    </row>
    <row r="382" spans="1:15" x14ac:dyDescent="0.2">
      <c r="B382" s="204" t="s">
        <v>55</v>
      </c>
      <c r="G382" s="205"/>
      <c r="H382" s="204" t="s">
        <v>55</v>
      </c>
      <c r="I382" s="206" t="s">
        <v>56</v>
      </c>
      <c r="J382" s="209" t="s">
        <v>51</v>
      </c>
      <c r="K382" s="208"/>
      <c r="L382" s="209">
        <v>1000</v>
      </c>
      <c r="M382" s="209">
        <v>1</v>
      </c>
      <c r="N382" s="209">
        <v>1.1499999999999999</v>
      </c>
      <c r="O382" s="209">
        <f>K382*L382*N382*M382</f>
        <v>0</v>
      </c>
    </row>
    <row r="383" spans="1:15" x14ac:dyDescent="0.2">
      <c r="B383" s="204" t="s">
        <v>57</v>
      </c>
      <c r="G383" s="205"/>
      <c r="H383" s="204" t="s">
        <v>57</v>
      </c>
      <c r="I383" s="206" t="s">
        <v>57</v>
      </c>
      <c r="J383" s="209" t="s">
        <v>51</v>
      </c>
      <c r="K383" s="208"/>
      <c r="L383" s="209">
        <v>400</v>
      </c>
      <c r="M383" s="209">
        <v>1</v>
      </c>
      <c r="N383" s="209">
        <v>1.1499999999999999</v>
      </c>
      <c r="O383" s="209">
        <f>K383*L383*N383*M383</f>
        <v>0</v>
      </c>
    </row>
    <row r="384" spans="1:15" x14ac:dyDescent="0.2">
      <c r="B384" s="204" t="s">
        <v>58</v>
      </c>
      <c r="G384" s="205"/>
      <c r="H384" s="204" t="s">
        <v>58</v>
      </c>
      <c r="I384" s="206" t="s">
        <v>58</v>
      </c>
      <c r="J384" s="209" t="s">
        <v>51</v>
      </c>
      <c r="K384" s="208"/>
      <c r="L384" s="209">
        <v>1000</v>
      </c>
      <c r="M384" s="209">
        <v>1</v>
      </c>
      <c r="N384" s="209">
        <v>1</v>
      </c>
      <c r="O384" s="209">
        <f t="shared" si="70"/>
        <v>0</v>
      </c>
    </row>
    <row r="385" spans="2:15" x14ac:dyDescent="0.2">
      <c r="B385" s="204" t="s">
        <v>59</v>
      </c>
      <c r="G385" s="205"/>
      <c r="H385" s="204" t="s">
        <v>59</v>
      </c>
      <c r="I385" s="206" t="s">
        <v>59</v>
      </c>
      <c r="J385" s="209" t="s">
        <v>51</v>
      </c>
      <c r="K385" s="208"/>
      <c r="L385" s="209">
        <v>5000</v>
      </c>
      <c r="M385" s="209">
        <v>1</v>
      </c>
      <c r="N385" s="209">
        <v>1</v>
      </c>
      <c r="O385" s="210">
        <f t="shared" si="70"/>
        <v>0</v>
      </c>
    </row>
    <row r="386" spans="2:15" x14ac:dyDescent="0.2">
      <c r="B386" s="204" t="s">
        <v>60</v>
      </c>
      <c r="G386" s="205"/>
      <c r="H386" s="204" t="s">
        <v>60</v>
      </c>
      <c r="I386" s="206" t="s">
        <v>61</v>
      </c>
      <c r="J386" s="209" t="s">
        <v>51</v>
      </c>
      <c r="K386" s="208"/>
      <c r="L386" s="209">
        <v>3000</v>
      </c>
      <c r="M386" s="209">
        <v>1</v>
      </c>
      <c r="N386" s="209">
        <v>1</v>
      </c>
      <c r="O386" s="210">
        <f t="shared" si="70"/>
        <v>0</v>
      </c>
    </row>
    <row r="387" spans="2:15" ht="13.5" thickBot="1" x14ac:dyDescent="0.25">
      <c r="G387" s="211"/>
      <c r="H387" s="212"/>
      <c r="I387" s="213" t="s">
        <v>62</v>
      </c>
      <c r="J387" s="214"/>
      <c r="K387" s="215"/>
      <c r="L387" s="215"/>
      <c r="M387" s="215"/>
      <c r="N387" s="215"/>
      <c r="O387" s="215">
        <f>SUM(O380:O386)</f>
        <v>0</v>
      </c>
    </row>
  </sheetData>
  <autoFilter ref="G1:G387" xr:uid="{7F02976A-F999-49BA-9359-4817B327EE5C}"/>
  <phoneticPr fontId="2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6072-0B0C-4AE5-B591-0B1AFB018A28}">
  <dimension ref="A1:F29"/>
  <sheetViews>
    <sheetView zoomScale="80" zoomScaleNormal="80" workbookViewId="0">
      <selection activeCell="F22" sqref="F22"/>
    </sheetView>
  </sheetViews>
  <sheetFormatPr defaultRowHeight="15" x14ac:dyDescent="0.25"/>
  <cols>
    <col min="1" max="1" width="90.7109375" customWidth="1"/>
    <col min="4" max="4" width="15.85546875" customWidth="1"/>
    <col min="5" max="5" width="10.28515625" customWidth="1"/>
    <col min="6" max="6" width="33.85546875" customWidth="1"/>
  </cols>
  <sheetData>
    <row r="1" spans="1:6" ht="45" x14ac:dyDescent="0.25">
      <c r="A1" s="234" t="s">
        <v>987</v>
      </c>
      <c r="B1" s="240"/>
      <c r="C1" s="240"/>
      <c r="D1" s="237" t="s">
        <v>984</v>
      </c>
      <c r="E1" s="238" t="s">
        <v>985</v>
      </c>
      <c r="F1" s="239" t="s">
        <v>986</v>
      </c>
    </row>
    <row r="2" spans="1:6" x14ac:dyDescent="0.25">
      <c r="A2" s="241" t="s">
        <v>463</v>
      </c>
      <c r="B2" s="128" t="s">
        <v>201</v>
      </c>
      <c r="C2" s="242">
        <f>480/8</f>
        <v>60</v>
      </c>
      <c r="D2" s="240" t="s">
        <v>988</v>
      </c>
      <c r="E2" s="240"/>
      <c r="F2" s="249">
        <v>25</v>
      </c>
    </row>
    <row r="3" spans="1:6" x14ac:dyDescent="0.25">
      <c r="A3" s="241" t="s">
        <v>458</v>
      </c>
      <c r="B3" s="128" t="s">
        <v>201</v>
      </c>
      <c r="C3" s="242">
        <f t="shared" ref="C3:C9" si="0">480/8</f>
        <v>60</v>
      </c>
      <c r="D3" s="240"/>
      <c r="E3" s="240"/>
      <c r="F3" s="249">
        <v>60</v>
      </c>
    </row>
    <row r="4" spans="1:6" x14ac:dyDescent="0.25">
      <c r="A4" s="241" t="s">
        <v>457</v>
      </c>
      <c r="B4" s="128" t="s">
        <v>201</v>
      </c>
      <c r="C4" s="242">
        <f t="shared" si="0"/>
        <v>60</v>
      </c>
      <c r="D4" s="243">
        <v>1</v>
      </c>
      <c r="E4" s="240"/>
      <c r="F4" s="249"/>
    </row>
    <row r="5" spans="1:6" x14ac:dyDescent="0.25">
      <c r="A5" s="241" t="s">
        <v>459</v>
      </c>
      <c r="B5" s="128" t="s">
        <v>201</v>
      </c>
      <c r="C5" s="242">
        <f t="shared" si="0"/>
        <v>60</v>
      </c>
      <c r="D5" s="243">
        <v>0.5</v>
      </c>
      <c r="E5" s="240"/>
      <c r="F5" s="249">
        <f>30</f>
        <v>30</v>
      </c>
    </row>
    <row r="6" spans="1:6" x14ac:dyDescent="0.25">
      <c r="A6" s="241" t="s">
        <v>460</v>
      </c>
      <c r="B6" s="128" t="s">
        <v>201</v>
      </c>
      <c r="C6" s="242">
        <f t="shared" si="0"/>
        <v>60</v>
      </c>
      <c r="D6" s="243">
        <v>0.5</v>
      </c>
      <c r="E6" s="240"/>
      <c r="F6" s="249">
        <f>30</f>
        <v>30</v>
      </c>
    </row>
    <row r="7" spans="1:6" x14ac:dyDescent="0.25">
      <c r="A7" s="241" t="s">
        <v>464</v>
      </c>
      <c r="B7" s="128" t="s">
        <v>201</v>
      </c>
      <c r="C7" s="242">
        <f t="shared" si="0"/>
        <v>60</v>
      </c>
      <c r="D7" s="243">
        <v>0.5</v>
      </c>
      <c r="E7" s="240"/>
      <c r="F7" s="249">
        <f>30</f>
        <v>30</v>
      </c>
    </row>
    <row r="8" spans="1:6" x14ac:dyDescent="0.25">
      <c r="A8" s="241" t="s">
        <v>461</v>
      </c>
      <c r="B8" s="128" t="s">
        <v>201</v>
      </c>
      <c r="C8" s="242">
        <f t="shared" si="0"/>
        <v>60</v>
      </c>
      <c r="D8" s="240"/>
      <c r="E8" s="240"/>
      <c r="F8" s="249">
        <f>C8</f>
        <v>60</v>
      </c>
    </row>
    <row r="9" spans="1:6" x14ac:dyDescent="0.25">
      <c r="A9" s="241" t="s">
        <v>462</v>
      </c>
      <c r="B9" s="128" t="s">
        <v>201</v>
      </c>
      <c r="C9" s="242">
        <f t="shared" si="0"/>
        <v>60</v>
      </c>
      <c r="D9" s="240"/>
      <c r="E9" s="240"/>
      <c r="F9" s="249">
        <f t="shared" ref="F9:F28" si="1">C9</f>
        <v>60</v>
      </c>
    </row>
    <row r="10" spans="1:6" x14ac:dyDescent="0.25">
      <c r="A10" s="241" t="s">
        <v>465</v>
      </c>
      <c r="B10" s="128" t="s">
        <v>201</v>
      </c>
      <c r="C10" s="129">
        <f>1080/7</f>
        <v>154.28571428571428</v>
      </c>
      <c r="D10" s="240"/>
      <c r="E10" s="240"/>
      <c r="F10" s="249">
        <f t="shared" si="1"/>
        <v>154.28571428571428</v>
      </c>
    </row>
    <row r="11" spans="1:6" x14ac:dyDescent="0.25">
      <c r="A11" s="241" t="s">
        <v>466</v>
      </c>
      <c r="B11" s="128" t="s">
        <v>201</v>
      </c>
      <c r="C11" s="129">
        <f t="shared" ref="C11:C16" si="2">1080/7</f>
        <v>154.28571428571428</v>
      </c>
      <c r="D11" s="240"/>
      <c r="E11" s="240"/>
      <c r="F11" s="249">
        <f t="shared" si="1"/>
        <v>154.28571428571428</v>
      </c>
    </row>
    <row r="12" spans="1:6" x14ac:dyDescent="0.25">
      <c r="A12" s="241" t="s">
        <v>467</v>
      </c>
      <c r="B12" s="128" t="s">
        <v>201</v>
      </c>
      <c r="C12" s="129">
        <f t="shared" si="2"/>
        <v>154.28571428571428</v>
      </c>
      <c r="D12" s="240"/>
      <c r="E12" s="240"/>
      <c r="F12" s="249">
        <f t="shared" si="1"/>
        <v>154.28571428571428</v>
      </c>
    </row>
    <row r="13" spans="1:6" x14ac:dyDescent="0.25">
      <c r="A13" s="241" t="s">
        <v>468</v>
      </c>
      <c r="B13" s="128" t="s">
        <v>201</v>
      </c>
      <c r="C13" s="129">
        <f t="shared" si="2"/>
        <v>154.28571428571428</v>
      </c>
      <c r="D13" s="240"/>
      <c r="E13" s="240"/>
      <c r="F13" s="249">
        <f t="shared" si="1"/>
        <v>154.28571428571428</v>
      </c>
    </row>
    <row r="14" spans="1:6" x14ac:dyDescent="0.25">
      <c r="A14" s="241" t="s">
        <v>470</v>
      </c>
      <c r="B14" s="128" t="s">
        <v>201</v>
      </c>
      <c r="C14" s="129">
        <f t="shared" si="2"/>
        <v>154.28571428571428</v>
      </c>
      <c r="D14" s="240"/>
      <c r="E14" s="240"/>
      <c r="F14" s="249">
        <f t="shared" si="1"/>
        <v>154.28571428571428</v>
      </c>
    </row>
    <row r="15" spans="1:6" x14ac:dyDescent="0.25">
      <c r="A15" s="241" t="s">
        <v>469</v>
      </c>
      <c r="B15" s="128" t="s">
        <v>201</v>
      </c>
      <c r="C15" s="129">
        <f t="shared" si="2"/>
        <v>154.28571428571428</v>
      </c>
      <c r="D15" s="240"/>
      <c r="E15" s="240"/>
      <c r="F15" s="249">
        <f t="shared" si="1"/>
        <v>154.28571428571428</v>
      </c>
    </row>
    <row r="16" spans="1:6" x14ac:dyDescent="0.25">
      <c r="A16" s="241" t="s">
        <v>471</v>
      </c>
      <c r="B16" s="128" t="s">
        <v>201</v>
      </c>
      <c r="C16" s="129">
        <f t="shared" si="2"/>
        <v>154.28571428571428</v>
      </c>
      <c r="D16" s="240"/>
      <c r="E16" s="240"/>
      <c r="F16" s="249">
        <f t="shared" si="1"/>
        <v>154.28571428571428</v>
      </c>
    </row>
    <row r="17" spans="1:6" x14ac:dyDescent="0.25">
      <c r="A17" s="241" t="s">
        <v>472</v>
      </c>
      <c r="B17" s="128" t="s">
        <v>201</v>
      </c>
      <c r="C17" s="129">
        <f>3*8*1*8</f>
        <v>192</v>
      </c>
      <c r="D17" s="240"/>
      <c r="E17" s="240"/>
      <c r="F17" s="249">
        <f t="shared" si="1"/>
        <v>192</v>
      </c>
    </row>
    <row r="18" spans="1:6" x14ac:dyDescent="0.25">
      <c r="A18" s="241" t="s">
        <v>473</v>
      </c>
      <c r="B18" s="128" t="s">
        <v>201</v>
      </c>
      <c r="C18" s="129">
        <f>3*8*0.5*8</f>
        <v>96</v>
      </c>
      <c r="D18" s="240"/>
      <c r="E18" s="240"/>
      <c r="F18" s="249">
        <f t="shared" si="1"/>
        <v>96</v>
      </c>
    </row>
    <row r="19" spans="1:6" x14ac:dyDescent="0.25">
      <c r="A19" s="241" t="s">
        <v>474</v>
      </c>
      <c r="B19" s="128" t="s">
        <v>201</v>
      </c>
      <c r="C19" s="129">
        <f>3*8*2*8</f>
        <v>384</v>
      </c>
      <c r="D19" s="240"/>
      <c r="E19" s="240"/>
      <c r="F19" s="249">
        <f t="shared" si="1"/>
        <v>384</v>
      </c>
    </row>
    <row r="20" spans="1:6" x14ac:dyDescent="0.25">
      <c r="A20" s="241" t="s">
        <v>475</v>
      </c>
      <c r="B20" s="128" t="s">
        <v>201</v>
      </c>
      <c r="C20" s="129">
        <f>3*8*4</f>
        <v>96</v>
      </c>
      <c r="D20" s="240"/>
      <c r="E20" s="240"/>
      <c r="F20" s="249">
        <f t="shared" si="1"/>
        <v>96</v>
      </c>
    </row>
    <row r="21" spans="1:6" x14ac:dyDescent="0.25">
      <c r="A21" s="241" t="s">
        <v>476</v>
      </c>
      <c r="B21" s="128" t="s">
        <v>201</v>
      </c>
      <c r="C21" s="129">
        <f>2*8*1</f>
        <v>16</v>
      </c>
      <c r="D21" s="240"/>
      <c r="E21" s="240"/>
      <c r="F21" s="249">
        <f t="shared" si="1"/>
        <v>16</v>
      </c>
    </row>
    <row r="22" spans="1:6" x14ac:dyDescent="0.25">
      <c r="A22" s="241" t="s">
        <v>477</v>
      </c>
      <c r="B22" s="128" t="s">
        <v>201</v>
      </c>
      <c r="C22" s="129">
        <v>0</v>
      </c>
      <c r="D22" s="240"/>
      <c r="E22" s="240"/>
      <c r="F22" s="249">
        <f t="shared" si="1"/>
        <v>0</v>
      </c>
    </row>
    <row r="23" spans="1:6" x14ac:dyDescent="0.25">
      <c r="A23" s="241" t="s">
        <v>478</v>
      </c>
      <c r="B23" s="128" t="s">
        <v>201</v>
      </c>
      <c r="C23" s="129">
        <f>3*8*4</f>
        <v>96</v>
      </c>
      <c r="D23" s="240"/>
      <c r="E23" s="240"/>
      <c r="F23" s="249">
        <f t="shared" si="1"/>
        <v>96</v>
      </c>
    </row>
    <row r="24" spans="1:6" x14ac:dyDescent="0.25">
      <c r="A24" s="241" t="s">
        <v>482</v>
      </c>
      <c r="B24" s="128" t="s">
        <v>201</v>
      </c>
      <c r="C24" s="129">
        <f>100/4</f>
        <v>25</v>
      </c>
      <c r="D24" s="240"/>
      <c r="E24" s="240"/>
      <c r="F24" s="249">
        <f t="shared" si="1"/>
        <v>25</v>
      </c>
    </row>
    <row r="25" spans="1:6" x14ac:dyDescent="0.25">
      <c r="A25" s="241" t="s">
        <v>483</v>
      </c>
      <c r="B25" s="128" t="s">
        <v>201</v>
      </c>
      <c r="C25" s="129">
        <f t="shared" ref="C25:C27" si="3">100/4</f>
        <v>25</v>
      </c>
      <c r="D25" s="240"/>
      <c r="E25" s="240"/>
      <c r="F25" s="249">
        <f t="shared" si="1"/>
        <v>25</v>
      </c>
    </row>
    <row r="26" spans="1:6" x14ac:dyDescent="0.25">
      <c r="A26" s="244" t="s">
        <v>484</v>
      </c>
      <c r="B26" s="245" t="s">
        <v>201</v>
      </c>
      <c r="C26" s="246">
        <f t="shared" si="3"/>
        <v>25</v>
      </c>
      <c r="D26" s="247"/>
      <c r="E26" s="247"/>
      <c r="F26" s="249">
        <f t="shared" si="1"/>
        <v>25</v>
      </c>
    </row>
    <row r="27" spans="1:6" x14ac:dyDescent="0.25">
      <c r="A27" s="244" t="s">
        <v>485</v>
      </c>
      <c r="B27" s="245" t="s">
        <v>201</v>
      </c>
      <c r="C27" s="246">
        <f t="shared" si="3"/>
        <v>25</v>
      </c>
      <c r="D27" s="247"/>
      <c r="E27" s="247"/>
      <c r="F27" s="249">
        <f t="shared" si="1"/>
        <v>25</v>
      </c>
    </row>
    <row r="28" spans="1:6" x14ac:dyDescent="0.25">
      <c r="A28" s="244" t="s">
        <v>990</v>
      </c>
      <c r="B28" s="245"/>
      <c r="C28" s="246"/>
      <c r="D28" s="247"/>
      <c r="E28" s="247">
        <v>155</v>
      </c>
      <c r="F28" s="249">
        <f t="shared" si="1"/>
        <v>0</v>
      </c>
    </row>
    <row r="29" spans="1:6" x14ac:dyDescent="0.25">
      <c r="A29" s="250" t="s">
        <v>989</v>
      </c>
      <c r="B29" s="250"/>
      <c r="C29" s="248">
        <f>SUM(C2:C27)</f>
        <v>2539.9999999999995</v>
      </c>
      <c r="D29" s="247"/>
      <c r="E29" s="247">
        <f>SUM(E2:E28)</f>
        <v>155</v>
      </c>
      <c r="F29" s="248">
        <f>SUM(F2:F28)</f>
        <v>2355</v>
      </c>
    </row>
  </sheetData>
  <mergeCells count="1"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Бюджет_Проекта</vt:lpstr>
      <vt:lpstr>Анализ</vt:lpstr>
      <vt:lpstr>Проект СС</vt:lpstr>
      <vt:lpstr>анализ виготовлення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cfo</cp:lastModifiedBy>
  <dcterms:created xsi:type="dcterms:W3CDTF">2026-03-19T10:43:29Z</dcterms:created>
  <dcterms:modified xsi:type="dcterms:W3CDTF">2026-06-24T06:50:26Z</dcterms:modified>
</cp:coreProperties>
</file>